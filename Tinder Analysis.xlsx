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EnremGorka\Desktop\Analiza danych w Excelu\"/>
    </mc:Choice>
  </mc:AlternateContent>
  <xr:revisionPtr revIDLastSave="0" documentId="13_ncr:1_{647BA625-FFFC-4CB7-8451-5D0967835BD3}" xr6:coauthVersionLast="47" xr6:coauthVersionMax="47" xr10:uidLastSave="{00000000-0000-0000-0000-000000000000}"/>
  <bookViews>
    <workbookView xWindow="-108" yWindow="-108" windowWidth="23256" windowHeight="12456" tabRatio="292" xr2:uid="{76CF3DA4-BEEF-48D3-973B-993CCCD281C3}"/>
  </bookViews>
  <sheets>
    <sheet name="summary" sheetId="2" r:id="rId1"/>
    <sheet name="tinder_data" sheetId="1" r:id="rId2"/>
  </sheets>
  <definedNames>
    <definedName name="ExternalData_1" localSheetId="1" hidden="1">tinder_data!$A$1:$Z$981</definedName>
    <definedName name="Fragmentator_Age_Group">#N/A</definedName>
    <definedName name="Fragmentator_Job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2" i="1" l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D2" i="1"/>
  <c r="H2" i="1"/>
  <c r="I2" i="1"/>
  <c r="R2" i="1"/>
  <c r="D3" i="1"/>
  <c r="H3" i="1"/>
  <c r="I3" i="1"/>
  <c r="R3" i="1"/>
  <c r="D4" i="1"/>
  <c r="H4" i="1"/>
  <c r="I4" i="1"/>
  <c r="R4" i="1"/>
  <c r="D5" i="1"/>
  <c r="H5" i="1"/>
  <c r="I5" i="1"/>
  <c r="R5" i="1"/>
  <c r="D6" i="1"/>
  <c r="H6" i="1"/>
  <c r="I6" i="1"/>
  <c r="R6" i="1"/>
  <c r="D7" i="1"/>
  <c r="H7" i="1"/>
  <c r="I7" i="1"/>
  <c r="R7" i="1"/>
  <c r="D8" i="1"/>
  <c r="H8" i="1"/>
  <c r="I8" i="1"/>
  <c r="R8" i="1"/>
  <c r="D9" i="1"/>
  <c r="H9" i="1"/>
  <c r="I9" i="1"/>
  <c r="R9" i="1"/>
  <c r="D10" i="1"/>
  <c r="H10" i="1"/>
  <c r="I10" i="1"/>
  <c r="R10" i="1"/>
  <c r="D11" i="1"/>
  <c r="H11" i="1"/>
  <c r="I11" i="1"/>
  <c r="R11" i="1"/>
  <c r="D12" i="1"/>
  <c r="H12" i="1"/>
  <c r="I12" i="1"/>
  <c r="R12" i="1"/>
  <c r="D13" i="1"/>
  <c r="H13" i="1"/>
  <c r="I13" i="1"/>
  <c r="R13" i="1"/>
  <c r="D14" i="1"/>
  <c r="H14" i="1"/>
  <c r="I14" i="1"/>
  <c r="R14" i="1"/>
  <c r="D15" i="1"/>
  <c r="H15" i="1"/>
  <c r="I15" i="1"/>
  <c r="R15" i="1"/>
  <c r="D16" i="1"/>
  <c r="H16" i="1"/>
  <c r="I16" i="1"/>
  <c r="R16" i="1"/>
  <c r="D17" i="1"/>
  <c r="H17" i="1"/>
  <c r="I17" i="1"/>
  <c r="R17" i="1"/>
  <c r="D18" i="1"/>
  <c r="H18" i="1"/>
  <c r="I18" i="1"/>
  <c r="R18" i="1"/>
  <c r="D19" i="1"/>
  <c r="H19" i="1"/>
  <c r="I19" i="1"/>
  <c r="R19" i="1"/>
  <c r="D20" i="1"/>
  <c r="H20" i="1"/>
  <c r="I20" i="1"/>
  <c r="R20" i="1"/>
  <c r="D21" i="1"/>
  <c r="H21" i="1"/>
  <c r="I21" i="1"/>
  <c r="R21" i="1"/>
  <c r="D22" i="1"/>
  <c r="H22" i="1"/>
  <c r="I22" i="1"/>
  <c r="R22" i="1"/>
  <c r="D23" i="1"/>
  <c r="H23" i="1"/>
  <c r="I23" i="1"/>
  <c r="R23" i="1"/>
  <c r="D24" i="1"/>
  <c r="H24" i="1"/>
  <c r="I24" i="1"/>
  <c r="R24" i="1"/>
  <c r="D25" i="1"/>
  <c r="H25" i="1"/>
  <c r="I25" i="1"/>
  <c r="R25" i="1"/>
  <c r="D26" i="1"/>
  <c r="H26" i="1"/>
  <c r="I26" i="1"/>
  <c r="R26" i="1"/>
  <c r="D27" i="1"/>
  <c r="H27" i="1"/>
  <c r="I27" i="1"/>
  <c r="R27" i="1"/>
  <c r="D28" i="1"/>
  <c r="H28" i="1"/>
  <c r="I28" i="1"/>
  <c r="R28" i="1"/>
  <c r="D29" i="1"/>
  <c r="H29" i="1"/>
  <c r="I29" i="1"/>
  <c r="R29" i="1"/>
  <c r="D30" i="1"/>
  <c r="H30" i="1"/>
  <c r="I30" i="1"/>
  <c r="R30" i="1"/>
  <c r="D31" i="1"/>
  <c r="H31" i="1"/>
  <c r="I31" i="1"/>
  <c r="R31" i="1"/>
  <c r="D32" i="1"/>
  <c r="H32" i="1"/>
  <c r="I32" i="1"/>
  <c r="R32" i="1"/>
  <c r="D33" i="1"/>
  <c r="H33" i="1"/>
  <c r="I33" i="1"/>
  <c r="R33" i="1"/>
  <c r="D34" i="1"/>
  <c r="H34" i="1"/>
  <c r="I34" i="1"/>
  <c r="R34" i="1"/>
  <c r="D35" i="1"/>
  <c r="H35" i="1"/>
  <c r="I35" i="1"/>
  <c r="R35" i="1"/>
  <c r="D36" i="1"/>
  <c r="H36" i="1"/>
  <c r="I36" i="1"/>
  <c r="R36" i="1"/>
  <c r="D37" i="1"/>
  <c r="H37" i="1"/>
  <c r="I37" i="1"/>
  <c r="R37" i="1"/>
  <c r="D38" i="1"/>
  <c r="H38" i="1"/>
  <c r="I38" i="1"/>
  <c r="R38" i="1"/>
  <c r="D39" i="1"/>
  <c r="H39" i="1"/>
  <c r="I39" i="1"/>
  <c r="R39" i="1"/>
  <c r="D40" i="1"/>
  <c r="H40" i="1"/>
  <c r="I40" i="1"/>
  <c r="R40" i="1"/>
  <c r="D41" i="1"/>
  <c r="H41" i="1"/>
  <c r="I41" i="1"/>
  <c r="R41" i="1"/>
  <c r="D42" i="1"/>
  <c r="H42" i="1"/>
  <c r="I42" i="1"/>
  <c r="R42" i="1"/>
  <c r="D43" i="1"/>
  <c r="H43" i="1"/>
  <c r="I43" i="1"/>
  <c r="R43" i="1"/>
  <c r="D44" i="1"/>
  <c r="H44" i="1"/>
  <c r="I44" i="1"/>
  <c r="R44" i="1"/>
  <c r="D45" i="1"/>
  <c r="H45" i="1"/>
  <c r="I45" i="1"/>
  <c r="R45" i="1"/>
  <c r="D46" i="1"/>
  <c r="H46" i="1"/>
  <c r="I46" i="1"/>
  <c r="R46" i="1"/>
  <c r="D47" i="1"/>
  <c r="H47" i="1"/>
  <c r="I47" i="1"/>
  <c r="R47" i="1"/>
  <c r="D48" i="1"/>
  <c r="H48" i="1"/>
  <c r="I48" i="1"/>
  <c r="R48" i="1"/>
  <c r="D49" i="1"/>
  <c r="H49" i="1"/>
  <c r="I49" i="1"/>
  <c r="R49" i="1"/>
  <c r="D50" i="1"/>
  <c r="H50" i="1"/>
  <c r="I50" i="1"/>
  <c r="R50" i="1"/>
  <c r="D51" i="1"/>
  <c r="H51" i="1"/>
  <c r="I51" i="1"/>
  <c r="R51" i="1"/>
  <c r="D52" i="1"/>
  <c r="H52" i="1"/>
  <c r="I52" i="1"/>
  <c r="R52" i="1"/>
  <c r="D53" i="1"/>
  <c r="H53" i="1"/>
  <c r="I53" i="1"/>
  <c r="R53" i="1"/>
  <c r="D54" i="1"/>
  <c r="H54" i="1"/>
  <c r="I54" i="1"/>
  <c r="R54" i="1"/>
  <c r="D55" i="1"/>
  <c r="H55" i="1"/>
  <c r="I55" i="1"/>
  <c r="R55" i="1"/>
  <c r="D56" i="1"/>
  <c r="H56" i="1"/>
  <c r="I56" i="1"/>
  <c r="R56" i="1"/>
  <c r="D57" i="1"/>
  <c r="H57" i="1"/>
  <c r="I57" i="1"/>
  <c r="R57" i="1"/>
  <c r="D58" i="1"/>
  <c r="H58" i="1"/>
  <c r="I58" i="1"/>
  <c r="R58" i="1"/>
  <c r="D59" i="1"/>
  <c r="H59" i="1"/>
  <c r="I59" i="1"/>
  <c r="R59" i="1"/>
  <c r="D60" i="1"/>
  <c r="H60" i="1"/>
  <c r="I60" i="1"/>
  <c r="R60" i="1"/>
  <c r="D61" i="1"/>
  <c r="H61" i="1"/>
  <c r="I61" i="1"/>
  <c r="R61" i="1"/>
  <c r="D62" i="1"/>
  <c r="H62" i="1"/>
  <c r="I62" i="1"/>
  <c r="R62" i="1"/>
  <c r="D63" i="1"/>
  <c r="H63" i="1"/>
  <c r="I63" i="1"/>
  <c r="R63" i="1"/>
  <c r="D64" i="1"/>
  <c r="H64" i="1"/>
  <c r="I64" i="1"/>
  <c r="R64" i="1"/>
  <c r="D65" i="1"/>
  <c r="H65" i="1"/>
  <c r="I65" i="1"/>
  <c r="R65" i="1"/>
  <c r="D66" i="1"/>
  <c r="H66" i="1"/>
  <c r="I66" i="1"/>
  <c r="R66" i="1"/>
  <c r="D67" i="1"/>
  <c r="H67" i="1"/>
  <c r="I67" i="1"/>
  <c r="R67" i="1"/>
  <c r="D68" i="1"/>
  <c r="H68" i="1"/>
  <c r="I68" i="1"/>
  <c r="R68" i="1"/>
  <c r="D69" i="1"/>
  <c r="H69" i="1"/>
  <c r="I69" i="1"/>
  <c r="R69" i="1"/>
  <c r="D70" i="1"/>
  <c r="H70" i="1"/>
  <c r="I70" i="1"/>
  <c r="R70" i="1"/>
  <c r="D71" i="1"/>
  <c r="H71" i="1"/>
  <c r="I71" i="1"/>
  <c r="R71" i="1"/>
  <c r="D72" i="1"/>
  <c r="H72" i="1"/>
  <c r="I72" i="1"/>
  <c r="R72" i="1"/>
  <c r="D73" i="1"/>
  <c r="H73" i="1"/>
  <c r="I73" i="1"/>
  <c r="R73" i="1"/>
  <c r="D74" i="1"/>
  <c r="H74" i="1"/>
  <c r="I74" i="1"/>
  <c r="R74" i="1"/>
  <c r="D75" i="1"/>
  <c r="H75" i="1"/>
  <c r="I75" i="1"/>
  <c r="R75" i="1"/>
  <c r="D76" i="1"/>
  <c r="H76" i="1"/>
  <c r="I76" i="1"/>
  <c r="R76" i="1"/>
  <c r="D77" i="1"/>
  <c r="H77" i="1"/>
  <c r="I77" i="1"/>
  <c r="R77" i="1"/>
  <c r="D78" i="1"/>
  <c r="H78" i="1"/>
  <c r="I78" i="1"/>
  <c r="R78" i="1"/>
  <c r="D79" i="1"/>
  <c r="H79" i="1"/>
  <c r="I79" i="1"/>
  <c r="R79" i="1"/>
  <c r="D80" i="1"/>
  <c r="H80" i="1"/>
  <c r="I80" i="1"/>
  <c r="R80" i="1"/>
  <c r="D81" i="1"/>
  <c r="H81" i="1"/>
  <c r="I81" i="1"/>
  <c r="R81" i="1"/>
  <c r="D82" i="1"/>
  <c r="H82" i="1"/>
  <c r="I82" i="1"/>
  <c r="R82" i="1"/>
  <c r="D83" i="1"/>
  <c r="H83" i="1"/>
  <c r="I83" i="1"/>
  <c r="R83" i="1"/>
  <c r="D84" i="1"/>
  <c r="H84" i="1"/>
  <c r="I84" i="1"/>
  <c r="R84" i="1"/>
  <c r="D85" i="1"/>
  <c r="H85" i="1"/>
  <c r="I85" i="1"/>
  <c r="R85" i="1"/>
  <c r="D86" i="1"/>
  <c r="H86" i="1"/>
  <c r="I86" i="1"/>
  <c r="R86" i="1"/>
  <c r="D87" i="1"/>
  <c r="H87" i="1"/>
  <c r="I87" i="1"/>
  <c r="R87" i="1"/>
  <c r="D88" i="1"/>
  <c r="H88" i="1"/>
  <c r="I88" i="1"/>
  <c r="R88" i="1"/>
  <c r="D89" i="1"/>
  <c r="H89" i="1"/>
  <c r="I89" i="1"/>
  <c r="R89" i="1"/>
  <c r="D90" i="1"/>
  <c r="H90" i="1"/>
  <c r="I90" i="1"/>
  <c r="R90" i="1"/>
  <c r="D91" i="1"/>
  <c r="H91" i="1"/>
  <c r="I91" i="1"/>
  <c r="R91" i="1"/>
  <c r="D92" i="1"/>
  <c r="H92" i="1"/>
  <c r="I92" i="1"/>
  <c r="R92" i="1"/>
  <c r="D93" i="1"/>
  <c r="H93" i="1"/>
  <c r="I93" i="1"/>
  <c r="R93" i="1"/>
  <c r="D94" i="1"/>
  <c r="H94" i="1"/>
  <c r="I94" i="1"/>
  <c r="R94" i="1"/>
  <c r="D95" i="1"/>
  <c r="H95" i="1"/>
  <c r="I95" i="1"/>
  <c r="R95" i="1"/>
  <c r="D96" i="1"/>
  <c r="H96" i="1"/>
  <c r="I96" i="1"/>
  <c r="R96" i="1"/>
  <c r="D97" i="1"/>
  <c r="H97" i="1"/>
  <c r="I97" i="1"/>
  <c r="R97" i="1"/>
  <c r="D98" i="1"/>
  <c r="H98" i="1"/>
  <c r="I98" i="1"/>
  <c r="R98" i="1"/>
  <c r="D99" i="1"/>
  <c r="H99" i="1"/>
  <c r="I99" i="1"/>
  <c r="R99" i="1"/>
  <c r="D100" i="1"/>
  <c r="H100" i="1"/>
  <c r="I100" i="1"/>
  <c r="R100" i="1"/>
  <c r="D101" i="1"/>
  <c r="H101" i="1"/>
  <c r="I101" i="1"/>
  <c r="R101" i="1"/>
  <c r="D102" i="1"/>
  <c r="H102" i="1"/>
  <c r="I102" i="1"/>
  <c r="R102" i="1"/>
  <c r="D103" i="1"/>
  <c r="H103" i="1"/>
  <c r="I103" i="1"/>
  <c r="R103" i="1"/>
  <c r="D104" i="1"/>
  <c r="H104" i="1"/>
  <c r="I104" i="1"/>
  <c r="R104" i="1"/>
  <c r="D105" i="1"/>
  <c r="H105" i="1"/>
  <c r="I105" i="1"/>
  <c r="R105" i="1"/>
  <c r="D106" i="1"/>
  <c r="H106" i="1"/>
  <c r="I106" i="1"/>
  <c r="R106" i="1"/>
  <c r="D107" i="1"/>
  <c r="H107" i="1"/>
  <c r="I107" i="1"/>
  <c r="R107" i="1"/>
  <c r="D108" i="1"/>
  <c r="H108" i="1"/>
  <c r="I108" i="1"/>
  <c r="R108" i="1"/>
  <c r="D109" i="1"/>
  <c r="H109" i="1"/>
  <c r="I109" i="1"/>
  <c r="R109" i="1"/>
  <c r="D110" i="1"/>
  <c r="H110" i="1"/>
  <c r="I110" i="1"/>
  <c r="R110" i="1"/>
  <c r="D111" i="1"/>
  <c r="H111" i="1"/>
  <c r="I111" i="1"/>
  <c r="R111" i="1"/>
  <c r="D112" i="1"/>
  <c r="H112" i="1"/>
  <c r="I112" i="1"/>
  <c r="R112" i="1"/>
  <c r="D113" i="1"/>
  <c r="H113" i="1"/>
  <c r="I113" i="1"/>
  <c r="R113" i="1"/>
  <c r="D114" i="1"/>
  <c r="H114" i="1"/>
  <c r="I114" i="1"/>
  <c r="R114" i="1"/>
  <c r="D115" i="1"/>
  <c r="H115" i="1"/>
  <c r="I115" i="1"/>
  <c r="R115" i="1"/>
  <c r="D116" i="1"/>
  <c r="H116" i="1"/>
  <c r="I116" i="1"/>
  <c r="R116" i="1"/>
  <c r="D117" i="1"/>
  <c r="H117" i="1"/>
  <c r="I117" i="1"/>
  <c r="R117" i="1"/>
  <c r="D118" i="1"/>
  <c r="H118" i="1"/>
  <c r="I118" i="1"/>
  <c r="R118" i="1"/>
  <c r="D119" i="1"/>
  <c r="H119" i="1"/>
  <c r="I119" i="1"/>
  <c r="R119" i="1"/>
  <c r="D120" i="1"/>
  <c r="H120" i="1"/>
  <c r="I120" i="1"/>
  <c r="R120" i="1"/>
  <c r="D121" i="1"/>
  <c r="H121" i="1"/>
  <c r="I121" i="1"/>
  <c r="R121" i="1"/>
  <c r="D122" i="1"/>
  <c r="H122" i="1"/>
  <c r="I122" i="1"/>
  <c r="R122" i="1"/>
  <c r="D123" i="1"/>
  <c r="H123" i="1"/>
  <c r="I123" i="1"/>
  <c r="R123" i="1"/>
  <c r="D124" i="1"/>
  <c r="H124" i="1"/>
  <c r="I124" i="1"/>
  <c r="R124" i="1"/>
  <c r="D125" i="1"/>
  <c r="H125" i="1"/>
  <c r="I125" i="1"/>
  <c r="R125" i="1"/>
  <c r="D126" i="1"/>
  <c r="H126" i="1"/>
  <c r="I126" i="1"/>
  <c r="R126" i="1"/>
  <c r="D127" i="1"/>
  <c r="H127" i="1"/>
  <c r="I127" i="1"/>
  <c r="R127" i="1"/>
  <c r="D128" i="1"/>
  <c r="H128" i="1"/>
  <c r="I128" i="1"/>
  <c r="R128" i="1"/>
  <c r="D129" i="1"/>
  <c r="H129" i="1"/>
  <c r="I129" i="1"/>
  <c r="R129" i="1"/>
  <c r="D130" i="1"/>
  <c r="H130" i="1"/>
  <c r="I130" i="1"/>
  <c r="R130" i="1"/>
  <c r="D131" i="1"/>
  <c r="H131" i="1"/>
  <c r="I131" i="1"/>
  <c r="R131" i="1"/>
  <c r="D132" i="1"/>
  <c r="H132" i="1"/>
  <c r="I132" i="1"/>
  <c r="R132" i="1"/>
  <c r="D133" i="1"/>
  <c r="H133" i="1"/>
  <c r="I133" i="1"/>
  <c r="R133" i="1"/>
  <c r="D134" i="1"/>
  <c r="H134" i="1"/>
  <c r="I134" i="1"/>
  <c r="R134" i="1"/>
  <c r="D135" i="1"/>
  <c r="H135" i="1"/>
  <c r="I135" i="1"/>
  <c r="R135" i="1"/>
  <c r="D136" i="1"/>
  <c r="H136" i="1"/>
  <c r="I136" i="1"/>
  <c r="R136" i="1"/>
  <c r="D137" i="1"/>
  <c r="H137" i="1"/>
  <c r="I137" i="1"/>
  <c r="R137" i="1"/>
  <c r="D138" i="1"/>
  <c r="H138" i="1"/>
  <c r="I138" i="1"/>
  <c r="R138" i="1"/>
  <c r="D139" i="1"/>
  <c r="H139" i="1"/>
  <c r="I139" i="1"/>
  <c r="R139" i="1"/>
  <c r="D140" i="1"/>
  <c r="H140" i="1"/>
  <c r="I140" i="1"/>
  <c r="R140" i="1"/>
  <c r="D141" i="1"/>
  <c r="H141" i="1"/>
  <c r="I141" i="1"/>
  <c r="R141" i="1"/>
  <c r="D142" i="1"/>
  <c r="H142" i="1"/>
  <c r="I142" i="1"/>
  <c r="R142" i="1"/>
  <c r="D143" i="1"/>
  <c r="H143" i="1"/>
  <c r="I143" i="1"/>
  <c r="R143" i="1"/>
  <c r="D144" i="1"/>
  <c r="H144" i="1"/>
  <c r="I144" i="1"/>
  <c r="R144" i="1"/>
  <c r="D145" i="1"/>
  <c r="H145" i="1"/>
  <c r="I145" i="1"/>
  <c r="R145" i="1"/>
  <c r="D146" i="1"/>
  <c r="H146" i="1"/>
  <c r="I146" i="1"/>
  <c r="R146" i="1"/>
  <c r="D147" i="1"/>
  <c r="H147" i="1"/>
  <c r="I147" i="1"/>
  <c r="R147" i="1"/>
  <c r="D148" i="1"/>
  <c r="H148" i="1"/>
  <c r="I148" i="1"/>
  <c r="R148" i="1"/>
  <c r="D149" i="1"/>
  <c r="H149" i="1"/>
  <c r="I149" i="1"/>
  <c r="R149" i="1"/>
  <c r="D150" i="1"/>
  <c r="H150" i="1"/>
  <c r="I150" i="1"/>
  <c r="R150" i="1"/>
  <c r="D151" i="1"/>
  <c r="H151" i="1"/>
  <c r="I151" i="1"/>
  <c r="R151" i="1"/>
  <c r="D152" i="1"/>
  <c r="H152" i="1"/>
  <c r="I152" i="1"/>
  <c r="R152" i="1"/>
  <c r="D153" i="1"/>
  <c r="H153" i="1"/>
  <c r="I153" i="1"/>
  <c r="R153" i="1"/>
  <c r="D154" i="1"/>
  <c r="H154" i="1"/>
  <c r="I154" i="1"/>
  <c r="R154" i="1"/>
  <c r="D155" i="1"/>
  <c r="H155" i="1"/>
  <c r="I155" i="1"/>
  <c r="R155" i="1"/>
  <c r="D156" i="1"/>
  <c r="H156" i="1"/>
  <c r="I156" i="1"/>
  <c r="R156" i="1"/>
  <c r="D157" i="1"/>
  <c r="H157" i="1"/>
  <c r="I157" i="1"/>
  <c r="R157" i="1"/>
  <c r="D158" i="1"/>
  <c r="H158" i="1"/>
  <c r="I158" i="1"/>
  <c r="R158" i="1"/>
  <c r="D159" i="1"/>
  <c r="H159" i="1"/>
  <c r="I159" i="1"/>
  <c r="R159" i="1"/>
  <c r="D160" i="1"/>
  <c r="H160" i="1"/>
  <c r="I160" i="1"/>
  <c r="R160" i="1"/>
  <c r="D161" i="1"/>
  <c r="H161" i="1"/>
  <c r="I161" i="1"/>
  <c r="R161" i="1"/>
  <c r="D162" i="1"/>
  <c r="H162" i="1"/>
  <c r="I162" i="1"/>
  <c r="R162" i="1"/>
  <c r="D163" i="1"/>
  <c r="H163" i="1"/>
  <c r="I163" i="1"/>
  <c r="R163" i="1"/>
  <c r="D164" i="1"/>
  <c r="H164" i="1"/>
  <c r="I164" i="1"/>
  <c r="R164" i="1"/>
  <c r="D165" i="1"/>
  <c r="H165" i="1"/>
  <c r="I165" i="1"/>
  <c r="R165" i="1"/>
  <c r="D166" i="1"/>
  <c r="H166" i="1"/>
  <c r="I166" i="1"/>
  <c r="R166" i="1"/>
  <c r="D167" i="1"/>
  <c r="H167" i="1"/>
  <c r="I167" i="1"/>
  <c r="R167" i="1"/>
  <c r="D168" i="1"/>
  <c r="H168" i="1"/>
  <c r="I168" i="1"/>
  <c r="R168" i="1"/>
  <c r="D169" i="1"/>
  <c r="H169" i="1"/>
  <c r="I169" i="1"/>
  <c r="R169" i="1"/>
  <c r="D170" i="1"/>
  <c r="H170" i="1"/>
  <c r="I170" i="1"/>
  <c r="R170" i="1"/>
  <c r="D171" i="1"/>
  <c r="H171" i="1"/>
  <c r="I171" i="1"/>
  <c r="R171" i="1"/>
  <c r="D172" i="1"/>
  <c r="H172" i="1"/>
  <c r="I172" i="1"/>
  <c r="R172" i="1"/>
  <c r="D173" i="1"/>
  <c r="H173" i="1"/>
  <c r="I173" i="1"/>
  <c r="R173" i="1"/>
  <c r="D174" i="1"/>
  <c r="H174" i="1"/>
  <c r="I174" i="1"/>
  <c r="R174" i="1"/>
  <c r="D175" i="1"/>
  <c r="H175" i="1"/>
  <c r="I175" i="1"/>
  <c r="R175" i="1"/>
  <c r="D176" i="1"/>
  <c r="H176" i="1"/>
  <c r="I176" i="1"/>
  <c r="R176" i="1"/>
  <c r="D177" i="1"/>
  <c r="H177" i="1"/>
  <c r="I177" i="1"/>
  <c r="R177" i="1"/>
  <c r="D178" i="1"/>
  <c r="H178" i="1"/>
  <c r="I178" i="1"/>
  <c r="R178" i="1"/>
  <c r="D179" i="1"/>
  <c r="H179" i="1"/>
  <c r="I179" i="1"/>
  <c r="R179" i="1"/>
  <c r="D180" i="1"/>
  <c r="H180" i="1"/>
  <c r="I180" i="1"/>
  <c r="R180" i="1"/>
  <c r="D181" i="1"/>
  <c r="H181" i="1"/>
  <c r="I181" i="1"/>
  <c r="R181" i="1"/>
  <c r="D182" i="1"/>
  <c r="H182" i="1"/>
  <c r="I182" i="1"/>
  <c r="R182" i="1"/>
  <c r="D183" i="1"/>
  <c r="H183" i="1"/>
  <c r="I183" i="1"/>
  <c r="R183" i="1"/>
  <c r="D184" i="1"/>
  <c r="H184" i="1"/>
  <c r="I184" i="1"/>
  <c r="R184" i="1"/>
  <c r="D185" i="1"/>
  <c r="H185" i="1"/>
  <c r="I185" i="1"/>
  <c r="R185" i="1"/>
  <c r="D186" i="1"/>
  <c r="H186" i="1"/>
  <c r="I186" i="1"/>
  <c r="R186" i="1"/>
  <c r="D187" i="1"/>
  <c r="H187" i="1"/>
  <c r="I187" i="1"/>
  <c r="R187" i="1"/>
  <c r="D188" i="1"/>
  <c r="H188" i="1"/>
  <c r="I188" i="1"/>
  <c r="R188" i="1"/>
  <c r="D189" i="1"/>
  <c r="H189" i="1"/>
  <c r="I189" i="1"/>
  <c r="R189" i="1"/>
  <c r="D190" i="1"/>
  <c r="H190" i="1"/>
  <c r="I190" i="1"/>
  <c r="R190" i="1"/>
  <c r="D191" i="1"/>
  <c r="H191" i="1"/>
  <c r="I191" i="1"/>
  <c r="R191" i="1"/>
  <c r="D192" i="1"/>
  <c r="H192" i="1"/>
  <c r="I192" i="1"/>
  <c r="R192" i="1"/>
  <c r="D193" i="1"/>
  <c r="H193" i="1"/>
  <c r="I193" i="1"/>
  <c r="R193" i="1"/>
  <c r="D194" i="1"/>
  <c r="H194" i="1"/>
  <c r="I194" i="1"/>
  <c r="R194" i="1"/>
  <c r="D195" i="1"/>
  <c r="H195" i="1"/>
  <c r="I195" i="1"/>
  <c r="R195" i="1"/>
  <c r="D196" i="1"/>
  <c r="H196" i="1"/>
  <c r="I196" i="1"/>
  <c r="R196" i="1"/>
  <c r="D197" i="1"/>
  <c r="H197" i="1"/>
  <c r="I197" i="1"/>
  <c r="R197" i="1"/>
  <c r="D198" i="1"/>
  <c r="H198" i="1"/>
  <c r="I198" i="1"/>
  <c r="R198" i="1"/>
  <c r="D199" i="1"/>
  <c r="H199" i="1"/>
  <c r="I199" i="1"/>
  <c r="R199" i="1"/>
  <c r="D200" i="1"/>
  <c r="H200" i="1"/>
  <c r="I200" i="1"/>
  <c r="R200" i="1"/>
  <c r="D201" i="1"/>
  <c r="H201" i="1"/>
  <c r="I201" i="1"/>
  <c r="R201" i="1"/>
  <c r="D202" i="1"/>
  <c r="H202" i="1"/>
  <c r="I202" i="1"/>
  <c r="R202" i="1"/>
  <c r="D203" i="1"/>
  <c r="H203" i="1"/>
  <c r="I203" i="1"/>
  <c r="R203" i="1"/>
  <c r="D204" i="1"/>
  <c r="H204" i="1"/>
  <c r="I204" i="1"/>
  <c r="R204" i="1"/>
  <c r="D205" i="1"/>
  <c r="H205" i="1"/>
  <c r="I205" i="1"/>
  <c r="R205" i="1"/>
  <c r="D206" i="1"/>
  <c r="H206" i="1"/>
  <c r="I206" i="1"/>
  <c r="R206" i="1"/>
  <c r="D207" i="1"/>
  <c r="H207" i="1"/>
  <c r="I207" i="1"/>
  <c r="R207" i="1"/>
  <c r="D208" i="1"/>
  <c r="H208" i="1"/>
  <c r="I208" i="1"/>
  <c r="R208" i="1"/>
  <c r="D209" i="1"/>
  <c r="H209" i="1"/>
  <c r="I209" i="1"/>
  <c r="R209" i="1"/>
  <c r="D210" i="1"/>
  <c r="H210" i="1"/>
  <c r="I210" i="1"/>
  <c r="R210" i="1"/>
  <c r="D211" i="1"/>
  <c r="H211" i="1"/>
  <c r="I211" i="1"/>
  <c r="R211" i="1"/>
  <c r="D212" i="1"/>
  <c r="H212" i="1"/>
  <c r="I212" i="1"/>
  <c r="R212" i="1"/>
  <c r="D213" i="1"/>
  <c r="H213" i="1"/>
  <c r="I213" i="1"/>
  <c r="R213" i="1"/>
  <c r="D214" i="1"/>
  <c r="H214" i="1"/>
  <c r="I214" i="1"/>
  <c r="R214" i="1"/>
  <c r="D215" i="1"/>
  <c r="H215" i="1"/>
  <c r="I215" i="1"/>
  <c r="R215" i="1"/>
  <c r="D216" i="1"/>
  <c r="H216" i="1"/>
  <c r="I216" i="1"/>
  <c r="R216" i="1"/>
  <c r="D217" i="1"/>
  <c r="H217" i="1"/>
  <c r="I217" i="1"/>
  <c r="R217" i="1"/>
  <c r="D218" i="1"/>
  <c r="H218" i="1"/>
  <c r="I218" i="1"/>
  <c r="R218" i="1"/>
  <c r="D219" i="1"/>
  <c r="H219" i="1"/>
  <c r="I219" i="1"/>
  <c r="R219" i="1"/>
  <c r="D220" i="1"/>
  <c r="H220" i="1"/>
  <c r="I220" i="1"/>
  <c r="R220" i="1"/>
  <c r="D221" i="1"/>
  <c r="H221" i="1"/>
  <c r="I221" i="1"/>
  <c r="R221" i="1"/>
  <c r="D222" i="1"/>
  <c r="H222" i="1"/>
  <c r="I222" i="1"/>
  <c r="R222" i="1"/>
  <c r="D223" i="1"/>
  <c r="H223" i="1"/>
  <c r="I223" i="1"/>
  <c r="R223" i="1"/>
  <c r="D224" i="1"/>
  <c r="H224" i="1"/>
  <c r="I224" i="1"/>
  <c r="R224" i="1"/>
  <c r="D225" i="1"/>
  <c r="H225" i="1"/>
  <c r="I225" i="1"/>
  <c r="R225" i="1"/>
  <c r="D226" i="1"/>
  <c r="H226" i="1"/>
  <c r="I226" i="1"/>
  <c r="R226" i="1"/>
  <c r="D227" i="1"/>
  <c r="H227" i="1"/>
  <c r="I227" i="1"/>
  <c r="R227" i="1"/>
  <c r="D228" i="1"/>
  <c r="H228" i="1"/>
  <c r="I228" i="1"/>
  <c r="R228" i="1"/>
  <c r="D229" i="1"/>
  <c r="H229" i="1"/>
  <c r="I229" i="1"/>
  <c r="R229" i="1"/>
  <c r="D230" i="1"/>
  <c r="H230" i="1"/>
  <c r="I230" i="1"/>
  <c r="R230" i="1"/>
  <c r="D231" i="1"/>
  <c r="H231" i="1"/>
  <c r="I231" i="1"/>
  <c r="R231" i="1"/>
  <c r="D232" i="1"/>
  <c r="H232" i="1"/>
  <c r="I232" i="1"/>
  <c r="R232" i="1"/>
  <c r="D233" i="1"/>
  <c r="H233" i="1"/>
  <c r="I233" i="1"/>
  <c r="R233" i="1"/>
  <c r="D234" i="1"/>
  <c r="H234" i="1"/>
  <c r="I234" i="1"/>
  <c r="R234" i="1"/>
  <c r="D235" i="1"/>
  <c r="H235" i="1"/>
  <c r="I235" i="1"/>
  <c r="R235" i="1"/>
  <c r="D236" i="1"/>
  <c r="H236" i="1"/>
  <c r="I236" i="1"/>
  <c r="R236" i="1"/>
  <c r="D237" i="1"/>
  <c r="H237" i="1"/>
  <c r="I237" i="1"/>
  <c r="R237" i="1"/>
  <c r="D238" i="1"/>
  <c r="H238" i="1"/>
  <c r="I238" i="1"/>
  <c r="R238" i="1"/>
  <c r="D239" i="1"/>
  <c r="H239" i="1"/>
  <c r="I239" i="1"/>
  <c r="R239" i="1"/>
  <c r="D240" i="1"/>
  <c r="H240" i="1"/>
  <c r="I240" i="1"/>
  <c r="R240" i="1"/>
  <c r="D241" i="1"/>
  <c r="H241" i="1"/>
  <c r="I241" i="1"/>
  <c r="R241" i="1"/>
  <c r="D242" i="1"/>
  <c r="H242" i="1"/>
  <c r="I242" i="1"/>
  <c r="R242" i="1"/>
  <c r="D243" i="1"/>
  <c r="H243" i="1"/>
  <c r="I243" i="1"/>
  <c r="R243" i="1"/>
  <c r="D244" i="1"/>
  <c r="H244" i="1"/>
  <c r="I244" i="1"/>
  <c r="R244" i="1"/>
  <c r="D245" i="1"/>
  <c r="H245" i="1"/>
  <c r="I245" i="1"/>
  <c r="R245" i="1"/>
  <c r="D246" i="1"/>
  <c r="H246" i="1"/>
  <c r="I246" i="1"/>
  <c r="R246" i="1"/>
  <c r="D247" i="1"/>
  <c r="H247" i="1"/>
  <c r="I247" i="1"/>
  <c r="R247" i="1"/>
  <c r="D248" i="1"/>
  <c r="H248" i="1"/>
  <c r="I248" i="1"/>
  <c r="R248" i="1"/>
  <c r="D249" i="1"/>
  <c r="H249" i="1"/>
  <c r="I249" i="1"/>
  <c r="R249" i="1"/>
  <c r="D250" i="1"/>
  <c r="H250" i="1"/>
  <c r="I250" i="1"/>
  <c r="R250" i="1"/>
  <c r="D251" i="1"/>
  <c r="H251" i="1"/>
  <c r="I251" i="1"/>
  <c r="R251" i="1"/>
  <c r="D252" i="1"/>
  <c r="H252" i="1"/>
  <c r="I252" i="1"/>
  <c r="R252" i="1"/>
  <c r="D253" i="1"/>
  <c r="H253" i="1"/>
  <c r="I253" i="1"/>
  <c r="R253" i="1"/>
  <c r="D254" i="1"/>
  <c r="H254" i="1"/>
  <c r="I254" i="1"/>
  <c r="R254" i="1"/>
  <c r="D255" i="1"/>
  <c r="H255" i="1"/>
  <c r="I255" i="1"/>
  <c r="R255" i="1"/>
  <c r="D256" i="1"/>
  <c r="H256" i="1"/>
  <c r="I256" i="1"/>
  <c r="R256" i="1"/>
  <c r="D257" i="1"/>
  <c r="H257" i="1"/>
  <c r="I257" i="1"/>
  <c r="R257" i="1"/>
  <c r="D258" i="1"/>
  <c r="H258" i="1"/>
  <c r="I258" i="1"/>
  <c r="R258" i="1"/>
  <c r="D259" i="1"/>
  <c r="H259" i="1"/>
  <c r="I259" i="1"/>
  <c r="R259" i="1"/>
  <c r="D260" i="1"/>
  <c r="H260" i="1"/>
  <c r="I260" i="1"/>
  <c r="R260" i="1"/>
  <c r="D261" i="1"/>
  <c r="H261" i="1"/>
  <c r="I261" i="1"/>
  <c r="R261" i="1"/>
  <c r="D262" i="1"/>
  <c r="H262" i="1"/>
  <c r="I262" i="1"/>
  <c r="R262" i="1"/>
  <c r="D263" i="1"/>
  <c r="H263" i="1"/>
  <c r="I263" i="1"/>
  <c r="R263" i="1"/>
  <c r="D264" i="1"/>
  <c r="H264" i="1"/>
  <c r="I264" i="1"/>
  <c r="R264" i="1"/>
  <c r="D265" i="1"/>
  <c r="H265" i="1"/>
  <c r="I265" i="1"/>
  <c r="R265" i="1"/>
  <c r="D266" i="1"/>
  <c r="H266" i="1"/>
  <c r="I266" i="1"/>
  <c r="R266" i="1"/>
  <c r="D267" i="1"/>
  <c r="H267" i="1"/>
  <c r="I267" i="1"/>
  <c r="R267" i="1"/>
  <c r="D268" i="1"/>
  <c r="H268" i="1"/>
  <c r="I268" i="1"/>
  <c r="R268" i="1"/>
  <c r="D269" i="1"/>
  <c r="H269" i="1"/>
  <c r="I269" i="1"/>
  <c r="R269" i="1"/>
  <c r="D270" i="1"/>
  <c r="H270" i="1"/>
  <c r="I270" i="1"/>
  <c r="R270" i="1"/>
  <c r="D271" i="1"/>
  <c r="H271" i="1"/>
  <c r="I271" i="1"/>
  <c r="R271" i="1"/>
  <c r="D272" i="1"/>
  <c r="H272" i="1"/>
  <c r="I272" i="1"/>
  <c r="R272" i="1"/>
  <c r="D273" i="1"/>
  <c r="H273" i="1"/>
  <c r="I273" i="1"/>
  <c r="R273" i="1"/>
  <c r="D274" i="1"/>
  <c r="H274" i="1"/>
  <c r="I274" i="1"/>
  <c r="R274" i="1"/>
  <c r="D275" i="1"/>
  <c r="H275" i="1"/>
  <c r="I275" i="1"/>
  <c r="R275" i="1"/>
  <c r="D276" i="1"/>
  <c r="H276" i="1"/>
  <c r="I276" i="1"/>
  <c r="R276" i="1"/>
  <c r="D277" i="1"/>
  <c r="H277" i="1"/>
  <c r="I277" i="1"/>
  <c r="R277" i="1"/>
  <c r="D278" i="1"/>
  <c r="H278" i="1"/>
  <c r="I278" i="1"/>
  <c r="R278" i="1"/>
  <c r="D279" i="1"/>
  <c r="H279" i="1"/>
  <c r="I279" i="1"/>
  <c r="R279" i="1"/>
  <c r="D280" i="1"/>
  <c r="H280" i="1"/>
  <c r="I280" i="1"/>
  <c r="R280" i="1"/>
  <c r="D281" i="1"/>
  <c r="H281" i="1"/>
  <c r="I281" i="1"/>
  <c r="R281" i="1"/>
  <c r="D282" i="1"/>
  <c r="H282" i="1"/>
  <c r="I282" i="1"/>
  <c r="R282" i="1"/>
  <c r="D283" i="1"/>
  <c r="H283" i="1"/>
  <c r="I283" i="1"/>
  <c r="R283" i="1"/>
  <c r="D284" i="1"/>
  <c r="H284" i="1"/>
  <c r="I284" i="1"/>
  <c r="R284" i="1"/>
  <c r="D285" i="1"/>
  <c r="H285" i="1"/>
  <c r="I285" i="1"/>
  <c r="R285" i="1"/>
  <c r="D286" i="1"/>
  <c r="H286" i="1"/>
  <c r="I286" i="1"/>
  <c r="R286" i="1"/>
  <c r="D287" i="1"/>
  <c r="H287" i="1"/>
  <c r="I287" i="1"/>
  <c r="R287" i="1"/>
  <c r="D288" i="1"/>
  <c r="H288" i="1"/>
  <c r="I288" i="1"/>
  <c r="R288" i="1"/>
  <c r="D289" i="1"/>
  <c r="H289" i="1"/>
  <c r="I289" i="1"/>
  <c r="R289" i="1"/>
  <c r="D290" i="1"/>
  <c r="H290" i="1"/>
  <c r="I290" i="1"/>
  <c r="R290" i="1"/>
  <c r="D291" i="1"/>
  <c r="H291" i="1"/>
  <c r="I291" i="1"/>
  <c r="R291" i="1"/>
  <c r="D292" i="1"/>
  <c r="H292" i="1"/>
  <c r="I292" i="1"/>
  <c r="R292" i="1"/>
  <c r="D293" i="1"/>
  <c r="H293" i="1"/>
  <c r="I293" i="1"/>
  <c r="R293" i="1"/>
  <c r="D294" i="1"/>
  <c r="H294" i="1"/>
  <c r="I294" i="1"/>
  <c r="R294" i="1"/>
  <c r="D295" i="1"/>
  <c r="H295" i="1"/>
  <c r="I295" i="1"/>
  <c r="R295" i="1"/>
  <c r="D296" i="1"/>
  <c r="H296" i="1"/>
  <c r="I296" i="1"/>
  <c r="R296" i="1"/>
  <c r="D297" i="1"/>
  <c r="H297" i="1"/>
  <c r="I297" i="1"/>
  <c r="R297" i="1"/>
  <c r="D298" i="1"/>
  <c r="H298" i="1"/>
  <c r="I298" i="1"/>
  <c r="R298" i="1"/>
  <c r="D299" i="1"/>
  <c r="H299" i="1"/>
  <c r="I299" i="1"/>
  <c r="R299" i="1"/>
  <c r="D300" i="1"/>
  <c r="H300" i="1"/>
  <c r="I300" i="1"/>
  <c r="R300" i="1"/>
  <c r="D301" i="1"/>
  <c r="H301" i="1"/>
  <c r="I301" i="1"/>
  <c r="R301" i="1"/>
  <c r="D302" i="1"/>
  <c r="H302" i="1"/>
  <c r="I302" i="1"/>
  <c r="R302" i="1"/>
  <c r="D303" i="1"/>
  <c r="H303" i="1"/>
  <c r="I303" i="1"/>
  <c r="R303" i="1"/>
  <c r="D304" i="1"/>
  <c r="H304" i="1"/>
  <c r="I304" i="1"/>
  <c r="R304" i="1"/>
  <c r="D305" i="1"/>
  <c r="H305" i="1"/>
  <c r="I305" i="1"/>
  <c r="R305" i="1"/>
  <c r="D306" i="1"/>
  <c r="H306" i="1"/>
  <c r="I306" i="1"/>
  <c r="R306" i="1"/>
  <c r="D307" i="1"/>
  <c r="H307" i="1"/>
  <c r="I307" i="1"/>
  <c r="R307" i="1"/>
  <c r="D308" i="1"/>
  <c r="H308" i="1"/>
  <c r="I308" i="1"/>
  <c r="R308" i="1"/>
  <c r="D309" i="1"/>
  <c r="H309" i="1"/>
  <c r="I309" i="1"/>
  <c r="R309" i="1"/>
  <c r="D310" i="1"/>
  <c r="H310" i="1"/>
  <c r="I310" i="1"/>
  <c r="R310" i="1"/>
  <c r="D311" i="1"/>
  <c r="H311" i="1"/>
  <c r="I311" i="1"/>
  <c r="R311" i="1"/>
  <c r="D312" i="1"/>
  <c r="H312" i="1"/>
  <c r="I312" i="1"/>
  <c r="R312" i="1"/>
  <c r="D313" i="1"/>
  <c r="H313" i="1"/>
  <c r="I313" i="1"/>
  <c r="R313" i="1"/>
  <c r="D314" i="1"/>
  <c r="H314" i="1"/>
  <c r="I314" i="1"/>
  <c r="R314" i="1"/>
  <c r="D315" i="1"/>
  <c r="H315" i="1"/>
  <c r="I315" i="1"/>
  <c r="R315" i="1"/>
  <c r="D316" i="1"/>
  <c r="H316" i="1"/>
  <c r="I316" i="1"/>
  <c r="R316" i="1"/>
  <c r="D317" i="1"/>
  <c r="H317" i="1"/>
  <c r="I317" i="1"/>
  <c r="R317" i="1"/>
  <c r="D318" i="1"/>
  <c r="H318" i="1"/>
  <c r="I318" i="1"/>
  <c r="R318" i="1"/>
  <c r="D319" i="1"/>
  <c r="H319" i="1"/>
  <c r="I319" i="1"/>
  <c r="R319" i="1"/>
  <c r="D320" i="1"/>
  <c r="H320" i="1"/>
  <c r="I320" i="1"/>
  <c r="R320" i="1"/>
  <c r="D321" i="1"/>
  <c r="H321" i="1"/>
  <c r="I321" i="1"/>
  <c r="R321" i="1"/>
  <c r="D322" i="1"/>
  <c r="H322" i="1"/>
  <c r="I322" i="1"/>
  <c r="R322" i="1"/>
  <c r="D323" i="1"/>
  <c r="H323" i="1"/>
  <c r="I323" i="1"/>
  <c r="R323" i="1"/>
  <c r="D324" i="1"/>
  <c r="H324" i="1"/>
  <c r="I324" i="1"/>
  <c r="R324" i="1"/>
  <c r="D325" i="1"/>
  <c r="H325" i="1"/>
  <c r="I325" i="1"/>
  <c r="R325" i="1"/>
  <c r="D326" i="1"/>
  <c r="H326" i="1"/>
  <c r="I326" i="1"/>
  <c r="R326" i="1"/>
  <c r="D327" i="1"/>
  <c r="H327" i="1"/>
  <c r="I327" i="1"/>
  <c r="R327" i="1"/>
  <c r="D328" i="1"/>
  <c r="H328" i="1"/>
  <c r="I328" i="1"/>
  <c r="R328" i="1"/>
  <c r="D329" i="1"/>
  <c r="H329" i="1"/>
  <c r="I329" i="1"/>
  <c r="R329" i="1"/>
  <c r="D330" i="1"/>
  <c r="H330" i="1"/>
  <c r="I330" i="1"/>
  <c r="R330" i="1"/>
  <c r="D331" i="1"/>
  <c r="H331" i="1"/>
  <c r="I331" i="1"/>
  <c r="R331" i="1"/>
  <c r="D332" i="1"/>
  <c r="H332" i="1"/>
  <c r="I332" i="1"/>
  <c r="R332" i="1"/>
  <c r="D333" i="1"/>
  <c r="H333" i="1"/>
  <c r="I333" i="1"/>
  <c r="R333" i="1"/>
  <c r="D334" i="1"/>
  <c r="H334" i="1"/>
  <c r="I334" i="1"/>
  <c r="R334" i="1"/>
  <c r="D335" i="1"/>
  <c r="H335" i="1"/>
  <c r="I335" i="1"/>
  <c r="R335" i="1"/>
  <c r="D336" i="1"/>
  <c r="H336" i="1"/>
  <c r="I336" i="1"/>
  <c r="R336" i="1"/>
  <c r="D337" i="1"/>
  <c r="H337" i="1"/>
  <c r="I337" i="1"/>
  <c r="R337" i="1"/>
  <c r="D338" i="1"/>
  <c r="H338" i="1"/>
  <c r="I338" i="1"/>
  <c r="R338" i="1"/>
  <c r="D339" i="1"/>
  <c r="H339" i="1"/>
  <c r="I339" i="1"/>
  <c r="R339" i="1"/>
  <c r="D340" i="1"/>
  <c r="H340" i="1"/>
  <c r="I340" i="1"/>
  <c r="R340" i="1"/>
  <c r="D341" i="1"/>
  <c r="H341" i="1"/>
  <c r="I341" i="1"/>
  <c r="R341" i="1"/>
  <c r="D342" i="1"/>
  <c r="H342" i="1"/>
  <c r="I342" i="1"/>
  <c r="R342" i="1"/>
  <c r="D343" i="1"/>
  <c r="H343" i="1"/>
  <c r="I343" i="1"/>
  <c r="R343" i="1"/>
  <c r="D344" i="1"/>
  <c r="H344" i="1"/>
  <c r="I344" i="1"/>
  <c r="R344" i="1"/>
  <c r="D345" i="1"/>
  <c r="H345" i="1"/>
  <c r="I345" i="1"/>
  <c r="R345" i="1"/>
  <c r="D346" i="1"/>
  <c r="H346" i="1"/>
  <c r="I346" i="1"/>
  <c r="R346" i="1"/>
  <c r="D347" i="1"/>
  <c r="H347" i="1"/>
  <c r="I347" i="1"/>
  <c r="R347" i="1"/>
  <c r="D348" i="1"/>
  <c r="H348" i="1"/>
  <c r="I348" i="1"/>
  <c r="R348" i="1"/>
  <c r="D349" i="1"/>
  <c r="H349" i="1"/>
  <c r="I349" i="1"/>
  <c r="R349" i="1"/>
  <c r="D350" i="1"/>
  <c r="H350" i="1"/>
  <c r="I350" i="1"/>
  <c r="R350" i="1"/>
  <c r="D351" i="1"/>
  <c r="H351" i="1"/>
  <c r="I351" i="1"/>
  <c r="R351" i="1"/>
  <c r="D352" i="1"/>
  <c r="H352" i="1"/>
  <c r="I352" i="1"/>
  <c r="R352" i="1"/>
  <c r="D353" i="1"/>
  <c r="H353" i="1"/>
  <c r="I353" i="1"/>
  <c r="R353" i="1"/>
  <c r="D354" i="1"/>
  <c r="H354" i="1"/>
  <c r="I354" i="1"/>
  <c r="R354" i="1"/>
  <c r="D355" i="1"/>
  <c r="H355" i="1"/>
  <c r="I355" i="1"/>
  <c r="R355" i="1"/>
  <c r="D356" i="1"/>
  <c r="H356" i="1"/>
  <c r="I356" i="1"/>
  <c r="R356" i="1"/>
  <c r="D357" i="1"/>
  <c r="H357" i="1"/>
  <c r="I357" i="1"/>
  <c r="R357" i="1"/>
  <c r="D358" i="1"/>
  <c r="H358" i="1"/>
  <c r="I358" i="1"/>
  <c r="R358" i="1"/>
  <c r="D359" i="1"/>
  <c r="H359" i="1"/>
  <c r="I359" i="1"/>
  <c r="R359" i="1"/>
  <c r="D360" i="1"/>
  <c r="H360" i="1"/>
  <c r="I360" i="1"/>
  <c r="R360" i="1"/>
  <c r="D361" i="1"/>
  <c r="H361" i="1"/>
  <c r="I361" i="1"/>
  <c r="R361" i="1"/>
  <c r="D362" i="1"/>
  <c r="H362" i="1"/>
  <c r="I362" i="1"/>
  <c r="R362" i="1"/>
  <c r="D363" i="1"/>
  <c r="H363" i="1"/>
  <c r="I363" i="1"/>
  <c r="R363" i="1"/>
  <c r="D364" i="1"/>
  <c r="H364" i="1"/>
  <c r="I364" i="1"/>
  <c r="R364" i="1"/>
  <c r="D365" i="1"/>
  <c r="H365" i="1"/>
  <c r="I365" i="1"/>
  <c r="R365" i="1"/>
  <c r="D366" i="1"/>
  <c r="H366" i="1"/>
  <c r="I366" i="1"/>
  <c r="R366" i="1"/>
  <c r="D367" i="1"/>
  <c r="H367" i="1"/>
  <c r="I367" i="1"/>
  <c r="R367" i="1"/>
  <c r="D368" i="1"/>
  <c r="H368" i="1"/>
  <c r="I368" i="1"/>
  <c r="R368" i="1"/>
  <c r="D369" i="1"/>
  <c r="H369" i="1"/>
  <c r="I369" i="1"/>
  <c r="R369" i="1"/>
  <c r="D370" i="1"/>
  <c r="H370" i="1"/>
  <c r="I370" i="1"/>
  <c r="R370" i="1"/>
  <c r="D371" i="1"/>
  <c r="H371" i="1"/>
  <c r="I371" i="1"/>
  <c r="R371" i="1"/>
  <c r="D372" i="1"/>
  <c r="H372" i="1"/>
  <c r="I372" i="1"/>
  <c r="R372" i="1"/>
  <c r="D373" i="1"/>
  <c r="H373" i="1"/>
  <c r="I373" i="1"/>
  <c r="R373" i="1"/>
  <c r="D374" i="1"/>
  <c r="H374" i="1"/>
  <c r="I374" i="1"/>
  <c r="R374" i="1"/>
  <c r="D375" i="1"/>
  <c r="H375" i="1"/>
  <c r="I375" i="1"/>
  <c r="R375" i="1"/>
  <c r="D376" i="1"/>
  <c r="H376" i="1"/>
  <c r="I376" i="1"/>
  <c r="R376" i="1"/>
  <c r="D377" i="1"/>
  <c r="H377" i="1"/>
  <c r="I377" i="1"/>
  <c r="R377" i="1"/>
  <c r="D378" i="1"/>
  <c r="H378" i="1"/>
  <c r="I378" i="1"/>
  <c r="R378" i="1"/>
  <c r="D379" i="1"/>
  <c r="H379" i="1"/>
  <c r="I379" i="1"/>
  <c r="R379" i="1"/>
  <c r="D380" i="1"/>
  <c r="H380" i="1"/>
  <c r="I380" i="1"/>
  <c r="R380" i="1"/>
  <c r="D381" i="1"/>
  <c r="H381" i="1"/>
  <c r="I381" i="1"/>
  <c r="R381" i="1"/>
  <c r="D382" i="1"/>
  <c r="H382" i="1"/>
  <c r="I382" i="1"/>
  <c r="R382" i="1"/>
  <c r="D383" i="1"/>
  <c r="H383" i="1"/>
  <c r="I383" i="1"/>
  <c r="R383" i="1"/>
  <c r="D384" i="1"/>
  <c r="H384" i="1"/>
  <c r="I384" i="1"/>
  <c r="R384" i="1"/>
  <c r="D385" i="1"/>
  <c r="H385" i="1"/>
  <c r="I385" i="1"/>
  <c r="R385" i="1"/>
  <c r="D386" i="1"/>
  <c r="H386" i="1"/>
  <c r="I386" i="1"/>
  <c r="R386" i="1"/>
  <c r="D387" i="1"/>
  <c r="H387" i="1"/>
  <c r="I387" i="1"/>
  <c r="R387" i="1"/>
  <c r="D388" i="1"/>
  <c r="H388" i="1"/>
  <c r="I388" i="1"/>
  <c r="R388" i="1"/>
  <c r="D389" i="1"/>
  <c r="H389" i="1"/>
  <c r="I389" i="1"/>
  <c r="R389" i="1"/>
  <c r="D390" i="1"/>
  <c r="H390" i="1"/>
  <c r="I390" i="1"/>
  <c r="R390" i="1"/>
  <c r="D391" i="1"/>
  <c r="H391" i="1"/>
  <c r="I391" i="1"/>
  <c r="R391" i="1"/>
  <c r="D392" i="1"/>
  <c r="H392" i="1"/>
  <c r="I392" i="1"/>
  <c r="R392" i="1"/>
  <c r="D393" i="1"/>
  <c r="H393" i="1"/>
  <c r="I393" i="1"/>
  <c r="R393" i="1"/>
  <c r="D394" i="1"/>
  <c r="H394" i="1"/>
  <c r="I394" i="1"/>
  <c r="R394" i="1"/>
  <c r="D395" i="1"/>
  <c r="H395" i="1"/>
  <c r="I395" i="1"/>
  <c r="R395" i="1"/>
  <c r="D396" i="1"/>
  <c r="H396" i="1"/>
  <c r="I396" i="1"/>
  <c r="R396" i="1"/>
  <c r="D397" i="1"/>
  <c r="H397" i="1"/>
  <c r="I397" i="1"/>
  <c r="R397" i="1"/>
  <c r="D398" i="1"/>
  <c r="H398" i="1"/>
  <c r="I398" i="1"/>
  <c r="R398" i="1"/>
  <c r="D399" i="1"/>
  <c r="H399" i="1"/>
  <c r="I399" i="1"/>
  <c r="R399" i="1"/>
  <c r="D400" i="1"/>
  <c r="H400" i="1"/>
  <c r="I400" i="1"/>
  <c r="R400" i="1"/>
  <c r="D401" i="1"/>
  <c r="H401" i="1"/>
  <c r="I401" i="1"/>
  <c r="R401" i="1"/>
  <c r="D402" i="1"/>
  <c r="H402" i="1"/>
  <c r="I402" i="1"/>
  <c r="R402" i="1"/>
  <c r="D403" i="1"/>
  <c r="H403" i="1"/>
  <c r="I403" i="1"/>
  <c r="R403" i="1"/>
  <c r="D404" i="1"/>
  <c r="H404" i="1"/>
  <c r="I404" i="1"/>
  <c r="R404" i="1"/>
  <c r="D405" i="1"/>
  <c r="H405" i="1"/>
  <c r="I405" i="1"/>
  <c r="R405" i="1"/>
  <c r="D406" i="1"/>
  <c r="H406" i="1"/>
  <c r="I406" i="1"/>
  <c r="R406" i="1"/>
  <c r="D407" i="1"/>
  <c r="H407" i="1"/>
  <c r="I407" i="1"/>
  <c r="R407" i="1"/>
  <c r="D408" i="1"/>
  <c r="H408" i="1"/>
  <c r="I408" i="1"/>
  <c r="R408" i="1"/>
  <c r="D409" i="1"/>
  <c r="H409" i="1"/>
  <c r="I409" i="1"/>
  <c r="R409" i="1"/>
  <c r="D410" i="1"/>
  <c r="H410" i="1"/>
  <c r="I410" i="1"/>
  <c r="R410" i="1"/>
  <c r="D411" i="1"/>
  <c r="H411" i="1"/>
  <c r="I411" i="1"/>
  <c r="R411" i="1"/>
  <c r="D412" i="1"/>
  <c r="H412" i="1"/>
  <c r="I412" i="1"/>
  <c r="R412" i="1"/>
  <c r="D413" i="1"/>
  <c r="H413" i="1"/>
  <c r="I413" i="1"/>
  <c r="R413" i="1"/>
  <c r="D414" i="1"/>
  <c r="H414" i="1"/>
  <c r="I414" i="1"/>
  <c r="R414" i="1"/>
  <c r="D415" i="1"/>
  <c r="H415" i="1"/>
  <c r="I415" i="1"/>
  <c r="R415" i="1"/>
  <c r="D416" i="1"/>
  <c r="H416" i="1"/>
  <c r="I416" i="1"/>
  <c r="R416" i="1"/>
  <c r="D417" i="1"/>
  <c r="H417" i="1"/>
  <c r="I417" i="1"/>
  <c r="R417" i="1"/>
  <c r="D418" i="1"/>
  <c r="H418" i="1"/>
  <c r="I418" i="1"/>
  <c r="R418" i="1"/>
  <c r="D419" i="1"/>
  <c r="H419" i="1"/>
  <c r="I419" i="1"/>
  <c r="R419" i="1"/>
  <c r="D420" i="1"/>
  <c r="H420" i="1"/>
  <c r="I420" i="1"/>
  <c r="R420" i="1"/>
  <c r="D421" i="1"/>
  <c r="H421" i="1"/>
  <c r="I421" i="1"/>
  <c r="R421" i="1"/>
  <c r="D422" i="1"/>
  <c r="H422" i="1"/>
  <c r="I422" i="1"/>
  <c r="R422" i="1"/>
  <c r="D423" i="1"/>
  <c r="H423" i="1"/>
  <c r="I423" i="1"/>
  <c r="R423" i="1"/>
  <c r="D424" i="1"/>
  <c r="H424" i="1"/>
  <c r="I424" i="1"/>
  <c r="R424" i="1"/>
  <c r="D425" i="1"/>
  <c r="H425" i="1"/>
  <c r="I425" i="1"/>
  <c r="R425" i="1"/>
  <c r="D426" i="1"/>
  <c r="H426" i="1"/>
  <c r="I426" i="1"/>
  <c r="R426" i="1"/>
  <c r="D427" i="1"/>
  <c r="H427" i="1"/>
  <c r="I427" i="1"/>
  <c r="R427" i="1"/>
  <c r="D428" i="1"/>
  <c r="H428" i="1"/>
  <c r="I428" i="1"/>
  <c r="R428" i="1"/>
  <c r="D429" i="1"/>
  <c r="H429" i="1"/>
  <c r="I429" i="1"/>
  <c r="R429" i="1"/>
  <c r="D430" i="1"/>
  <c r="H430" i="1"/>
  <c r="I430" i="1"/>
  <c r="R430" i="1"/>
  <c r="D431" i="1"/>
  <c r="H431" i="1"/>
  <c r="I431" i="1"/>
  <c r="R431" i="1"/>
  <c r="D432" i="1"/>
  <c r="H432" i="1"/>
  <c r="I432" i="1"/>
  <c r="R432" i="1"/>
  <c r="D433" i="1"/>
  <c r="H433" i="1"/>
  <c r="I433" i="1"/>
  <c r="R433" i="1"/>
  <c r="D434" i="1"/>
  <c r="H434" i="1"/>
  <c r="I434" i="1"/>
  <c r="R434" i="1"/>
  <c r="D435" i="1"/>
  <c r="H435" i="1"/>
  <c r="I435" i="1"/>
  <c r="R435" i="1"/>
  <c r="D436" i="1"/>
  <c r="H436" i="1"/>
  <c r="I436" i="1"/>
  <c r="R436" i="1"/>
  <c r="D437" i="1"/>
  <c r="H437" i="1"/>
  <c r="I437" i="1"/>
  <c r="R437" i="1"/>
  <c r="D438" i="1"/>
  <c r="H438" i="1"/>
  <c r="I438" i="1"/>
  <c r="R438" i="1"/>
  <c r="D439" i="1"/>
  <c r="H439" i="1"/>
  <c r="I439" i="1"/>
  <c r="R439" i="1"/>
  <c r="D440" i="1"/>
  <c r="H440" i="1"/>
  <c r="I440" i="1"/>
  <c r="R440" i="1"/>
  <c r="D441" i="1"/>
  <c r="H441" i="1"/>
  <c r="I441" i="1"/>
  <c r="R441" i="1"/>
  <c r="D442" i="1"/>
  <c r="H442" i="1"/>
  <c r="I442" i="1"/>
  <c r="R442" i="1"/>
  <c r="D443" i="1"/>
  <c r="H443" i="1"/>
  <c r="I443" i="1"/>
  <c r="R443" i="1"/>
  <c r="D444" i="1"/>
  <c r="H444" i="1"/>
  <c r="I444" i="1"/>
  <c r="R444" i="1"/>
  <c r="D445" i="1"/>
  <c r="H445" i="1"/>
  <c r="I445" i="1"/>
  <c r="R445" i="1"/>
  <c r="D446" i="1"/>
  <c r="H446" i="1"/>
  <c r="I446" i="1"/>
  <c r="R446" i="1"/>
  <c r="D447" i="1"/>
  <c r="H447" i="1"/>
  <c r="I447" i="1"/>
  <c r="R447" i="1"/>
  <c r="D448" i="1"/>
  <c r="H448" i="1"/>
  <c r="I448" i="1"/>
  <c r="R448" i="1"/>
  <c r="D449" i="1"/>
  <c r="H449" i="1"/>
  <c r="I449" i="1"/>
  <c r="R449" i="1"/>
  <c r="D450" i="1"/>
  <c r="H450" i="1"/>
  <c r="I450" i="1"/>
  <c r="R450" i="1"/>
  <c r="D451" i="1"/>
  <c r="H451" i="1"/>
  <c r="I451" i="1"/>
  <c r="R451" i="1"/>
  <c r="D452" i="1"/>
  <c r="H452" i="1"/>
  <c r="I452" i="1"/>
  <c r="R452" i="1"/>
  <c r="D453" i="1"/>
  <c r="H453" i="1"/>
  <c r="I453" i="1"/>
  <c r="R453" i="1"/>
  <c r="D454" i="1"/>
  <c r="H454" i="1"/>
  <c r="I454" i="1"/>
  <c r="R454" i="1"/>
  <c r="D455" i="1"/>
  <c r="H455" i="1"/>
  <c r="I455" i="1"/>
  <c r="R455" i="1"/>
  <c r="D456" i="1"/>
  <c r="H456" i="1"/>
  <c r="I456" i="1"/>
  <c r="R456" i="1"/>
  <c r="D457" i="1"/>
  <c r="H457" i="1"/>
  <c r="I457" i="1"/>
  <c r="R457" i="1"/>
  <c r="D458" i="1"/>
  <c r="H458" i="1"/>
  <c r="I458" i="1"/>
  <c r="R458" i="1"/>
  <c r="D459" i="1"/>
  <c r="H459" i="1"/>
  <c r="I459" i="1"/>
  <c r="R459" i="1"/>
  <c r="D460" i="1"/>
  <c r="H460" i="1"/>
  <c r="I460" i="1"/>
  <c r="R460" i="1"/>
  <c r="D461" i="1"/>
  <c r="H461" i="1"/>
  <c r="I461" i="1"/>
  <c r="R461" i="1"/>
  <c r="D462" i="1"/>
  <c r="H462" i="1"/>
  <c r="I462" i="1"/>
  <c r="R462" i="1"/>
  <c r="D463" i="1"/>
  <c r="H463" i="1"/>
  <c r="I463" i="1"/>
  <c r="R463" i="1"/>
  <c r="D464" i="1"/>
  <c r="H464" i="1"/>
  <c r="I464" i="1"/>
  <c r="R464" i="1"/>
  <c r="D465" i="1"/>
  <c r="H465" i="1"/>
  <c r="I465" i="1"/>
  <c r="R465" i="1"/>
  <c r="D466" i="1"/>
  <c r="H466" i="1"/>
  <c r="I466" i="1"/>
  <c r="R466" i="1"/>
  <c r="D467" i="1"/>
  <c r="H467" i="1"/>
  <c r="I467" i="1"/>
  <c r="R467" i="1"/>
  <c r="D468" i="1"/>
  <c r="H468" i="1"/>
  <c r="I468" i="1"/>
  <c r="R468" i="1"/>
  <c r="D469" i="1"/>
  <c r="H469" i="1"/>
  <c r="I469" i="1"/>
  <c r="R469" i="1"/>
  <c r="D470" i="1"/>
  <c r="H470" i="1"/>
  <c r="I470" i="1"/>
  <c r="R470" i="1"/>
  <c r="D471" i="1"/>
  <c r="H471" i="1"/>
  <c r="I471" i="1"/>
  <c r="R471" i="1"/>
  <c r="D472" i="1"/>
  <c r="H472" i="1"/>
  <c r="I472" i="1"/>
  <c r="R472" i="1"/>
  <c r="D473" i="1"/>
  <c r="H473" i="1"/>
  <c r="I473" i="1"/>
  <c r="R473" i="1"/>
  <c r="D474" i="1"/>
  <c r="H474" i="1"/>
  <c r="I474" i="1"/>
  <c r="R474" i="1"/>
  <c r="D475" i="1"/>
  <c r="H475" i="1"/>
  <c r="I475" i="1"/>
  <c r="R475" i="1"/>
  <c r="D476" i="1"/>
  <c r="H476" i="1"/>
  <c r="I476" i="1"/>
  <c r="R476" i="1"/>
  <c r="D477" i="1"/>
  <c r="H477" i="1"/>
  <c r="I477" i="1"/>
  <c r="R477" i="1"/>
  <c r="D478" i="1"/>
  <c r="H478" i="1"/>
  <c r="I478" i="1"/>
  <c r="R478" i="1"/>
  <c r="D479" i="1"/>
  <c r="H479" i="1"/>
  <c r="I479" i="1"/>
  <c r="R479" i="1"/>
  <c r="D480" i="1"/>
  <c r="H480" i="1"/>
  <c r="I480" i="1"/>
  <c r="R480" i="1"/>
  <c r="D481" i="1"/>
  <c r="H481" i="1"/>
  <c r="I481" i="1"/>
  <c r="R481" i="1"/>
  <c r="D482" i="1"/>
  <c r="H482" i="1"/>
  <c r="I482" i="1"/>
  <c r="R482" i="1"/>
  <c r="D483" i="1"/>
  <c r="H483" i="1"/>
  <c r="I483" i="1"/>
  <c r="R483" i="1"/>
  <c r="D484" i="1"/>
  <c r="H484" i="1"/>
  <c r="I484" i="1"/>
  <c r="R484" i="1"/>
  <c r="D485" i="1"/>
  <c r="H485" i="1"/>
  <c r="I485" i="1"/>
  <c r="R485" i="1"/>
  <c r="D486" i="1"/>
  <c r="H486" i="1"/>
  <c r="I486" i="1"/>
  <c r="R486" i="1"/>
  <c r="D487" i="1"/>
  <c r="H487" i="1"/>
  <c r="I487" i="1"/>
  <c r="R487" i="1"/>
  <c r="D488" i="1"/>
  <c r="H488" i="1"/>
  <c r="I488" i="1"/>
  <c r="R488" i="1"/>
  <c r="D489" i="1"/>
  <c r="H489" i="1"/>
  <c r="I489" i="1"/>
  <c r="R489" i="1"/>
  <c r="D490" i="1"/>
  <c r="H490" i="1"/>
  <c r="I490" i="1"/>
  <c r="R490" i="1"/>
  <c r="D491" i="1"/>
  <c r="H491" i="1"/>
  <c r="I491" i="1"/>
  <c r="R491" i="1"/>
  <c r="D492" i="1"/>
  <c r="H492" i="1"/>
  <c r="I492" i="1"/>
  <c r="R492" i="1"/>
  <c r="D493" i="1"/>
  <c r="H493" i="1"/>
  <c r="I493" i="1"/>
  <c r="R493" i="1"/>
  <c r="D494" i="1"/>
  <c r="H494" i="1"/>
  <c r="I494" i="1"/>
  <c r="R494" i="1"/>
  <c r="D495" i="1"/>
  <c r="H495" i="1"/>
  <c r="I495" i="1"/>
  <c r="R495" i="1"/>
  <c r="D496" i="1"/>
  <c r="H496" i="1"/>
  <c r="I496" i="1"/>
  <c r="R496" i="1"/>
  <c r="D497" i="1"/>
  <c r="H497" i="1"/>
  <c r="I497" i="1"/>
  <c r="R497" i="1"/>
  <c r="D498" i="1"/>
  <c r="H498" i="1"/>
  <c r="I498" i="1"/>
  <c r="R498" i="1"/>
  <c r="D499" i="1"/>
  <c r="H499" i="1"/>
  <c r="I499" i="1"/>
  <c r="R499" i="1"/>
  <c r="D500" i="1"/>
  <c r="H500" i="1"/>
  <c r="I500" i="1"/>
  <c r="R500" i="1"/>
  <c r="D501" i="1"/>
  <c r="H501" i="1"/>
  <c r="I501" i="1"/>
  <c r="R501" i="1"/>
  <c r="D502" i="1"/>
  <c r="H502" i="1"/>
  <c r="I502" i="1"/>
  <c r="R502" i="1"/>
  <c r="D503" i="1"/>
  <c r="H503" i="1"/>
  <c r="I503" i="1"/>
  <c r="R503" i="1"/>
  <c r="D504" i="1"/>
  <c r="H504" i="1"/>
  <c r="I504" i="1"/>
  <c r="R504" i="1"/>
  <c r="D505" i="1"/>
  <c r="H505" i="1"/>
  <c r="I505" i="1"/>
  <c r="R505" i="1"/>
  <c r="D506" i="1"/>
  <c r="H506" i="1"/>
  <c r="I506" i="1"/>
  <c r="R506" i="1"/>
  <c r="D507" i="1"/>
  <c r="H507" i="1"/>
  <c r="I507" i="1"/>
  <c r="R507" i="1"/>
  <c r="D508" i="1"/>
  <c r="H508" i="1"/>
  <c r="I508" i="1"/>
  <c r="R508" i="1"/>
  <c r="D509" i="1"/>
  <c r="H509" i="1"/>
  <c r="I509" i="1"/>
  <c r="R509" i="1"/>
  <c r="D510" i="1"/>
  <c r="H510" i="1"/>
  <c r="I510" i="1"/>
  <c r="R510" i="1"/>
  <c r="D511" i="1"/>
  <c r="H511" i="1"/>
  <c r="I511" i="1"/>
  <c r="R511" i="1"/>
  <c r="D512" i="1"/>
  <c r="H512" i="1"/>
  <c r="I512" i="1"/>
  <c r="R512" i="1"/>
  <c r="D513" i="1"/>
  <c r="H513" i="1"/>
  <c r="I513" i="1"/>
  <c r="R513" i="1"/>
  <c r="D514" i="1"/>
  <c r="H514" i="1"/>
  <c r="I514" i="1"/>
  <c r="R514" i="1"/>
  <c r="D515" i="1"/>
  <c r="H515" i="1"/>
  <c r="I515" i="1"/>
  <c r="R515" i="1"/>
  <c r="D516" i="1"/>
  <c r="H516" i="1"/>
  <c r="I516" i="1"/>
  <c r="R516" i="1"/>
  <c r="D517" i="1"/>
  <c r="H517" i="1"/>
  <c r="I517" i="1"/>
  <c r="R517" i="1"/>
  <c r="D518" i="1"/>
  <c r="H518" i="1"/>
  <c r="I518" i="1"/>
  <c r="R518" i="1"/>
  <c r="D519" i="1"/>
  <c r="H519" i="1"/>
  <c r="I519" i="1"/>
  <c r="R519" i="1"/>
  <c r="D520" i="1"/>
  <c r="H520" i="1"/>
  <c r="I520" i="1"/>
  <c r="R520" i="1"/>
  <c r="D521" i="1"/>
  <c r="H521" i="1"/>
  <c r="I521" i="1"/>
  <c r="R521" i="1"/>
  <c r="D522" i="1"/>
  <c r="H522" i="1"/>
  <c r="I522" i="1"/>
  <c r="R522" i="1"/>
  <c r="D523" i="1"/>
  <c r="H523" i="1"/>
  <c r="I523" i="1"/>
  <c r="R523" i="1"/>
  <c r="D524" i="1"/>
  <c r="H524" i="1"/>
  <c r="I524" i="1"/>
  <c r="R524" i="1"/>
  <c r="D525" i="1"/>
  <c r="H525" i="1"/>
  <c r="I525" i="1"/>
  <c r="R525" i="1"/>
  <c r="D526" i="1"/>
  <c r="H526" i="1"/>
  <c r="I526" i="1"/>
  <c r="R526" i="1"/>
  <c r="D527" i="1"/>
  <c r="H527" i="1"/>
  <c r="I527" i="1"/>
  <c r="R527" i="1"/>
  <c r="D528" i="1"/>
  <c r="H528" i="1"/>
  <c r="I528" i="1"/>
  <c r="R528" i="1"/>
  <c r="D529" i="1"/>
  <c r="H529" i="1"/>
  <c r="I529" i="1"/>
  <c r="R529" i="1"/>
  <c r="D530" i="1"/>
  <c r="H530" i="1"/>
  <c r="I530" i="1"/>
  <c r="R530" i="1"/>
  <c r="D531" i="1"/>
  <c r="H531" i="1"/>
  <c r="I531" i="1"/>
  <c r="R531" i="1"/>
  <c r="D532" i="1"/>
  <c r="H532" i="1"/>
  <c r="I532" i="1"/>
  <c r="R532" i="1"/>
  <c r="D533" i="1"/>
  <c r="H533" i="1"/>
  <c r="I533" i="1"/>
  <c r="R533" i="1"/>
  <c r="D534" i="1"/>
  <c r="H534" i="1"/>
  <c r="I534" i="1"/>
  <c r="R534" i="1"/>
  <c r="D535" i="1"/>
  <c r="H535" i="1"/>
  <c r="I535" i="1"/>
  <c r="R535" i="1"/>
  <c r="D536" i="1"/>
  <c r="H536" i="1"/>
  <c r="I536" i="1"/>
  <c r="R536" i="1"/>
  <c r="D537" i="1"/>
  <c r="H537" i="1"/>
  <c r="I537" i="1"/>
  <c r="R537" i="1"/>
  <c r="D538" i="1"/>
  <c r="H538" i="1"/>
  <c r="I538" i="1"/>
  <c r="R538" i="1"/>
  <c r="D539" i="1"/>
  <c r="H539" i="1"/>
  <c r="I539" i="1"/>
  <c r="R539" i="1"/>
  <c r="D540" i="1"/>
  <c r="H540" i="1"/>
  <c r="I540" i="1"/>
  <c r="R540" i="1"/>
  <c r="D541" i="1"/>
  <c r="H541" i="1"/>
  <c r="I541" i="1"/>
  <c r="R541" i="1"/>
  <c r="D542" i="1"/>
  <c r="H542" i="1"/>
  <c r="I542" i="1"/>
  <c r="R542" i="1"/>
  <c r="D543" i="1"/>
  <c r="H543" i="1"/>
  <c r="I543" i="1"/>
  <c r="R543" i="1"/>
  <c r="D544" i="1"/>
  <c r="H544" i="1"/>
  <c r="I544" i="1"/>
  <c r="R544" i="1"/>
  <c r="D545" i="1"/>
  <c r="H545" i="1"/>
  <c r="I545" i="1"/>
  <c r="R545" i="1"/>
  <c r="D546" i="1"/>
  <c r="H546" i="1"/>
  <c r="I546" i="1"/>
  <c r="R546" i="1"/>
  <c r="D547" i="1"/>
  <c r="H547" i="1"/>
  <c r="I547" i="1"/>
  <c r="R547" i="1"/>
  <c r="D548" i="1"/>
  <c r="H548" i="1"/>
  <c r="I548" i="1"/>
  <c r="R548" i="1"/>
  <c r="D549" i="1"/>
  <c r="H549" i="1"/>
  <c r="I549" i="1"/>
  <c r="R549" i="1"/>
  <c r="D550" i="1"/>
  <c r="H550" i="1"/>
  <c r="I550" i="1"/>
  <c r="R550" i="1"/>
  <c r="D551" i="1"/>
  <c r="H551" i="1"/>
  <c r="I551" i="1"/>
  <c r="R551" i="1"/>
  <c r="D552" i="1"/>
  <c r="H552" i="1"/>
  <c r="I552" i="1"/>
  <c r="R552" i="1"/>
  <c r="D553" i="1"/>
  <c r="H553" i="1"/>
  <c r="I553" i="1"/>
  <c r="R553" i="1"/>
  <c r="D554" i="1"/>
  <c r="H554" i="1"/>
  <c r="I554" i="1"/>
  <c r="R554" i="1"/>
  <c r="D555" i="1"/>
  <c r="H555" i="1"/>
  <c r="I555" i="1"/>
  <c r="R555" i="1"/>
  <c r="D556" i="1"/>
  <c r="H556" i="1"/>
  <c r="I556" i="1"/>
  <c r="R556" i="1"/>
  <c r="D557" i="1"/>
  <c r="H557" i="1"/>
  <c r="I557" i="1"/>
  <c r="R557" i="1"/>
  <c r="D558" i="1"/>
  <c r="H558" i="1"/>
  <c r="I558" i="1"/>
  <c r="R558" i="1"/>
  <c r="D559" i="1"/>
  <c r="H559" i="1"/>
  <c r="I559" i="1"/>
  <c r="R559" i="1"/>
  <c r="D560" i="1"/>
  <c r="H560" i="1"/>
  <c r="I560" i="1"/>
  <c r="R560" i="1"/>
  <c r="D561" i="1"/>
  <c r="H561" i="1"/>
  <c r="I561" i="1"/>
  <c r="R561" i="1"/>
  <c r="D562" i="1"/>
  <c r="H562" i="1"/>
  <c r="I562" i="1"/>
  <c r="R562" i="1"/>
  <c r="D563" i="1"/>
  <c r="H563" i="1"/>
  <c r="I563" i="1"/>
  <c r="R563" i="1"/>
  <c r="D564" i="1"/>
  <c r="H564" i="1"/>
  <c r="I564" i="1"/>
  <c r="R564" i="1"/>
  <c r="D565" i="1"/>
  <c r="H565" i="1"/>
  <c r="I565" i="1"/>
  <c r="R565" i="1"/>
  <c r="D566" i="1"/>
  <c r="H566" i="1"/>
  <c r="I566" i="1"/>
  <c r="R566" i="1"/>
  <c r="D567" i="1"/>
  <c r="H567" i="1"/>
  <c r="I567" i="1"/>
  <c r="R567" i="1"/>
  <c r="D568" i="1"/>
  <c r="H568" i="1"/>
  <c r="I568" i="1"/>
  <c r="R568" i="1"/>
  <c r="D569" i="1"/>
  <c r="H569" i="1"/>
  <c r="I569" i="1"/>
  <c r="R569" i="1"/>
  <c r="D570" i="1"/>
  <c r="H570" i="1"/>
  <c r="I570" i="1"/>
  <c r="R570" i="1"/>
  <c r="D571" i="1"/>
  <c r="H571" i="1"/>
  <c r="I571" i="1"/>
  <c r="R571" i="1"/>
  <c r="D572" i="1"/>
  <c r="H572" i="1"/>
  <c r="I572" i="1"/>
  <c r="R572" i="1"/>
  <c r="D573" i="1"/>
  <c r="H573" i="1"/>
  <c r="I573" i="1"/>
  <c r="R573" i="1"/>
  <c r="D574" i="1"/>
  <c r="H574" i="1"/>
  <c r="I574" i="1"/>
  <c r="R574" i="1"/>
  <c r="D575" i="1"/>
  <c r="H575" i="1"/>
  <c r="I575" i="1"/>
  <c r="R575" i="1"/>
  <c r="D576" i="1"/>
  <c r="H576" i="1"/>
  <c r="I576" i="1"/>
  <c r="R576" i="1"/>
  <c r="D577" i="1"/>
  <c r="H577" i="1"/>
  <c r="I577" i="1"/>
  <c r="R577" i="1"/>
  <c r="D578" i="1"/>
  <c r="H578" i="1"/>
  <c r="I578" i="1"/>
  <c r="R578" i="1"/>
  <c r="D579" i="1"/>
  <c r="H579" i="1"/>
  <c r="I579" i="1"/>
  <c r="R579" i="1"/>
  <c r="D580" i="1"/>
  <c r="H580" i="1"/>
  <c r="I580" i="1"/>
  <c r="R580" i="1"/>
  <c r="D581" i="1"/>
  <c r="H581" i="1"/>
  <c r="I581" i="1"/>
  <c r="R581" i="1"/>
  <c r="D582" i="1"/>
  <c r="H582" i="1"/>
  <c r="I582" i="1"/>
  <c r="R582" i="1"/>
  <c r="D583" i="1"/>
  <c r="H583" i="1"/>
  <c r="I583" i="1"/>
  <c r="R583" i="1"/>
  <c r="D584" i="1"/>
  <c r="H584" i="1"/>
  <c r="I584" i="1"/>
  <c r="R584" i="1"/>
  <c r="D585" i="1"/>
  <c r="H585" i="1"/>
  <c r="I585" i="1"/>
  <c r="R585" i="1"/>
  <c r="D586" i="1"/>
  <c r="H586" i="1"/>
  <c r="I586" i="1"/>
  <c r="R586" i="1"/>
  <c r="D587" i="1"/>
  <c r="H587" i="1"/>
  <c r="I587" i="1"/>
  <c r="R587" i="1"/>
  <c r="D588" i="1"/>
  <c r="H588" i="1"/>
  <c r="I588" i="1"/>
  <c r="R588" i="1"/>
  <c r="D589" i="1"/>
  <c r="H589" i="1"/>
  <c r="I589" i="1"/>
  <c r="R589" i="1"/>
  <c r="D590" i="1"/>
  <c r="H590" i="1"/>
  <c r="I590" i="1"/>
  <c r="R590" i="1"/>
  <c r="D591" i="1"/>
  <c r="H591" i="1"/>
  <c r="I591" i="1"/>
  <c r="R591" i="1"/>
  <c r="D592" i="1"/>
  <c r="H592" i="1"/>
  <c r="I592" i="1"/>
  <c r="R592" i="1"/>
  <c r="D593" i="1"/>
  <c r="H593" i="1"/>
  <c r="I593" i="1"/>
  <c r="R593" i="1"/>
  <c r="D594" i="1"/>
  <c r="H594" i="1"/>
  <c r="I594" i="1"/>
  <c r="R594" i="1"/>
  <c r="D595" i="1"/>
  <c r="H595" i="1"/>
  <c r="I595" i="1"/>
  <c r="R595" i="1"/>
  <c r="D596" i="1"/>
  <c r="H596" i="1"/>
  <c r="I596" i="1"/>
  <c r="R596" i="1"/>
  <c r="D597" i="1"/>
  <c r="H597" i="1"/>
  <c r="I597" i="1"/>
  <c r="R597" i="1"/>
  <c r="D598" i="1"/>
  <c r="H598" i="1"/>
  <c r="I598" i="1"/>
  <c r="R598" i="1"/>
  <c r="D599" i="1"/>
  <c r="H599" i="1"/>
  <c r="I599" i="1"/>
  <c r="R599" i="1"/>
  <c r="D600" i="1"/>
  <c r="H600" i="1"/>
  <c r="I600" i="1"/>
  <c r="R600" i="1"/>
  <c r="D601" i="1"/>
  <c r="H601" i="1"/>
  <c r="I601" i="1"/>
  <c r="R601" i="1"/>
  <c r="D602" i="1"/>
  <c r="H602" i="1"/>
  <c r="I602" i="1"/>
  <c r="R602" i="1"/>
  <c r="D603" i="1"/>
  <c r="H603" i="1"/>
  <c r="I603" i="1"/>
  <c r="R603" i="1"/>
  <c r="D604" i="1"/>
  <c r="H604" i="1"/>
  <c r="I604" i="1"/>
  <c r="R604" i="1"/>
  <c r="D605" i="1"/>
  <c r="H605" i="1"/>
  <c r="I605" i="1"/>
  <c r="R605" i="1"/>
  <c r="D606" i="1"/>
  <c r="H606" i="1"/>
  <c r="I606" i="1"/>
  <c r="R606" i="1"/>
  <c r="D607" i="1"/>
  <c r="H607" i="1"/>
  <c r="I607" i="1"/>
  <c r="R607" i="1"/>
  <c r="D608" i="1"/>
  <c r="H608" i="1"/>
  <c r="I608" i="1"/>
  <c r="R608" i="1"/>
  <c r="D609" i="1"/>
  <c r="H609" i="1"/>
  <c r="I609" i="1"/>
  <c r="R609" i="1"/>
  <c r="D610" i="1"/>
  <c r="H610" i="1"/>
  <c r="I610" i="1"/>
  <c r="R610" i="1"/>
  <c r="D611" i="1"/>
  <c r="H611" i="1"/>
  <c r="I611" i="1"/>
  <c r="R611" i="1"/>
  <c r="D612" i="1"/>
  <c r="H612" i="1"/>
  <c r="I612" i="1"/>
  <c r="R612" i="1"/>
  <c r="D613" i="1"/>
  <c r="H613" i="1"/>
  <c r="I613" i="1"/>
  <c r="R613" i="1"/>
  <c r="D614" i="1"/>
  <c r="H614" i="1"/>
  <c r="I614" i="1"/>
  <c r="R614" i="1"/>
  <c r="D615" i="1"/>
  <c r="H615" i="1"/>
  <c r="I615" i="1"/>
  <c r="R615" i="1"/>
  <c r="D616" i="1"/>
  <c r="H616" i="1"/>
  <c r="I616" i="1"/>
  <c r="R616" i="1"/>
  <c r="D617" i="1"/>
  <c r="H617" i="1"/>
  <c r="I617" i="1"/>
  <c r="R617" i="1"/>
  <c r="D618" i="1"/>
  <c r="H618" i="1"/>
  <c r="I618" i="1"/>
  <c r="R618" i="1"/>
  <c r="D619" i="1"/>
  <c r="H619" i="1"/>
  <c r="I619" i="1"/>
  <c r="R619" i="1"/>
  <c r="D620" i="1"/>
  <c r="H620" i="1"/>
  <c r="I620" i="1"/>
  <c r="R620" i="1"/>
  <c r="D621" i="1"/>
  <c r="H621" i="1"/>
  <c r="I621" i="1"/>
  <c r="R621" i="1"/>
  <c r="D622" i="1"/>
  <c r="H622" i="1"/>
  <c r="I622" i="1"/>
  <c r="R622" i="1"/>
  <c r="D623" i="1"/>
  <c r="H623" i="1"/>
  <c r="I623" i="1"/>
  <c r="R623" i="1"/>
  <c r="D624" i="1"/>
  <c r="H624" i="1"/>
  <c r="I624" i="1"/>
  <c r="R624" i="1"/>
  <c r="D625" i="1"/>
  <c r="H625" i="1"/>
  <c r="I625" i="1"/>
  <c r="R625" i="1"/>
  <c r="D626" i="1"/>
  <c r="H626" i="1"/>
  <c r="I626" i="1"/>
  <c r="R626" i="1"/>
  <c r="D627" i="1"/>
  <c r="H627" i="1"/>
  <c r="I627" i="1"/>
  <c r="R627" i="1"/>
  <c r="D628" i="1"/>
  <c r="H628" i="1"/>
  <c r="I628" i="1"/>
  <c r="R628" i="1"/>
  <c r="D629" i="1"/>
  <c r="H629" i="1"/>
  <c r="I629" i="1"/>
  <c r="R629" i="1"/>
  <c r="D630" i="1"/>
  <c r="H630" i="1"/>
  <c r="I630" i="1"/>
  <c r="R630" i="1"/>
  <c r="D631" i="1"/>
  <c r="H631" i="1"/>
  <c r="I631" i="1"/>
  <c r="R631" i="1"/>
  <c r="D632" i="1"/>
  <c r="H632" i="1"/>
  <c r="I632" i="1"/>
  <c r="R632" i="1"/>
  <c r="D633" i="1"/>
  <c r="H633" i="1"/>
  <c r="I633" i="1"/>
  <c r="R633" i="1"/>
  <c r="D634" i="1"/>
  <c r="H634" i="1"/>
  <c r="I634" i="1"/>
  <c r="R634" i="1"/>
  <c r="D635" i="1"/>
  <c r="H635" i="1"/>
  <c r="I635" i="1"/>
  <c r="R635" i="1"/>
  <c r="D636" i="1"/>
  <c r="H636" i="1"/>
  <c r="I636" i="1"/>
  <c r="R636" i="1"/>
  <c r="D637" i="1"/>
  <c r="H637" i="1"/>
  <c r="I637" i="1"/>
  <c r="R637" i="1"/>
  <c r="D638" i="1"/>
  <c r="H638" i="1"/>
  <c r="I638" i="1"/>
  <c r="R638" i="1"/>
  <c r="D639" i="1"/>
  <c r="H639" i="1"/>
  <c r="I639" i="1"/>
  <c r="R639" i="1"/>
  <c r="D640" i="1"/>
  <c r="H640" i="1"/>
  <c r="I640" i="1"/>
  <c r="R640" i="1"/>
  <c r="D641" i="1"/>
  <c r="H641" i="1"/>
  <c r="I641" i="1"/>
  <c r="R641" i="1"/>
  <c r="D642" i="1"/>
  <c r="H642" i="1"/>
  <c r="I642" i="1"/>
  <c r="R642" i="1"/>
  <c r="D643" i="1"/>
  <c r="H643" i="1"/>
  <c r="I643" i="1"/>
  <c r="R643" i="1"/>
  <c r="D644" i="1"/>
  <c r="H644" i="1"/>
  <c r="I644" i="1"/>
  <c r="R644" i="1"/>
  <c r="D645" i="1"/>
  <c r="H645" i="1"/>
  <c r="I645" i="1"/>
  <c r="R645" i="1"/>
  <c r="D646" i="1"/>
  <c r="H646" i="1"/>
  <c r="I646" i="1"/>
  <c r="R646" i="1"/>
  <c r="D647" i="1"/>
  <c r="H647" i="1"/>
  <c r="I647" i="1"/>
  <c r="R647" i="1"/>
  <c r="D648" i="1"/>
  <c r="H648" i="1"/>
  <c r="I648" i="1"/>
  <c r="R648" i="1"/>
  <c r="D649" i="1"/>
  <c r="H649" i="1"/>
  <c r="I649" i="1"/>
  <c r="R649" i="1"/>
  <c r="D650" i="1"/>
  <c r="H650" i="1"/>
  <c r="I650" i="1"/>
  <c r="R650" i="1"/>
  <c r="D651" i="1"/>
  <c r="H651" i="1"/>
  <c r="I651" i="1"/>
  <c r="R651" i="1"/>
  <c r="D652" i="1"/>
  <c r="H652" i="1"/>
  <c r="I652" i="1"/>
  <c r="R652" i="1"/>
  <c r="D653" i="1"/>
  <c r="H653" i="1"/>
  <c r="I653" i="1"/>
  <c r="R653" i="1"/>
  <c r="D654" i="1"/>
  <c r="H654" i="1"/>
  <c r="I654" i="1"/>
  <c r="R654" i="1"/>
  <c r="D655" i="1"/>
  <c r="H655" i="1"/>
  <c r="I655" i="1"/>
  <c r="R655" i="1"/>
  <c r="D656" i="1"/>
  <c r="H656" i="1"/>
  <c r="I656" i="1"/>
  <c r="R656" i="1"/>
  <c r="D657" i="1"/>
  <c r="H657" i="1"/>
  <c r="I657" i="1"/>
  <c r="R657" i="1"/>
  <c r="D658" i="1"/>
  <c r="H658" i="1"/>
  <c r="I658" i="1"/>
  <c r="R658" i="1"/>
  <c r="D659" i="1"/>
  <c r="H659" i="1"/>
  <c r="I659" i="1"/>
  <c r="R659" i="1"/>
  <c r="D660" i="1"/>
  <c r="H660" i="1"/>
  <c r="I660" i="1"/>
  <c r="R660" i="1"/>
  <c r="D661" i="1"/>
  <c r="H661" i="1"/>
  <c r="I661" i="1"/>
  <c r="R661" i="1"/>
  <c r="D662" i="1"/>
  <c r="H662" i="1"/>
  <c r="I662" i="1"/>
  <c r="R662" i="1"/>
  <c r="D663" i="1"/>
  <c r="H663" i="1"/>
  <c r="I663" i="1"/>
  <c r="R663" i="1"/>
  <c r="D664" i="1"/>
  <c r="H664" i="1"/>
  <c r="I664" i="1"/>
  <c r="R664" i="1"/>
  <c r="D665" i="1"/>
  <c r="H665" i="1"/>
  <c r="I665" i="1"/>
  <c r="R665" i="1"/>
  <c r="D666" i="1"/>
  <c r="H666" i="1"/>
  <c r="I666" i="1"/>
  <c r="R666" i="1"/>
  <c r="D667" i="1"/>
  <c r="H667" i="1"/>
  <c r="I667" i="1"/>
  <c r="R667" i="1"/>
  <c r="D668" i="1"/>
  <c r="H668" i="1"/>
  <c r="I668" i="1"/>
  <c r="R668" i="1"/>
  <c r="D669" i="1"/>
  <c r="H669" i="1"/>
  <c r="I669" i="1"/>
  <c r="R669" i="1"/>
  <c r="D670" i="1"/>
  <c r="H670" i="1"/>
  <c r="I670" i="1"/>
  <c r="R670" i="1"/>
  <c r="D671" i="1"/>
  <c r="H671" i="1"/>
  <c r="I671" i="1"/>
  <c r="R671" i="1"/>
  <c r="D672" i="1"/>
  <c r="H672" i="1"/>
  <c r="I672" i="1"/>
  <c r="R672" i="1"/>
  <c r="D673" i="1"/>
  <c r="H673" i="1"/>
  <c r="I673" i="1"/>
  <c r="R673" i="1"/>
  <c r="D674" i="1"/>
  <c r="H674" i="1"/>
  <c r="I674" i="1"/>
  <c r="R674" i="1"/>
  <c r="D675" i="1"/>
  <c r="H675" i="1"/>
  <c r="I675" i="1"/>
  <c r="R675" i="1"/>
  <c r="D676" i="1"/>
  <c r="H676" i="1"/>
  <c r="I676" i="1"/>
  <c r="R676" i="1"/>
  <c r="D677" i="1"/>
  <c r="H677" i="1"/>
  <c r="I677" i="1"/>
  <c r="R677" i="1"/>
  <c r="D678" i="1"/>
  <c r="H678" i="1"/>
  <c r="I678" i="1"/>
  <c r="R678" i="1"/>
  <c r="D679" i="1"/>
  <c r="H679" i="1"/>
  <c r="I679" i="1"/>
  <c r="R679" i="1"/>
  <c r="D680" i="1"/>
  <c r="H680" i="1"/>
  <c r="I680" i="1"/>
  <c r="R680" i="1"/>
  <c r="D681" i="1"/>
  <c r="H681" i="1"/>
  <c r="I681" i="1"/>
  <c r="R681" i="1"/>
  <c r="D682" i="1"/>
  <c r="H682" i="1"/>
  <c r="I682" i="1"/>
  <c r="R682" i="1"/>
  <c r="D683" i="1"/>
  <c r="H683" i="1"/>
  <c r="I683" i="1"/>
  <c r="R683" i="1"/>
  <c r="D684" i="1"/>
  <c r="H684" i="1"/>
  <c r="I684" i="1"/>
  <c r="R684" i="1"/>
  <c r="D685" i="1"/>
  <c r="H685" i="1"/>
  <c r="I685" i="1"/>
  <c r="R685" i="1"/>
  <c r="D686" i="1"/>
  <c r="H686" i="1"/>
  <c r="I686" i="1"/>
  <c r="R686" i="1"/>
  <c r="D687" i="1"/>
  <c r="H687" i="1"/>
  <c r="I687" i="1"/>
  <c r="R687" i="1"/>
  <c r="D688" i="1"/>
  <c r="H688" i="1"/>
  <c r="I688" i="1"/>
  <c r="R688" i="1"/>
  <c r="D689" i="1"/>
  <c r="H689" i="1"/>
  <c r="I689" i="1"/>
  <c r="R689" i="1"/>
  <c r="D690" i="1"/>
  <c r="H690" i="1"/>
  <c r="I690" i="1"/>
  <c r="R690" i="1"/>
  <c r="D691" i="1"/>
  <c r="H691" i="1"/>
  <c r="I691" i="1"/>
  <c r="R691" i="1"/>
  <c r="D692" i="1"/>
  <c r="H692" i="1"/>
  <c r="I692" i="1"/>
  <c r="R692" i="1"/>
  <c r="D693" i="1"/>
  <c r="H693" i="1"/>
  <c r="I693" i="1"/>
  <c r="R693" i="1"/>
  <c r="D694" i="1"/>
  <c r="H694" i="1"/>
  <c r="I694" i="1"/>
  <c r="R694" i="1"/>
  <c r="D695" i="1"/>
  <c r="H695" i="1"/>
  <c r="I695" i="1"/>
  <c r="R695" i="1"/>
  <c r="D696" i="1"/>
  <c r="H696" i="1"/>
  <c r="I696" i="1"/>
  <c r="R696" i="1"/>
  <c r="D697" i="1"/>
  <c r="H697" i="1"/>
  <c r="I697" i="1"/>
  <c r="R697" i="1"/>
  <c r="D698" i="1"/>
  <c r="H698" i="1"/>
  <c r="I698" i="1"/>
  <c r="R698" i="1"/>
  <c r="D699" i="1"/>
  <c r="H699" i="1"/>
  <c r="I699" i="1"/>
  <c r="R699" i="1"/>
  <c r="D700" i="1"/>
  <c r="H700" i="1"/>
  <c r="I700" i="1"/>
  <c r="R700" i="1"/>
  <c r="D701" i="1"/>
  <c r="H701" i="1"/>
  <c r="I701" i="1"/>
  <c r="R701" i="1"/>
  <c r="D702" i="1"/>
  <c r="H702" i="1"/>
  <c r="I702" i="1"/>
  <c r="R702" i="1"/>
  <c r="D703" i="1"/>
  <c r="H703" i="1"/>
  <c r="I703" i="1"/>
  <c r="R703" i="1"/>
  <c r="D704" i="1"/>
  <c r="H704" i="1"/>
  <c r="I704" i="1"/>
  <c r="R704" i="1"/>
  <c r="D705" i="1"/>
  <c r="H705" i="1"/>
  <c r="I705" i="1"/>
  <c r="R705" i="1"/>
  <c r="D706" i="1"/>
  <c r="H706" i="1"/>
  <c r="I706" i="1"/>
  <c r="R706" i="1"/>
  <c r="D707" i="1"/>
  <c r="H707" i="1"/>
  <c r="I707" i="1"/>
  <c r="R707" i="1"/>
  <c r="D708" i="1"/>
  <c r="H708" i="1"/>
  <c r="I708" i="1"/>
  <c r="R708" i="1"/>
  <c r="D709" i="1"/>
  <c r="H709" i="1"/>
  <c r="I709" i="1"/>
  <c r="R709" i="1"/>
  <c r="D710" i="1"/>
  <c r="H710" i="1"/>
  <c r="I710" i="1"/>
  <c r="R710" i="1"/>
  <c r="D711" i="1"/>
  <c r="H711" i="1"/>
  <c r="I711" i="1"/>
  <c r="R711" i="1"/>
  <c r="D712" i="1"/>
  <c r="H712" i="1"/>
  <c r="I712" i="1"/>
  <c r="R712" i="1"/>
  <c r="D713" i="1"/>
  <c r="H713" i="1"/>
  <c r="I713" i="1"/>
  <c r="R713" i="1"/>
  <c r="D714" i="1"/>
  <c r="H714" i="1"/>
  <c r="I714" i="1"/>
  <c r="R714" i="1"/>
  <c r="D715" i="1"/>
  <c r="H715" i="1"/>
  <c r="I715" i="1"/>
  <c r="R715" i="1"/>
  <c r="D716" i="1"/>
  <c r="H716" i="1"/>
  <c r="I716" i="1"/>
  <c r="R716" i="1"/>
  <c r="D717" i="1"/>
  <c r="H717" i="1"/>
  <c r="I717" i="1"/>
  <c r="R717" i="1"/>
  <c r="D718" i="1"/>
  <c r="H718" i="1"/>
  <c r="I718" i="1"/>
  <c r="R718" i="1"/>
  <c r="D719" i="1"/>
  <c r="H719" i="1"/>
  <c r="I719" i="1"/>
  <c r="R719" i="1"/>
  <c r="D720" i="1"/>
  <c r="H720" i="1"/>
  <c r="I720" i="1"/>
  <c r="R720" i="1"/>
  <c r="D721" i="1"/>
  <c r="H721" i="1"/>
  <c r="I721" i="1"/>
  <c r="R721" i="1"/>
  <c r="D722" i="1"/>
  <c r="H722" i="1"/>
  <c r="I722" i="1"/>
  <c r="R722" i="1"/>
  <c r="D723" i="1"/>
  <c r="H723" i="1"/>
  <c r="I723" i="1"/>
  <c r="R723" i="1"/>
  <c r="D724" i="1"/>
  <c r="H724" i="1"/>
  <c r="I724" i="1"/>
  <c r="R724" i="1"/>
  <c r="D725" i="1"/>
  <c r="H725" i="1"/>
  <c r="I725" i="1"/>
  <c r="R725" i="1"/>
  <c r="D726" i="1"/>
  <c r="H726" i="1"/>
  <c r="I726" i="1"/>
  <c r="R726" i="1"/>
  <c r="D727" i="1"/>
  <c r="H727" i="1"/>
  <c r="I727" i="1"/>
  <c r="R727" i="1"/>
  <c r="D728" i="1"/>
  <c r="H728" i="1"/>
  <c r="I728" i="1"/>
  <c r="R728" i="1"/>
  <c r="D729" i="1"/>
  <c r="H729" i="1"/>
  <c r="I729" i="1"/>
  <c r="R729" i="1"/>
  <c r="D730" i="1"/>
  <c r="H730" i="1"/>
  <c r="I730" i="1"/>
  <c r="R730" i="1"/>
  <c r="D731" i="1"/>
  <c r="H731" i="1"/>
  <c r="I731" i="1"/>
  <c r="R731" i="1"/>
  <c r="D732" i="1"/>
  <c r="H732" i="1"/>
  <c r="I732" i="1"/>
  <c r="R732" i="1"/>
  <c r="D733" i="1"/>
  <c r="H733" i="1"/>
  <c r="I733" i="1"/>
  <c r="R733" i="1"/>
  <c r="D734" i="1"/>
  <c r="H734" i="1"/>
  <c r="I734" i="1"/>
  <c r="R734" i="1"/>
  <c r="D735" i="1"/>
  <c r="H735" i="1"/>
  <c r="I735" i="1"/>
  <c r="R735" i="1"/>
  <c r="D736" i="1"/>
  <c r="H736" i="1"/>
  <c r="I736" i="1"/>
  <c r="R736" i="1"/>
  <c r="D737" i="1"/>
  <c r="H737" i="1"/>
  <c r="I737" i="1"/>
  <c r="R737" i="1"/>
  <c r="D738" i="1"/>
  <c r="H738" i="1"/>
  <c r="I738" i="1"/>
  <c r="R738" i="1"/>
  <c r="D739" i="1"/>
  <c r="H739" i="1"/>
  <c r="I739" i="1"/>
  <c r="R739" i="1"/>
  <c r="D740" i="1"/>
  <c r="H740" i="1"/>
  <c r="I740" i="1"/>
  <c r="R740" i="1"/>
  <c r="D741" i="1"/>
  <c r="H741" i="1"/>
  <c r="I741" i="1"/>
  <c r="R741" i="1"/>
  <c r="D742" i="1"/>
  <c r="H742" i="1"/>
  <c r="I742" i="1"/>
  <c r="R742" i="1"/>
  <c r="D743" i="1"/>
  <c r="H743" i="1"/>
  <c r="I743" i="1"/>
  <c r="R743" i="1"/>
  <c r="D744" i="1"/>
  <c r="H744" i="1"/>
  <c r="I744" i="1"/>
  <c r="R744" i="1"/>
  <c r="D745" i="1"/>
  <c r="H745" i="1"/>
  <c r="I745" i="1"/>
  <c r="R745" i="1"/>
  <c r="D746" i="1"/>
  <c r="H746" i="1"/>
  <c r="I746" i="1"/>
  <c r="R746" i="1"/>
  <c r="D747" i="1"/>
  <c r="H747" i="1"/>
  <c r="I747" i="1"/>
  <c r="R747" i="1"/>
  <c r="D748" i="1"/>
  <c r="H748" i="1"/>
  <c r="I748" i="1"/>
  <c r="R748" i="1"/>
  <c r="D749" i="1"/>
  <c r="H749" i="1"/>
  <c r="I749" i="1"/>
  <c r="R749" i="1"/>
  <c r="D750" i="1"/>
  <c r="H750" i="1"/>
  <c r="I750" i="1"/>
  <c r="R750" i="1"/>
  <c r="D751" i="1"/>
  <c r="H751" i="1"/>
  <c r="I751" i="1"/>
  <c r="R751" i="1"/>
  <c r="D752" i="1"/>
  <c r="H752" i="1"/>
  <c r="I752" i="1"/>
  <c r="R752" i="1"/>
  <c r="D753" i="1"/>
  <c r="H753" i="1"/>
  <c r="I753" i="1"/>
  <c r="R753" i="1"/>
  <c r="D754" i="1"/>
  <c r="H754" i="1"/>
  <c r="I754" i="1"/>
  <c r="R754" i="1"/>
  <c r="D755" i="1"/>
  <c r="H755" i="1"/>
  <c r="I755" i="1"/>
  <c r="R755" i="1"/>
  <c r="D756" i="1"/>
  <c r="H756" i="1"/>
  <c r="I756" i="1"/>
  <c r="R756" i="1"/>
  <c r="D757" i="1"/>
  <c r="H757" i="1"/>
  <c r="I757" i="1"/>
  <c r="R757" i="1"/>
  <c r="D758" i="1"/>
  <c r="H758" i="1"/>
  <c r="I758" i="1"/>
  <c r="R758" i="1"/>
  <c r="D759" i="1"/>
  <c r="H759" i="1"/>
  <c r="I759" i="1"/>
  <c r="R759" i="1"/>
  <c r="D760" i="1"/>
  <c r="H760" i="1"/>
  <c r="I760" i="1"/>
  <c r="R760" i="1"/>
  <c r="D761" i="1"/>
  <c r="H761" i="1"/>
  <c r="I761" i="1"/>
  <c r="R761" i="1"/>
  <c r="D762" i="1"/>
  <c r="H762" i="1"/>
  <c r="I762" i="1"/>
  <c r="R762" i="1"/>
  <c r="D763" i="1"/>
  <c r="H763" i="1"/>
  <c r="I763" i="1"/>
  <c r="R763" i="1"/>
  <c r="D764" i="1"/>
  <c r="H764" i="1"/>
  <c r="I764" i="1"/>
  <c r="R764" i="1"/>
  <c r="D765" i="1"/>
  <c r="H765" i="1"/>
  <c r="I765" i="1"/>
  <c r="R765" i="1"/>
  <c r="D766" i="1"/>
  <c r="H766" i="1"/>
  <c r="I766" i="1"/>
  <c r="R766" i="1"/>
  <c r="D767" i="1"/>
  <c r="H767" i="1"/>
  <c r="I767" i="1"/>
  <c r="R767" i="1"/>
  <c r="D768" i="1"/>
  <c r="H768" i="1"/>
  <c r="I768" i="1"/>
  <c r="R768" i="1"/>
  <c r="D769" i="1"/>
  <c r="H769" i="1"/>
  <c r="I769" i="1"/>
  <c r="R769" i="1"/>
  <c r="D770" i="1"/>
  <c r="H770" i="1"/>
  <c r="I770" i="1"/>
  <c r="R770" i="1"/>
  <c r="D771" i="1"/>
  <c r="H771" i="1"/>
  <c r="I771" i="1"/>
  <c r="R771" i="1"/>
  <c r="D772" i="1"/>
  <c r="H772" i="1"/>
  <c r="I772" i="1"/>
  <c r="R772" i="1"/>
  <c r="D773" i="1"/>
  <c r="H773" i="1"/>
  <c r="I773" i="1"/>
  <c r="R773" i="1"/>
  <c r="D774" i="1"/>
  <c r="H774" i="1"/>
  <c r="I774" i="1"/>
  <c r="R774" i="1"/>
  <c r="D775" i="1"/>
  <c r="H775" i="1"/>
  <c r="I775" i="1"/>
  <c r="R775" i="1"/>
  <c r="D776" i="1"/>
  <c r="H776" i="1"/>
  <c r="I776" i="1"/>
  <c r="R776" i="1"/>
  <c r="D777" i="1"/>
  <c r="H777" i="1"/>
  <c r="I777" i="1"/>
  <c r="R777" i="1"/>
  <c r="D778" i="1"/>
  <c r="H778" i="1"/>
  <c r="I778" i="1"/>
  <c r="R778" i="1"/>
  <c r="D779" i="1"/>
  <c r="H779" i="1"/>
  <c r="I779" i="1"/>
  <c r="R779" i="1"/>
  <c r="D780" i="1"/>
  <c r="H780" i="1"/>
  <c r="I780" i="1"/>
  <c r="R780" i="1"/>
  <c r="D781" i="1"/>
  <c r="H781" i="1"/>
  <c r="I781" i="1"/>
  <c r="R781" i="1"/>
  <c r="D782" i="1"/>
  <c r="H782" i="1"/>
  <c r="I782" i="1"/>
  <c r="R782" i="1"/>
  <c r="D783" i="1"/>
  <c r="H783" i="1"/>
  <c r="I783" i="1"/>
  <c r="R783" i="1"/>
  <c r="D784" i="1"/>
  <c r="H784" i="1"/>
  <c r="I784" i="1"/>
  <c r="R784" i="1"/>
  <c r="D785" i="1"/>
  <c r="H785" i="1"/>
  <c r="I785" i="1"/>
  <c r="R785" i="1"/>
  <c r="D786" i="1"/>
  <c r="H786" i="1"/>
  <c r="I786" i="1"/>
  <c r="R786" i="1"/>
  <c r="D787" i="1"/>
  <c r="H787" i="1"/>
  <c r="I787" i="1"/>
  <c r="R787" i="1"/>
  <c r="D788" i="1"/>
  <c r="H788" i="1"/>
  <c r="I788" i="1"/>
  <c r="R788" i="1"/>
  <c r="D789" i="1"/>
  <c r="H789" i="1"/>
  <c r="I789" i="1"/>
  <c r="R789" i="1"/>
  <c r="D790" i="1"/>
  <c r="H790" i="1"/>
  <c r="I790" i="1"/>
  <c r="R790" i="1"/>
  <c r="D791" i="1"/>
  <c r="H791" i="1"/>
  <c r="I791" i="1"/>
  <c r="R791" i="1"/>
  <c r="D792" i="1"/>
  <c r="H792" i="1"/>
  <c r="I792" i="1"/>
  <c r="R792" i="1"/>
  <c r="D793" i="1"/>
  <c r="H793" i="1"/>
  <c r="I793" i="1"/>
  <c r="R793" i="1"/>
  <c r="D794" i="1"/>
  <c r="H794" i="1"/>
  <c r="I794" i="1"/>
  <c r="R794" i="1"/>
  <c r="D795" i="1"/>
  <c r="H795" i="1"/>
  <c r="I795" i="1"/>
  <c r="R795" i="1"/>
  <c r="D796" i="1"/>
  <c r="H796" i="1"/>
  <c r="I796" i="1"/>
  <c r="R796" i="1"/>
  <c r="D797" i="1"/>
  <c r="H797" i="1"/>
  <c r="I797" i="1"/>
  <c r="R797" i="1"/>
  <c r="D798" i="1"/>
  <c r="H798" i="1"/>
  <c r="I798" i="1"/>
  <c r="R798" i="1"/>
  <c r="D799" i="1"/>
  <c r="H799" i="1"/>
  <c r="I799" i="1"/>
  <c r="R799" i="1"/>
  <c r="D800" i="1"/>
  <c r="H800" i="1"/>
  <c r="I800" i="1"/>
  <c r="R800" i="1"/>
  <c r="D801" i="1"/>
  <c r="H801" i="1"/>
  <c r="I801" i="1"/>
  <c r="R801" i="1"/>
  <c r="D802" i="1"/>
  <c r="H802" i="1"/>
  <c r="I802" i="1"/>
  <c r="R802" i="1"/>
  <c r="D803" i="1"/>
  <c r="H803" i="1"/>
  <c r="I803" i="1"/>
  <c r="R803" i="1"/>
  <c r="D804" i="1"/>
  <c r="H804" i="1"/>
  <c r="I804" i="1"/>
  <c r="R804" i="1"/>
  <c r="D805" i="1"/>
  <c r="H805" i="1"/>
  <c r="I805" i="1"/>
  <c r="R805" i="1"/>
  <c r="D806" i="1"/>
  <c r="H806" i="1"/>
  <c r="I806" i="1"/>
  <c r="R806" i="1"/>
  <c r="D807" i="1"/>
  <c r="H807" i="1"/>
  <c r="I807" i="1"/>
  <c r="R807" i="1"/>
  <c r="D808" i="1"/>
  <c r="H808" i="1"/>
  <c r="I808" i="1"/>
  <c r="R808" i="1"/>
  <c r="D809" i="1"/>
  <c r="H809" i="1"/>
  <c r="I809" i="1"/>
  <c r="R809" i="1"/>
  <c r="D810" i="1"/>
  <c r="H810" i="1"/>
  <c r="I810" i="1"/>
  <c r="R810" i="1"/>
  <c r="D811" i="1"/>
  <c r="H811" i="1"/>
  <c r="I811" i="1"/>
  <c r="R811" i="1"/>
  <c r="D812" i="1"/>
  <c r="H812" i="1"/>
  <c r="I812" i="1"/>
  <c r="R812" i="1"/>
  <c r="D813" i="1"/>
  <c r="H813" i="1"/>
  <c r="I813" i="1"/>
  <c r="R813" i="1"/>
  <c r="D814" i="1"/>
  <c r="H814" i="1"/>
  <c r="I814" i="1"/>
  <c r="R814" i="1"/>
  <c r="D815" i="1"/>
  <c r="H815" i="1"/>
  <c r="I815" i="1"/>
  <c r="R815" i="1"/>
  <c r="D816" i="1"/>
  <c r="H816" i="1"/>
  <c r="I816" i="1"/>
  <c r="R816" i="1"/>
  <c r="D817" i="1"/>
  <c r="H817" i="1"/>
  <c r="I817" i="1"/>
  <c r="R817" i="1"/>
  <c r="D818" i="1"/>
  <c r="H818" i="1"/>
  <c r="I818" i="1"/>
  <c r="R818" i="1"/>
  <c r="D819" i="1"/>
  <c r="H819" i="1"/>
  <c r="I819" i="1"/>
  <c r="R819" i="1"/>
  <c r="D820" i="1"/>
  <c r="H820" i="1"/>
  <c r="I820" i="1"/>
  <c r="R820" i="1"/>
  <c r="D821" i="1"/>
  <c r="H821" i="1"/>
  <c r="I821" i="1"/>
  <c r="R821" i="1"/>
  <c r="D822" i="1"/>
  <c r="H822" i="1"/>
  <c r="I822" i="1"/>
  <c r="R822" i="1"/>
  <c r="D823" i="1"/>
  <c r="H823" i="1"/>
  <c r="I823" i="1"/>
  <c r="R823" i="1"/>
  <c r="D824" i="1"/>
  <c r="H824" i="1"/>
  <c r="I824" i="1"/>
  <c r="R824" i="1"/>
  <c r="D825" i="1"/>
  <c r="H825" i="1"/>
  <c r="I825" i="1"/>
  <c r="R825" i="1"/>
  <c r="D826" i="1"/>
  <c r="H826" i="1"/>
  <c r="I826" i="1"/>
  <c r="R826" i="1"/>
  <c r="D827" i="1"/>
  <c r="H827" i="1"/>
  <c r="I827" i="1"/>
  <c r="R827" i="1"/>
  <c r="D828" i="1"/>
  <c r="H828" i="1"/>
  <c r="I828" i="1"/>
  <c r="R828" i="1"/>
  <c r="D829" i="1"/>
  <c r="H829" i="1"/>
  <c r="I829" i="1"/>
  <c r="R829" i="1"/>
  <c r="D830" i="1"/>
  <c r="H830" i="1"/>
  <c r="I830" i="1"/>
  <c r="R830" i="1"/>
  <c r="D831" i="1"/>
  <c r="H831" i="1"/>
  <c r="I831" i="1"/>
  <c r="R831" i="1"/>
  <c r="D832" i="1"/>
  <c r="H832" i="1"/>
  <c r="I832" i="1"/>
  <c r="R832" i="1"/>
  <c r="D833" i="1"/>
  <c r="H833" i="1"/>
  <c r="I833" i="1"/>
  <c r="R833" i="1"/>
  <c r="D834" i="1"/>
  <c r="H834" i="1"/>
  <c r="I834" i="1"/>
  <c r="R834" i="1"/>
  <c r="D835" i="1"/>
  <c r="H835" i="1"/>
  <c r="I835" i="1"/>
  <c r="R835" i="1"/>
  <c r="D836" i="1"/>
  <c r="H836" i="1"/>
  <c r="I836" i="1"/>
  <c r="R836" i="1"/>
  <c r="D837" i="1"/>
  <c r="H837" i="1"/>
  <c r="I837" i="1"/>
  <c r="R837" i="1"/>
  <c r="D838" i="1"/>
  <c r="H838" i="1"/>
  <c r="I838" i="1"/>
  <c r="R838" i="1"/>
  <c r="D839" i="1"/>
  <c r="H839" i="1"/>
  <c r="I839" i="1"/>
  <c r="R839" i="1"/>
  <c r="D840" i="1"/>
  <c r="H840" i="1"/>
  <c r="I840" i="1"/>
  <c r="R840" i="1"/>
  <c r="D841" i="1"/>
  <c r="H841" i="1"/>
  <c r="I841" i="1"/>
  <c r="R841" i="1"/>
  <c r="D842" i="1"/>
  <c r="H842" i="1"/>
  <c r="I842" i="1"/>
  <c r="R842" i="1"/>
  <c r="D843" i="1"/>
  <c r="H843" i="1"/>
  <c r="I843" i="1"/>
  <c r="R843" i="1"/>
  <c r="D844" i="1"/>
  <c r="H844" i="1"/>
  <c r="I844" i="1"/>
  <c r="R844" i="1"/>
  <c r="D845" i="1"/>
  <c r="H845" i="1"/>
  <c r="I845" i="1"/>
  <c r="R845" i="1"/>
  <c r="D846" i="1"/>
  <c r="H846" i="1"/>
  <c r="I846" i="1"/>
  <c r="R846" i="1"/>
  <c r="D847" i="1"/>
  <c r="H847" i="1"/>
  <c r="I847" i="1"/>
  <c r="R847" i="1"/>
  <c r="D848" i="1"/>
  <c r="H848" i="1"/>
  <c r="I848" i="1"/>
  <c r="R848" i="1"/>
  <c r="D849" i="1"/>
  <c r="H849" i="1"/>
  <c r="I849" i="1"/>
  <c r="R849" i="1"/>
  <c r="D850" i="1"/>
  <c r="H850" i="1"/>
  <c r="I850" i="1"/>
  <c r="R850" i="1"/>
  <c r="D851" i="1"/>
  <c r="H851" i="1"/>
  <c r="I851" i="1"/>
  <c r="R851" i="1"/>
  <c r="D852" i="1"/>
  <c r="H852" i="1"/>
  <c r="I852" i="1"/>
  <c r="R852" i="1"/>
  <c r="D853" i="1"/>
  <c r="H853" i="1"/>
  <c r="I853" i="1"/>
  <c r="R853" i="1"/>
  <c r="D854" i="1"/>
  <c r="H854" i="1"/>
  <c r="I854" i="1"/>
  <c r="R854" i="1"/>
  <c r="D855" i="1"/>
  <c r="H855" i="1"/>
  <c r="I855" i="1"/>
  <c r="R855" i="1"/>
  <c r="D856" i="1"/>
  <c r="H856" i="1"/>
  <c r="I856" i="1"/>
  <c r="R856" i="1"/>
  <c r="D857" i="1"/>
  <c r="H857" i="1"/>
  <c r="I857" i="1"/>
  <c r="R857" i="1"/>
  <c r="D858" i="1"/>
  <c r="H858" i="1"/>
  <c r="I858" i="1"/>
  <c r="R858" i="1"/>
  <c r="D859" i="1"/>
  <c r="H859" i="1"/>
  <c r="I859" i="1"/>
  <c r="R859" i="1"/>
  <c r="D860" i="1"/>
  <c r="H860" i="1"/>
  <c r="I860" i="1"/>
  <c r="R860" i="1"/>
  <c r="D861" i="1"/>
  <c r="H861" i="1"/>
  <c r="I861" i="1"/>
  <c r="R861" i="1"/>
  <c r="D862" i="1"/>
  <c r="H862" i="1"/>
  <c r="I862" i="1"/>
  <c r="R862" i="1"/>
  <c r="D863" i="1"/>
  <c r="H863" i="1"/>
  <c r="I863" i="1"/>
  <c r="R863" i="1"/>
  <c r="D864" i="1"/>
  <c r="H864" i="1"/>
  <c r="I864" i="1"/>
  <c r="R864" i="1"/>
  <c r="D865" i="1"/>
  <c r="H865" i="1"/>
  <c r="I865" i="1"/>
  <c r="R865" i="1"/>
  <c r="D866" i="1"/>
  <c r="H866" i="1"/>
  <c r="I866" i="1"/>
  <c r="R866" i="1"/>
  <c r="D867" i="1"/>
  <c r="H867" i="1"/>
  <c r="I867" i="1"/>
  <c r="R867" i="1"/>
  <c r="D868" i="1"/>
  <c r="H868" i="1"/>
  <c r="I868" i="1"/>
  <c r="R868" i="1"/>
  <c r="D869" i="1"/>
  <c r="H869" i="1"/>
  <c r="I869" i="1"/>
  <c r="R869" i="1"/>
  <c r="D870" i="1"/>
  <c r="H870" i="1"/>
  <c r="I870" i="1"/>
  <c r="R870" i="1"/>
  <c r="D871" i="1"/>
  <c r="H871" i="1"/>
  <c r="I871" i="1"/>
  <c r="R871" i="1"/>
  <c r="D872" i="1"/>
  <c r="H872" i="1"/>
  <c r="I872" i="1"/>
  <c r="R872" i="1"/>
  <c r="D873" i="1"/>
  <c r="H873" i="1"/>
  <c r="I873" i="1"/>
  <c r="R873" i="1"/>
  <c r="D874" i="1"/>
  <c r="H874" i="1"/>
  <c r="I874" i="1"/>
  <c r="R874" i="1"/>
  <c r="D875" i="1"/>
  <c r="H875" i="1"/>
  <c r="I875" i="1"/>
  <c r="R875" i="1"/>
  <c r="D876" i="1"/>
  <c r="H876" i="1"/>
  <c r="I876" i="1"/>
  <c r="R876" i="1"/>
  <c r="D877" i="1"/>
  <c r="H877" i="1"/>
  <c r="I877" i="1"/>
  <c r="R877" i="1"/>
  <c r="D878" i="1"/>
  <c r="H878" i="1"/>
  <c r="I878" i="1"/>
  <c r="R878" i="1"/>
  <c r="D879" i="1"/>
  <c r="H879" i="1"/>
  <c r="I879" i="1"/>
  <c r="R879" i="1"/>
  <c r="D880" i="1"/>
  <c r="H880" i="1"/>
  <c r="I880" i="1"/>
  <c r="R880" i="1"/>
  <c r="D881" i="1"/>
  <c r="H881" i="1"/>
  <c r="I881" i="1"/>
  <c r="R881" i="1"/>
  <c r="D882" i="1"/>
  <c r="H882" i="1"/>
  <c r="I882" i="1"/>
  <c r="R882" i="1"/>
  <c r="D883" i="1"/>
  <c r="H883" i="1"/>
  <c r="I883" i="1"/>
  <c r="R883" i="1"/>
  <c r="D884" i="1"/>
  <c r="H884" i="1"/>
  <c r="I884" i="1"/>
  <c r="R884" i="1"/>
  <c r="D885" i="1"/>
  <c r="H885" i="1"/>
  <c r="I885" i="1"/>
  <c r="R885" i="1"/>
  <c r="D886" i="1"/>
  <c r="H886" i="1"/>
  <c r="I886" i="1"/>
  <c r="R886" i="1"/>
  <c r="D887" i="1"/>
  <c r="H887" i="1"/>
  <c r="I887" i="1"/>
  <c r="R887" i="1"/>
  <c r="D888" i="1"/>
  <c r="H888" i="1"/>
  <c r="I888" i="1"/>
  <c r="R888" i="1"/>
  <c r="D889" i="1"/>
  <c r="H889" i="1"/>
  <c r="I889" i="1"/>
  <c r="R889" i="1"/>
  <c r="D890" i="1"/>
  <c r="H890" i="1"/>
  <c r="I890" i="1"/>
  <c r="R890" i="1"/>
  <c r="D891" i="1"/>
  <c r="H891" i="1"/>
  <c r="I891" i="1"/>
  <c r="R891" i="1"/>
  <c r="D892" i="1"/>
  <c r="H892" i="1"/>
  <c r="I892" i="1"/>
  <c r="R892" i="1"/>
  <c r="D893" i="1"/>
  <c r="H893" i="1"/>
  <c r="I893" i="1"/>
  <c r="R893" i="1"/>
  <c r="D894" i="1"/>
  <c r="H894" i="1"/>
  <c r="I894" i="1"/>
  <c r="R894" i="1"/>
  <c r="D895" i="1"/>
  <c r="H895" i="1"/>
  <c r="I895" i="1"/>
  <c r="R895" i="1"/>
  <c r="D896" i="1"/>
  <c r="H896" i="1"/>
  <c r="I896" i="1"/>
  <c r="R896" i="1"/>
  <c r="D897" i="1"/>
  <c r="H897" i="1"/>
  <c r="I897" i="1"/>
  <c r="R897" i="1"/>
  <c r="D898" i="1"/>
  <c r="H898" i="1"/>
  <c r="I898" i="1"/>
  <c r="R898" i="1"/>
  <c r="D899" i="1"/>
  <c r="H899" i="1"/>
  <c r="I899" i="1"/>
  <c r="R899" i="1"/>
  <c r="D900" i="1"/>
  <c r="H900" i="1"/>
  <c r="I900" i="1"/>
  <c r="R900" i="1"/>
  <c r="D901" i="1"/>
  <c r="H901" i="1"/>
  <c r="I901" i="1"/>
  <c r="R901" i="1"/>
  <c r="D902" i="1"/>
  <c r="H902" i="1"/>
  <c r="I902" i="1"/>
  <c r="R902" i="1"/>
  <c r="D903" i="1"/>
  <c r="H903" i="1"/>
  <c r="I903" i="1"/>
  <c r="R903" i="1"/>
  <c r="D904" i="1"/>
  <c r="H904" i="1"/>
  <c r="I904" i="1"/>
  <c r="R904" i="1"/>
  <c r="D905" i="1"/>
  <c r="H905" i="1"/>
  <c r="I905" i="1"/>
  <c r="R905" i="1"/>
  <c r="D906" i="1"/>
  <c r="H906" i="1"/>
  <c r="I906" i="1"/>
  <c r="R906" i="1"/>
  <c r="D907" i="1"/>
  <c r="H907" i="1"/>
  <c r="I907" i="1"/>
  <c r="R907" i="1"/>
  <c r="D908" i="1"/>
  <c r="H908" i="1"/>
  <c r="I908" i="1"/>
  <c r="R908" i="1"/>
  <c r="D909" i="1"/>
  <c r="H909" i="1"/>
  <c r="I909" i="1"/>
  <c r="R909" i="1"/>
  <c r="D910" i="1"/>
  <c r="H910" i="1"/>
  <c r="I910" i="1"/>
  <c r="R910" i="1"/>
  <c r="D911" i="1"/>
  <c r="H911" i="1"/>
  <c r="I911" i="1"/>
  <c r="R911" i="1"/>
  <c r="D912" i="1"/>
  <c r="H912" i="1"/>
  <c r="I912" i="1"/>
  <c r="R912" i="1"/>
  <c r="D913" i="1"/>
  <c r="H913" i="1"/>
  <c r="I913" i="1"/>
  <c r="R913" i="1"/>
  <c r="D914" i="1"/>
  <c r="H914" i="1"/>
  <c r="I914" i="1"/>
  <c r="R914" i="1"/>
  <c r="D915" i="1"/>
  <c r="H915" i="1"/>
  <c r="I915" i="1"/>
  <c r="R915" i="1"/>
  <c r="D916" i="1"/>
  <c r="H916" i="1"/>
  <c r="I916" i="1"/>
  <c r="R916" i="1"/>
  <c r="D917" i="1"/>
  <c r="H917" i="1"/>
  <c r="I917" i="1"/>
  <c r="R917" i="1"/>
  <c r="D918" i="1"/>
  <c r="H918" i="1"/>
  <c r="I918" i="1"/>
  <c r="R918" i="1"/>
  <c r="D919" i="1"/>
  <c r="H919" i="1"/>
  <c r="I919" i="1"/>
  <c r="R919" i="1"/>
  <c r="D920" i="1"/>
  <c r="H920" i="1"/>
  <c r="I920" i="1"/>
  <c r="R920" i="1"/>
  <c r="D921" i="1"/>
  <c r="H921" i="1"/>
  <c r="I921" i="1"/>
  <c r="R921" i="1"/>
  <c r="D922" i="1"/>
  <c r="H922" i="1"/>
  <c r="I922" i="1"/>
  <c r="R922" i="1"/>
  <c r="D923" i="1"/>
  <c r="H923" i="1"/>
  <c r="I923" i="1"/>
  <c r="R923" i="1"/>
  <c r="D924" i="1"/>
  <c r="H924" i="1"/>
  <c r="I924" i="1"/>
  <c r="R924" i="1"/>
  <c r="D925" i="1"/>
  <c r="H925" i="1"/>
  <c r="I925" i="1"/>
  <c r="R925" i="1"/>
  <c r="D926" i="1"/>
  <c r="H926" i="1"/>
  <c r="I926" i="1"/>
  <c r="R926" i="1"/>
  <c r="D927" i="1"/>
  <c r="H927" i="1"/>
  <c r="I927" i="1"/>
  <c r="R927" i="1"/>
  <c r="D928" i="1"/>
  <c r="H928" i="1"/>
  <c r="I928" i="1"/>
  <c r="R928" i="1"/>
  <c r="D929" i="1"/>
  <c r="H929" i="1"/>
  <c r="I929" i="1"/>
  <c r="R929" i="1"/>
  <c r="D930" i="1"/>
  <c r="H930" i="1"/>
  <c r="I930" i="1"/>
  <c r="R930" i="1"/>
  <c r="D931" i="1"/>
  <c r="H931" i="1"/>
  <c r="I931" i="1"/>
  <c r="R931" i="1"/>
  <c r="D932" i="1"/>
  <c r="H932" i="1"/>
  <c r="I932" i="1"/>
  <c r="R932" i="1"/>
  <c r="D933" i="1"/>
  <c r="H933" i="1"/>
  <c r="I933" i="1"/>
  <c r="R933" i="1"/>
  <c r="D934" i="1"/>
  <c r="H934" i="1"/>
  <c r="I934" i="1"/>
  <c r="R934" i="1"/>
  <c r="D935" i="1"/>
  <c r="H935" i="1"/>
  <c r="I935" i="1"/>
  <c r="R935" i="1"/>
  <c r="D936" i="1"/>
  <c r="H936" i="1"/>
  <c r="I936" i="1"/>
  <c r="R936" i="1"/>
  <c r="D937" i="1"/>
  <c r="H937" i="1"/>
  <c r="I937" i="1"/>
  <c r="R937" i="1"/>
  <c r="D938" i="1"/>
  <c r="H938" i="1"/>
  <c r="I938" i="1"/>
  <c r="R938" i="1"/>
  <c r="D939" i="1"/>
  <c r="H939" i="1"/>
  <c r="I939" i="1"/>
  <c r="R939" i="1"/>
  <c r="D940" i="1"/>
  <c r="H940" i="1"/>
  <c r="I940" i="1"/>
  <c r="R940" i="1"/>
  <c r="D941" i="1"/>
  <c r="H941" i="1"/>
  <c r="I941" i="1"/>
  <c r="R941" i="1"/>
  <c r="D942" i="1"/>
  <c r="H942" i="1"/>
  <c r="I942" i="1"/>
  <c r="R942" i="1"/>
  <c r="D943" i="1"/>
  <c r="H943" i="1"/>
  <c r="I943" i="1"/>
  <c r="R943" i="1"/>
  <c r="D944" i="1"/>
  <c r="H944" i="1"/>
  <c r="I944" i="1"/>
  <c r="R944" i="1"/>
  <c r="D945" i="1"/>
  <c r="H945" i="1"/>
  <c r="I945" i="1"/>
  <c r="R945" i="1"/>
  <c r="D946" i="1"/>
  <c r="H946" i="1"/>
  <c r="I946" i="1"/>
  <c r="R946" i="1"/>
  <c r="D947" i="1"/>
  <c r="H947" i="1"/>
  <c r="I947" i="1"/>
  <c r="R947" i="1"/>
  <c r="D948" i="1"/>
  <c r="H948" i="1"/>
  <c r="I948" i="1"/>
  <c r="R948" i="1"/>
  <c r="D949" i="1"/>
  <c r="H949" i="1"/>
  <c r="I949" i="1"/>
  <c r="R949" i="1"/>
  <c r="D950" i="1"/>
  <c r="H950" i="1"/>
  <c r="I950" i="1"/>
  <c r="R950" i="1"/>
  <c r="D951" i="1"/>
  <c r="H951" i="1"/>
  <c r="I951" i="1"/>
  <c r="R951" i="1"/>
  <c r="D952" i="1"/>
  <c r="H952" i="1"/>
  <c r="I952" i="1"/>
  <c r="R952" i="1"/>
  <c r="D953" i="1"/>
  <c r="H953" i="1"/>
  <c r="I953" i="1"/>
  <c r="R953" i="1"/>
  <c r="D954" i="1"/>
  <c r="H954" i="1"/>
  <c r="I954" i="1"/>
  <c r="R954" i="1"/>
  <c r="D955" i="1"/>
  <c r="H955" i="1"/>
  <c r="I955" i="1"/>
  <c r="R955" i="1"/>
  <c r="D956" i="1"/>
  <c r="H956" i="1"/>
  <c r="I956" i="1"/>
  <c r="R956" i="1"/>
  <c r="D957" i="1"/>
  <c r="H957" i="1"/>
  <c r="I957" i="1"/>
  <c r="R957" i="1"/>
  <c r="D958" i="1"/>
  <c r="H958" i="1"/>
  <c r="I958" i="1"/>
  <c r="R958" i="1"/>
  <c r="D959" i="1"/>
  <c r="H959" i="1"/>
  <c r="I959" i="1"/>
  <c r="R959" i="1"/>
  <c r="D960" i="1"/>
  <c r="H960" i="1"/>
  <c r="I960" i="1"/>
  <c r="R960" i="1"/>
  <c r="D961" i="1"/>
  <c r="H961" i="1"/>
  <c r="I961" i="1"/>
  <c r="R961" i="1"/>
  <c r="D962" i="1"/>
  <c r="H962" i="1"/>
  <c r="I962" i="1"/>
  <c r="R962" i="1"/>
  <c r="D963" i="1"/>
  <c r="H963" i="1"/>
  <c r="I963" i="1"/>
  <c r="R963" i="1"/>
  <c r="D964" i="1"/>
  <c r="H964" i="1"/>
  <c r="I964" i="1"/>
  <c r="R964" i="1"/>
  <c r="D965" i="1"/>
  <c r="H965" i="1"/>
  <c r="I965" i="1"/>
  <c r="R965" i="1"/>
  <c r="D966" i="1"/>
  <c r="H966" i="1"/>
  <c r="I966" i="1"/>
  <c r="R966" i="1"/>
  <c r="D967" i="1"/>
  <c r="H967" i="1"/>
  <c r="I967" i="1"/>
  <c r="R967" i="1"/>
  <c r="D968" i="1"/>
  <c r="H968" i="1"/>
  <c r="I968" i="1"/>
  <c r="R968" i="1"/>
  <c r="D969" i="1"/>
  <c r="H969" i="1"/>
  <c r="I969" i="1"/>
  <c r="R969" i="1"/>
  <c r="D970" i="1"/>
  <c r="H970" i="1"/>
  <c r="I970" i="1"/>
  <c r="R970" i="1"/>
  <c r="D971" i="1"/>
  <c r="H971" i="1"/>
  <c r="I971" i="1"/>
  <c r="R971" i="1"/>
  <c r="D972" i="1"/>
  <c r="H972" i="1"/>
  <c r="I972" i="1"/>
  <c r="R972" i="1"/>
  <c r="D973" i="1"/>
  <c r="H973" i="1"/>
  <c r="I973" i="1"/>
  <c r="R973" i="1"/>
  <c r="D974" i="1"/>
  <c r="H974" i="1"/>
  <c r="I974" i="1"/>
  <c r="R974" i="1"/>
  <c r="D975" i="1"/>
  <c r="H975" i="1"/>
  <c r="I975" i="1"/>
  <c r="R975" i="1"/>
  <c r="D976" i="1"/>
  <c r="H976" i="1"/>
  <c r="I976" i="1"/>
  <c r="R976" i="1"/>
  <c r="D977" i="1"/>
  <c r="H977" i="1"/>
  <c r="I977" i="1"/>
  <c r="R977" i="1"/>
  <c r="D978" i="1"/>
  <c r="H978" i="1"/>
  <c r="I978" i="1"/>
  <c r="R978" i="1"/>
  <c r="D979" i="1"/>
  <c r="H979" i="1"/>
  <c r="I979" i="1"/>
  <c r="R979" i="1"/>
  <c r="D980" i="1"/>
  <c r="H980" i="1"/>
  <c r="I980" i="1"/>
  <c r="R980" i="1"/>
  <c r="D981" i="1"/>
  <c r="H981" i="1"/>
  <c r="I981" i="1"/>
  <c r="R981" i="1"/>
  <c r="E981" i="1" l="1"/>
  <c r="F980" i="1"/>
  <c r="F981" i="1"/>
  <c r="F977" i="1"/>
  <c r="E980" i="1"/>
  <c r="F978" i="1"/>
  <c r="F979" i="1"/>
  <c r="E2" i="1"/>
  <c r="F2" i="1"/>
  <c r="Q2" i="1"/>
  <c r="E3" i="1"/>
  <c r="F3" i="1"/>
  <c r="Q3" i="1"/>
  <c r="E4" i="1"/>
  <c r="F4" i="1"/>
  <c r="Q4" i="1"/>
  <c r="E5" i="1"/>
  <c r="F5" i="1"/>
  <c r="Q5" i="1"/>
  <c r="E6" i="1"/>
  <c r="F6" i="1"/>
  <c r="Q6" i="1"/>
  <c r="E7" i="1"/>
  <c r="F7" i="1"/>
  <c r="Q7" i="1"/>
  <c r="E8" i="1"/>
  <c r="F8" i="1"/>
  <c r="Q8" i="1"/>
  <c r="E9" i="1"/>
  <c r="F9" i="1"/>
  <c r="Q9" i="1"/>
  <c r="E10" i="1"/>
  <c r="F10" i="1"/>
  <c r="Q10" i="1"/>
  <c r="E11" i="1"/>
  <c r="F11" i="1"/>
  <c r="Q11" i="1"/>
  <c r="E12" i="1"/>
  <c r="F12" i="1"/>
  <c r="Q12" i="1"/>
  <c r="E13" i="1"/>
  <c r="F13" i="1"/>
  <c r="Q13" i="1"/>
  <c r="E14" i="1"/>
  <c r="F14" i="1"/>
  <c r="Q14" i="1"/>
  <c r="E15" i="1"/>
  <c r="F15" i="1"/>
  <c r="Q15" i="1"/>
  <c r="E16" i="1"/>
  <c r="F16" i="1"/>
  <c r="Q16" i="1"/>
  <c r="E17" i="1"/>
  <c r="F17" i="1"/>
  <c r="Q17" i="1"/>
  <c r="E18" i="1"/>
  <c r="F18" i="1"/>
  <c r="Q18" i="1"/>
  <c r="E19" i="1"/>
  <c r="F19" i="1"/>
  <c r="Q19" i="1"/>
  <c r="E20" i="1"/>
  <c r="F20" i="1"/>
  <c r="Q20" i="1"/>
  <c r="E21" i="1"/>
  <c r="F21" i="1"/>
  <c r="Q21" i="1"/>
  <c r="E22" i="1"/>
  <c r="F22" i="1"/>
  <c r="Q22" i="1"/>
  <c r="E23" i="1"/>
  <c r="F23" i="1"/>
  <c r="Q23" i="1"/>
  <c r="E24" i="1"/>
  <c r="F24" i="1"/>
  <c r="Q24" i="1"/>
  <c r="E25" i="1"/>
  <c r="F25" i="1"/>
  <c r="Q25" i="1"/>
  <c r="E26" i="1"/>
  <c r="F26" i="1"/>
  <c r="Q26" i="1"/>
  <c r="E27" i="1"/>
  <c r="F27" i="1"/>
  <c r="Q27" i="1"/>
  <c r="E28" i="1"/>
  <c r="F28" i="1"/>
  <c r="Q28" i="1"/>
  <c r="E29" i="1"/>
  <c r="F29" i="1"/>
  <c r="Q29" i="1"/>
  <c r="E30" i="1"/>
  <c r="F30" i="1"/>
  <c r="Q30" i="1"/>
  <c r="E31" i="1"/>
  <c r="F31" i="1"/>
  <c r="Q31" i="1"/>
  <c r="E32" i="1"/>
  <c r="F32" i="1"/>
  <c r="Q32" i="1"/>
  <c r="E33" i="1"/>
  <c r="F33" i="1"/>
  <c r="Q33" i="1"/>
  <c r="E34" i="1"/>
  <c r="F34" i="1"/>
  <c r="Q34" i="1"/>
  <c r="E35" i="1"/>
  <c r="F35" i="1"/>
  <c r="Q35" i="1"/>
  <c r="E36" i="1"/>
  <c r="F36" i="1"/>
  <c r="Q36" i="1"/>
  <c r="E37" i="1"/>
  <c r="F37" i="1"/>
  <c r="Q37" i="1"/>
  <c r="E38" i="1"/>
  <c r="F38" i="1"/>
  <c r="Q38" i="1"/>
  <c r="E39" i="1"/>
  <c r="F39" i="1"/>
  <c r="Q39" i="1"/>
  <c r="E40" i="1"/>
  <c r="F40" i="1"/>
  <c r="Q40" i="1"/>
  <c r="E41" i="1"/>
  <c r="F41" i="1"/>
  <c r="Q41" i="1"/>
  <c r="E42" i="1"/>
  <c r="F42" i="1"/>
  <c r="Q42" i="1"/>
  <c r="E43" i="1"/>
  <c r="F43" i="1"/>
  <c r="Q43" i="1"/>
  <c r="E44" i="1"/>
  <c r="F44" i="1"/>
  <c r="Q44" i="1"/>
  <c r="E45" i="1"/>
  <c r="F45" i="1"/>
  <c r="Q45" i="1"/>
  <c r="E46" i="1"/>
  <c r="F46" i="1"/>
  <c r="Q46" i="1"/>
  <c r="E47" i="1"/>
  <c r="F47" i="1"/>
  <c r="Q47" i="1"/>
  <c r="E48" i="1"/>
  <c r="F48" i="1"/>
  <c r="Q48" i="1"/>
  <c r="E49" i="1"/>
  <c r="F49" i="1"/>
  <c r="Q49" i="1"/>
  <c r="E50" i="1"/>
  <c r="F50" i="1"/>
  <c r="Q50" i="1"/>
  <c r="E51" i="1"/>
  <c r="F51" i="1"/>
  <c r="Q51" i="1"/>
  <c r="E52" i="1"/>
  <c r="F52" i="1"/>
  <c r="Q52" i="1"/>
  <c r="E53" i="1"/>
  <c r="F53" i="1"/>
  <c r="Q53" i="1"/>
  <c r="E54" i="1"/>
  <c r="F54" i="1"/>
  <c r="Q54" i="1"/>
  <c r="E55" i="1"/>
  <c r="F55" i="1"/>
  <c r="Q55" i="1"/>
  <c r="E56" i="1"/>
  <c r="F56" i="1"/>
  <c r="Q56" i="1"/>
  <c r="E57" i="1"/>
  <c r="F57" i="1"/>
  <c r="Q57" i="1"/>
  <c r="E58" i="1"/>
  <c r="F58" i="1"/>
  <c r="Q58" i="1"/>
  <c r="E59" i="1"/>
  <c r="F59" i="1"/>
  <c r="Q59" i="1"/>
  <c r="E60" i="1"/>
  <c r="F60" i="1"/>
  <c r="Q60" i="1"/>
  <c r="E61" i="1"/>
  <c r="F61" i="1"/>
  <c r="Q61" i="1"/>
  <c r="E62" i="1"/>
  <c r="F62" i="1"/>
  <c r="Q62" i="1"/>
  <c r="E63" i="1"/>
  <c r="F63" i="1"/>
  <c r="Q63" i="1"/>
  <c r="E64" i="1"/>
  <c r="F64" i="1"/>
  <c r="Q64" i="1"/>
  <c r="E65" i="1"/>
  <c r="F65" i="1"/>
  <c r="Q65" i="1"/>
  <c r="E66" i="1"/>
  <c r="F66" i="1"/>
  <c r="Q66" i="1"/>
  <c r="E67" i="1"/>
  <c r="F67" i="1"/>
  <c r="Q67" i="1"/>
  <c r="E68" i="1"/>
  <c r="F68" i="1"/>
  <c r="Q68" i="1"/>
  <c r="E69" i="1"/>
  <c r="F69" i="1"/>
  <c r="Q69" i="1"/>
  <c r="E70" i="1"/>
  <c r="F70" i="1"/>
  <c r="Q70" i="1"/>
  <c r="E71" i="1"/>
  <c r="F71" i="1"/>
  <c r="Q71" i="1"/>
  <c r="E72" i="1"/>
  <c r="F72" i="1"/>
  <c r="Q72" i="1"/>
  <c r="E73" i="1"/>
  <c r="F73" i="1"/>
  <c r="Q73" i="1"/>
  <c r="E74" i="1"/>
  <c r="F74" i="1"/>
  <c r="Q74" i="1"/>
  <c r="E75" i="1"/>
  <c r="F75" i="1"/>
  <c r="Q75" i="1"/>
  <c r="E76" i="1"/>
  <c r="F76" i="1"/>
  <c r="Q76" i="1"/>
  <c r="E77" i="1"/>
  <c r="F77" i="1"/>
  <c r="Q77" i="1"/>
  <c r="E78" i="1"/>
  <c r="F78" i="1"/>
  <c r="Q78" i="1"/>
  <c r="E79" i="1"/>
  <c r="F79" i="1"/>
  <c r="Q79" i="1"/>
  <c r="E80" i="1"/>
  <c r="F80" i="1"/>
  <c r="Q80" i="1"/>
  <c r="E81" i="1"/>
  <c r="F81" i="1"/>
  <c r="Q81" i="1"/>
  <c r="E82" i="1"/>
  <c r="F82" i="1"/>
  <c r="Q82" i="1"/>
  <c r="E83" i="1"/>
  <c r="F83" i="1"/>
  <c r="Q83" i="1"/>
  <c r="Q229" i="1"/>
  <c r="E230" i="1"/>
  <c r="Q234" i="1"/>
  <c r="E235" i="1"/>
  <c r="F236" i="1"/>
  <c r="F237" i="1"/>
  <c r="Q239" i="1"/>
  <c r="E240" i="1"/>
  <c r="F240" i="1"/>
  <c r="Q240" i="1"/>
  <c r="E241" i="1"/>
  <c r="F244" i="1"/>
  <c r="Q244" i="1"/>
  <c r="E245" i="1"/>
  <c r="Q245" i="1"/>
  <c r="E246" i="1"/>
  <c r="F246" i="1"/>
  <c r="Q246" i="1"/>
  <c r="E247" i="1"/>
  <c r="F397" i="1"/>
  <c r="F399" i="1"/>
  <c r="Q402" i="1"/>
  <c r="F403" i="1"/>
  <c r="F405" i="1"/>
  <c r="F407" i="1"/>
  <c r="F409" i="1"/>
  <c r="F411" i="1"/>
  <c r="F440" i="1"/>
  <c r="F447" i="1"/>
  <c r="Q452" i="1"/>
  <c r="F455" i="1"/>
  <c r="F457" i="1"/>
  <c r="Q459" i="1"/>
  <c r="E460" i="1"/>
  <c r="J460" i="1" s="1"/>
  <c r="Q463" i="1"/>
  <c r="F465" i="1"/>
  <c r="F469" i="1"/>
  <c r="Q471" i="1"/>
  <c r="E472" i="1"/>
  <c r="Q472" i="1"/>
  <c r="E473" i="1"/>
  <c r="J473" i="1" s="1"/>
  <c r="F473" i="1"/>
  <c r="E478" i="1"/>
  <c r="E479" i="1"/>
  <c r="F479" i="1"/>
  <c r="Q480" i="1"/>
  <c r="E483" i="1"/>
  <c r="Q483" i="1"/>
  <c r="F484" i="1"/>
  <c r="Q486" i="1"/>
  <c r="E487" i="1"/>
  <c r="J487" i="1" s="1"/>
  <c r="F489" i="1"/>
  <c r="Q552" i="1"/>
  <c r="E553" i="1"/>
  <c r="F556" i="1"/>
  <c r="Q558" i="1"/>
  <c r="E559" i="1"/>
  <c r="J559" i="1" s="1"/>
  <c r="F561" i="1"/>
  <c r="F564" i="1"/>
  <c r="Q566" i="1"/>
  <c r="E567" i="1"/>
  <c r="J567" i="1" s="1"/>
  <c r="Q569" i="1"/>
  <c r="E570" i="1"/>
  <c r="Q570" i="1"/>
  <c r="F571" i="1"/>
  <c r="E638" i="1"/>
  <c r="J638" i="1" s="1"/>
  <c r="F641" i="1"/>
  <c r="F646" i="1"/>
  <c r="Q650" i="1"/>
  <c r="E651" i="1"/>
  <c r="Q652" i="1"/>
  <c r="E653" i="1"/>
  <c r="Q654" i="1"/>
  <c r="E655" i="1"/>
  <c r="F655" i="1"/>
  <c r="F657" i="1"/>
  <c r="F662" i="1"/>
  <c r="F666" i="1"/>
  <c r="E671" i="1"/>
  <c r="Q671" i="1"/>
  <c r="E672" i="1"/>
  <c r="J672" i="1" s="1"/>
  <c r="F675" i="1"/>
  <c r="Q678" i="1"/>
  <c r="Q679" i="1"/>
  <c r="E680" i="1"/>
  <c r="F682" i="1"/>
  <c r="F691" i="1"/>
  <c r="Q695" i="1"/>
  <c r="E696" i="1"/>
  <c r="Q698" i="1"/>
  <c r="E699" i="1"/>
  <c r="Q699" i="1"/>
  <c r="E700" i="1"/>
  <c r="Q700" i="1"/>
  <c r="E701" i="1"/>
  <c r="E706" i="1"/>
  <c r="F707" i="1"/>
  <c r="E710" i="1"/>
  <c r="Q712" i="1"/>
  <c r="F713" i="1"/>
  <c r="F716" i="1"/>
  <c r="Q720" i="1"/>
  <c r="E721" i="1"/>
  <c r="F721" i="1"/>
  <c r="Q725" i="1"/>
  <c r="E726" i="1"/>
  <c r="F727" i="1"/>
  <c r="Q731" i="1"/>
  <c r="F732" i="1"/>
  <c r="Q734" i="1"/>
  <c r="E735" i="1"/>
  <c r="Q735" i="1"/>
  <c r="E736" i="1"/>
  <c r="Q807" i="1"/>
  <c r="F808" i="1"/>
  <c r="Q819" i="1"/>
  <c r="F820" i="1"/>
  <c r="E823" i="1"/>
  <c r="Q823" i="1"/>
  <c r="E824" i="1"/>
  <c r="F824" i="1"/>
  <c r="Q828" i="1"/>
  <c r="E829" i="1"/>
  <c r="Q829" i="1"/>
  <c r="E830" i="1"/>
  <c r="F830" i="1"/>
  <c r="Q830" i="1"/>
  <c r="E831" i="1"/>
  <c r="F831" i="1"/>
  <c r="E838" i="1"/>
  <c r="E841" i="1"/>
  <c r="F841" i="1"/>
  <c r="F846" i="1"/>
  <c r="F851" i="1"/>
  <c r="Q854" i="1"/>
  <c r="F855" i="1"/>
  <c r="Q858" i="1"/>
  <c r="E859" i="1"/>
  <c r="Q861" i="1"/>
  <c r="E862" i="1"/>
  <c r="Q862" i="1"/>
  <c r="F863" i="1"/>
  <c r="F866" i="1"/>
  <c r="F870" i="1"/>
  <c r="Q873" i="1"/>
  <c r="E874" i="1"/>
  <c r="F874" i="1"/>
  <c r="Q874" i="1"/>
  <c r="F879" i="1"/>
  <c r="Q882" i="1"/>
  <c r="E883" i="1"/>
  <c r="F884" i="1"/>
  <c r="Q887" i="1"/>
  <c r="E888" i="1"/>
  <c r="F889" i="1"/>
  <c r="F893" i="1"/>
  <c r="F897" i="1"/>
  <c r="F901" i="1"/>
  <c r="E905" i="1"/>
  <c r="F905" i="1"/>
  <c r="Q905" i="1"/>
  <c r="F906" i="1"/>
  <c r="E911" i="1"/>
  <c r="J911" i="1" s="1"/>
  <c r="F912" i="1"/>
  <c r="Q915" i="1"/>
  <c r="E916" i="1"/>
  <c r="F917" i="1"/>
  <c r="Q920" i="1"/>
  <c r="E921" i="1"/>
  <c r="F922" i="1"/>
  <c r="F926" i="1"/>
  <c r="E931" i="1"/>
  <c r="F932" i="1"/>
  <c r="F936" i="1"/>
  <c r="Q946" i="1"/>
  <c r="E947" i="1"/>
  <c r="E950" i="1"/>
  <c r="Q950" i="1"/>
  <c r="E951" i="1"/>
  <c r="E952" i="1"/>
  <c r="Q952" i="1"/>
  <c r="E953" i="1"/>
  <c r="F954" i="1"/>
  <c r="E958" i="1"/>
  <c r="J958" i="1" s="1"/>
  <c r="F958" i="1"/>
  <c r="F963" i="1"/>
  <c r="Q969" i="1"/>
  <c r="E970" i="1"/>
  <c r="F970" i="1"/>
  <c r="F975" i="1"/>
  <c r="Q979" i="1"/>
  <c r="Q981" i="1"/>
  <c r="E84" i="1"/>
  <c r="F84" i="1"/>
  <c r="Q84" i="1"/>
  <c r="E85" i="1"/>
  <c r="F85" i="1"/>
  <c r="Q85" i="1"/>
  <c r="E86" i="1"/>
  <c r="F86" i="1"/>
  <c r="Q86" i="1"/>
  <c r="E87" i="1"/>
  <c r="F87" i="1"/>
  <c r="Q87" i="1"/>
  <c r="E88" i="1"/>
  <c r="F88" i="1"/>
  <c r="Q88" i="1"/>
  <c r="E89" i="1"/>
  <c r="F89" i="1"/>
  <c r="Q89" i="1"/>
  <c r="E90" i="1"/>
  <c r="F90" i="1"/>
  <c r="Q90" i="1"/>
  <c r="E91" i="1"/>
  <c r="F91" i="1"/>
  <c r="Q91" i="1"/>
  <c r="E92" i="1"/>
  <c r="F92" i="1"/>
  <c r="Q92" i="1"/>
  <c r="E93" i="1"/>
  <c r="F93" i="1"/>
  <c r="Q93" i="1"/>
  <c r="E94" i="1"/>
  <c r="F94" i="1"/>
  <c r="Q94" i="1"/>
  <c r="E95" i="1"/>
  <c r="F95" i="1"/>
  <c r="Q95" i="1"/>
  <c r="E96" i="1"/>
  <c r="F96" i="1"/>
  <c r="Q96" i="1"/>
  <c r="E97" i="1"/>
  <c r="F97" i="1"/>
  <c r="Q97" i="1"/>
  <c r="E98" i="1"/>
  <c r="F98" i="1"/>
  <c r="Q98" i="1"/>
  <c r="E99" i="1"/>
  <c r="F99" i="1"/>
  <c r="Q99" i="1"/>
  <c r="E100" i="1"/>
  <c r="F100" i="1"/>
  <c r="Q100" i="1"/>
  <c r="E101" i="1"/>
  <c r="F101" i="1"/>
  <c r="Q101" i="1"/>
  <c r="E102" i="1"/>
  <c r="F102" i="1"/>
  <c r="Q102" i="1"/>
  <c r="E103" i="1"/>
  <c r="F103" i="1"/>
  <c r="Q103" i="1"/>
  <c r="E104" i="1"/>
  <c r="F104" i="1"/>
  <c r="Q104" i="1"/>
  <c r="E105" i="1"/>
  <c r="F105" i="1"/>
  <c r="Q105" i="1"/>
  <c r="E106" i="1"/>
  <c r="F106" i="1"/>
  <c r="Q106" i="1"/>
  <c r="E107" i="1"/>
  <c r="F107" i="1"/>
  <c r="Q107" i="1"/>
  <c r="E108" i="1"/>
  <c r="F108" i="1"/>
  <c r="Q108" i="1"/>
  <c r="E109" i="1"/>
  <c r="F109" i="1"/>
  <c r="Q109" i="1"/>
  <c r="E110" i="1"/>
  <c r="F110" i="1"/>
  <c r="Q110" i="1"/>
  <c r="E111" i="1"/>
  <c r="F111" i="1"/>
  <c r="Q111" i="1"/>
  <c r="E112" i="1"/>
  <c r="F112" i="1"/>
  <c r="Q112" i="1"/>
  <c r="E113" i="1"/>
  <c r="F113" i="1"/>
  <c r="Q113" i="1"/>
  <c r="E114" i="1"/>
  <c r="F114" i="1"/>
  <c r="Q114" i="1"/>
  <c r="E115" i="1"/>
  <c r="F115" i="1"/>
  <c r="Q115" i="1"/>
  <c r="E116" i="1"/>
  <c r="F116" i="1"/>
  <c r="Q116" i="1"/>
  <c r="E117" i="1"/>
  <c r="F117" i="1"/>
  <c r="Q117" i="1"/>
  <c r="E118" i="1"/>
  <c r="F118" i="1"/>
  <c r="Q118" i="1"/>
  <c r="E119" i="1"/>
  <c r="F119" i="1"/>
  <c r="Q119" i="1"/>
  <c r="E120" i="1"/>
  <c r="F120" i="1"/>
  <c r="Q120" i="1"/>
  <c r="E121" i="1"/>
  <c r="F121" i="1"/>
  <c r="Q121" i="1"/>
  <c r="E122" i="1"/>
  <c r="F122" i="1"/>
  <c r="Q122" i="1"/>
  <c r="E123" i="1"/>
  <c r="F123" i="1"/>
  <c r="Q123" i="1"/>
  <c r="E124" i="1"/>
  <c r="F124" i="1"/>
  <c r="Q124" i="1"/>
  <c r="E125" i="1"/>
  <c r="F125" i="1"/>
  <c r="Q125" i="1"/>
  <c r="E126" i="1"/>
  <c r="F126" i="1"/>
  <c r="Q126" i="1"/>
  <c r="E127" i="1"/>
  <c r="F127" i="1"/>
  <c r="Q127" i="1"/>
  <c r="E128" i="1"/>
  <c r="F128" i="1"/>
  <c r="Q128" i="1"/>
  <c r="E129" i="1"/>
  <c r="F129" i="1"/>
  <c r="Q129" i="1"/>
  <c r="E130" i="1"/>
  <c r="F130" i="1"/>
  <c r="Q130" i="1"/>
  <c r="E131" i="1"/>
  <c r="F131" i="1"/>
  <c r="Q131" i="1"/>
  <c r="E132" i="1"/>
  <c r="F132" i="1"/>
  <c r="Q132" i="1"/>
  <c r="E133" i="1"/>
  <c r="F133" i="1"/>
  <c r="Q133" i="1"/>
  <c r="E134" i="1"/>
  <c r="F134" i="1"/>
  <c r="Q134" i="1"/>
  <c r="E135" i="1"/>
  <c r="F135" i="1"/>
  <c r="Q135" i="1"/>
  <c r="E136" i="1"/>
  <c r="F136" i="1"/>
  <c r="Q136" i="1"/>
  <c r="E137" i="1"/>
  <c r="F137" i="1"/>
  <c r="Q137" i="1"/>
  <c r="E138" i="1"/>
  <c r="F138" i="1"/>
  <c r="Q138" i="1"/>
  <c r="E139" i="1"/>
  <c r="F139" i="1"/>
  <c r="Q139" i="1"/>
  <c r="E140" i="1"/>
  <c r="F140" i="1"/>
  <c r="Q140" i="1"/>
  <c r="E141" i="1"/>
  <c r="F141" i="1"/>
  <c r="Q141" i="1"/>
  <c r="E142" i="1"/>
  <c r="F142" i="1"/>
  <c r="Q142" i="1"/>
  <c r="E143" i="1"/>
  <c r="F143" i="1"/>
  <c r="Q143" i="1"/>
  <c r="E144" i="1"/>
  <c r="F144" i="1"/>
  <c r="Q144" i="1"/>
  <c r="E145" i="1"/>
  <c r="F145" i="1"/>
  <c r="Q145" i="1"/>
  <c r="E146" i="1"/>
  <c r="F146" i="1"/>
  <c r="Q146" i="1"/>
  <c r="E147" i="1"/>
  <c r="F147" i="1"/>
  <c r="Q147" i="1"/>
  <c r="E148" i="1"/>
  <c r="F148" i="1"/>
  <c r="Q148" i="1"/>
  <c r="E149" i="1"/>
  <c r="F149" i="1"/>
  <c r="Q149" i="1"/>
  <c r="E150" i="1"/>
  <c r="F150" i="1"/>
  <c r="Q150" i="1"/>
  <c r="E151" i="1"/>
  <c r="F151" i="1"/>
  <c r="Q151" i="1"/>
  <c r="E152" i="1"/>
  <c r="F152" i="1"/>
  <c r="Q152" i="1"/>
  <c r="E153" i="1"/>
  <c r="F153" i="1"/>
  <c r="Q153" i="1"/>
  <c r="E154" i="1"/>
  <c r="F154" i="1"/>
  <c r="Q154" i="1"/>
  <c r="E155" i="1"/>
  <c r="F155" i="1"/>
  <c r="Q155" i="1"/>
  <c r="E156" i="1"/>
  <c r="F156" i="1"/>
  <c r="Q156" i="1"/>
  <c r="E157" i="1"/>
  <c r="F157" i="1"/>
  <c r="Q157" i="1"/>
  <c r="E158" i="1"/>
  <c r="F158" i="1"/>
  <c r="Q158" i="1"/>
  <c r="E159" i="1"/>
  <c r="F159" i="1"/>
  <c r="Q159" i="1"/>
  <c r="E160" i="1"/>
  <c r="F160" i="1"/>
  <c r="Q160" i="1"/>
  <c r="E161" i="1"/>
  <c r="F161" i="1"/>
  <c r="Q161" i="1"/>
  <c r="E162" i="1"/>
  <c r="F162" i="1"/>
  <c r="Q162" i="1"/>
  <c r="E163" i="1"/>
  <c r="F163" i="1"/>
  <c r="Q163" i="1"/>
  <c r="E164" i="1"/>
  <c r="F164" i="1"/>
  <c r="Q164" i="1"/>
  <c r="E165" i="1"/>
  <c r="F165" i="1"/>
  <c r="F211" i="1"/>
  <c r="Q211" i="1"/>
  <c r="E212" i="1"/>
  <c r="F212" i="1"/>
  <c r="E213" i="1"/>
  <c r="F213" i="1"/>
  <c r="Q213" i="1"/>
  <c r="E214" i="1"/>
  <c r="F214" i="1"/>
  <c r="Q214" i="1"/>
  <c r="E215" i="1"/>
  <c r="F216" i="1"/>
  <c r="Q216" i="1"/>
  <c r="E217" i="1"/>
  <c r="F217" i="1"/>
  <c r="Q217" i="1"/>
  <c r="E218" i="1"/>
  <c r="F218" i="1"/>
  <c r="Q218" i="1"/>
  <c r="E219" i="1"/>
  <c r="F219" i="1"/>
  <c r="F220" i="1"/>
  <c r="Q220" i="1"/>
  <c r="E221" i="1"/>
  <c r="F221" i="1"/>
  <c r="F222" i="1"/>
  <c r="Q222" i="1"/>
  <c r="E223" i="1"/>
  <c r="F223" i="1"/>
  <c r="Q223" i="1"/>
  <c r="E224" i="1"/>
  <c r="F225" i="1"/>
  <c r="Q225" i="1"/>
  <c r="E226" i="1"/>
  <c r="F226" i="1"/>
  <c r="E227" i="1"/>
  <c r="F227" i="1"/>
  <c r="Q227" i="1"/>
  <c r="E228" i="1"/>
  <c r="Q228" i="1"/>
  <c r="E229" i="1"/>
  <c r="F230" i="1"/>
  <c r="F231" i="1"/>
  <c r="F232" i="1"/>
  <c r="F233" i="1"/>
  <c r="F234" i="1"/>
  <c r="F235" i="1"/>
  <c r="Q235" i="1"/>
  <c r="E236" i="1"/>
  <c r="Q237" i="1"/>
  <c r="E238" i="1"/>
  <c r="F238" i="1"/>
  <c r="Q238" i="1"/>
  <c r="E239" i="1"/>
  <c r="Q241" i="1"/>
  <c r="E242" i="1"/>
  <c r="F242" i="1"/>
  <c r="E243" i="1"/>
  <c r="F243" i="1"/>
  <c r="Q243" i="1"/>
  <c r="E244" i="1"/>
  <c r="F245" i="1"/>
  <c r="E398" i="1"/>
  <c r="F398" i="1"/>
  <c r="Q399" i="1"/>
  <c r="E400" i="1"/>
  <c r="Q400" i="1"/>
  <c r="E401" i="1"/>
  <c r="Q401" i="1"/>
  <c r="E402" i="1"/>
  <c r="Q403" i="1"/>
  <c r="E404" i="1"/>
  <c r="Q404" i="1"/>
  <c r="E405" i="1"/>
  <c r="Q407" i="1"/>
  <c r="E408" i="1"/>
  <c r="Q409" i="1"/>
  <c r="F410" i="1"/>
  <c r="Q436" i="1"/>
  <c r="E439" i="1"/>
  <c r="F439" i="1"/>
  <c r="Q442" i="1"/>
  <c r="E443" i="1"/>
  <c r="Q443" i="1"/>
  <c r="E444" i="1"/>
  <c r="Q444" i="1"/>
  <c r="E445" i="1"/>
  <c r="E448" i="1"/>
  <c r="F448" i="1"/>
  <c r="Q450" i="1"/>
  <c r="E451" i="1"/>
  <c r="F452" i="1"/>
  <c r="Q453" i="1"/>
  <c r="F454" i="1"/>
  <c r="F456" i="1"/>
  <c r="F458" i="1"/>
  <c r="Q460" i="1"/>
  <c r="E461" i="1"/>
  <c r="F461" i="1"/>
  <c r="Q461" i="1"/>
  <c r="E462" i="1"/>
  <c r="E463" i="1"/>
  <c r="F464" i="1"/>
  <c r="Q467" i="1"/>
  <c r="E468" i="1"/>
  <c r="Q468" i="1"/>
  <c r="E469" i="1"/>
  <c r="Q469" i="1"/>
  <c r="E470" i="1"/>
  <c r="F471" i="1"/>
  <c r="Q473" i="1"/>
  <c r="E474" i="1"/>
  <c r="F474" i="1"/>
  <c r="Q476" i="1"/>
  <c r="E477" i="1"/>
  <c r="Q477" i="1"/>
  <c r="F478" i="1"/>
  <c r="E482" i="1"/>
  <c r="Q482" i="1"/>
  <c r="F483" i="1"/>
  <c r="E485" i="1"/>
  <c r="Q487" i="1"/>
  <c r="E488" i="1"/>
  <c r="Q488" i="1"/>
  <c r="E489" i="1"/>
  <c r="Q489" i="1"/>
  <c r="E490" i="1"/>
  <c r="Q490" i="1"/>
  <c r="E491" i="1"/>
  <c r="Q491" i="1"/>
  <c r="F492" i="1"/>
  <c r="Q555" i="1"/>
  <c r="E556" i="1"/>
  <c r="Q559" i="1"/>
  <c r="E560" i="1"/>
  <c r="Q560" i="1"/>
  <c r="E561" i="1"/>
  <c r="Q562" i="1"/>
  <c r="E563" i="1"/>
  <c r="Q564" i="1"/>
  <c r="F565" i="1"/>
  <c r="Q567" i="1"/>
  <c r="E568" i="1"/>
  <c r="Q572" i="1"/>
  <c r="F573" i="1"/>
  <c r="Q638" i="1"/>
  <c r="F639" i="1"/>
  <c r="F642" i="1"/>
  <c r="F645" i="1"/>
  <c r="F650" i="1"/>
  <c r="F653" i="1"/>
  <c r="E658" i="1"/>
  <c r="Q658" i="1"/>
  <c r="E659" i="1"/>
  <c r="E661" i="1"/>
  <c r="F661" i="1"/>
  <c r="F664" i="1"/>
  <c r="E668" i="1"/>
  <c r="F669" i="1"/>
  <c r="Q672" i="1"/>
  <c r="E673" i="1"/>
  <c r="F673" i="1"/>
  <c r="Q675" i="1"/>
  <c r="E676" i="1"/>
  <c r="F678" i="1"/>
  <c r="Q682" i="1"/>
  <c r="E683" i="1"/>
  <c r="Q685" i="1"/>
  <c r="E686" i="1"/>
  <c r="F687" i="1"/>
  <c r="F690" i="1"/>
  <c r="E694" i="1"/>
  <c r="F694" i="1"/>
  <c r="F697" i="1"/>
  <c r="F700" i="1"/>
  <c r="Q703" i="1"/>
  <c r="E704" i="1"/>
  <c r="Q706" i="1"/>
  <c r="E707" i="1"/>
  <c r="Q707" i="1"/>
  <c r="E708" i="1"/>
  <c r="Q708" i="1"/>
  <c r="E709" i="1"/>
  <c r="Q711" i="1"/>
  <c r="E712" i="1"/>
  <c r="E713" i="1"/>
  <c r="E718" i="1"/>
  <c r="F719" i="1"/>
  <c r="Q721" i="1"/>
  <c r="E722" i="1"/>
  <c r="E724" i="1"/>
  <c r="Q724" i="1"/>
  <c r="F725" i="1"/>
  <c r="Q729" i="1"/>
  <c r="E730" i="1"/>
  <c r="E731" i="1"/>
  <c r="E732" i="1"/>
  <c r="Q732" i="1"/>
  <c r="E733" i="1"/>
  <c r="F734" i="1"/>
  <c r="Q810" i="1"/>
  <c r="E811" i="1"/>
  <c r="E812" i="1"/>
  <c r="F813" i="1"/>
  <c r="Q816" i="1"/>
  <c r="F817" i="1"/>
  <c r="F819" i="1"/>
  <c r="F822" i="1"/>
  <c r="E828" i="1"/>
  <c r="F828" i="1"/>
  <c r="F835" i="1"/>
  <c r="E840" i="1"/>
  <c r="E842" i="1"/>
  <c r="F842" i="1"/>
  <c r="F847" i="1"/>
  <c r="Q850" i="1"/>
  <c r="E851" i="1"/>
  <c r="Q851" i="1"/>
  <c r="E852" i="1"/>
  <c r="Q853" i="1"/>
  <c r="Q856" i="1"/>
  <c r="E857" i="1"/>
  <c r="Q857" i="1"/>
  <c r="E858" i="1"/>
  <c r="Q860" i="1"/>
  <c r="E861" i="1"/>
  <c r="F862" i="1"/>
  <c r="F868" i="1"/>
  <c r="Q872" i="1"/>
  <c r="E873" i="1"/>
  <c r="E875" i="1"/>
  <c r="F875" i="1"/>
  <c r="F881" i="1"/>
  <c r="Q884" i="1"/>
  <c r="E885" i="1"/>
  <c r="Q890" i="1"/>
  <c r="E891" i="1"/>
  <c r="F891" i="1"/>
  <c r="Q897" i="1"/>
  <c r="E898" i="1"/>
  <c r="Q898" i="1"/>
  <c r="F899" i="1"/>
  <c r="F903" i="1"/>
  <c r="Q906" i="1"/>
  <c r="F907" i="1"/>
  <c r="Q911" i="1"/>
  <c r="E912" i="1"/>
  <c r="J912" i="1" s="1"/>
  <c r="F915" i="1"/>
  <c r="Q918" i="1"/>
  <c r="F919" i="1"/>
  <c r="E923" i="1"/>
  <c r="F923" i="1"/>
  <c r="F929" i="1"/>
  <c r="F934" i="1"/>
  <c r="E940" i="1"/>
  <c r="F940" i="1"/>
  <c r="E941" i="1"/>
  <c r="F941" i="1"/>
  <c r="Q941" i="1"/>
  <c r="E942" i="1"/>
  <c r="F942" i="1"/>
  <c r="Q945" i="1"/>
  <c r="E946" i="1"/>
  <c r="Q948" i="1"/>
  <c r="E949" i="1"/>
  <c r="F951" i="1"/>
  <c r="Q956" i="1"/>
  <c r="E957" i="1"/>
  <c r="Q958" i="1"/>
  <c r="E959" i="1"/>
  <c r="F959" i="1"/>
  <c r="Q959" i="1"/>
  <c r="E960" i="1"/>
  <c r="E961" i="1"/>
  <c r="Q962" i="1"/>
  <c r="E963" i="1"/>
  <c r="F964" i="1"/>
  <c r="F968" i="1"/>
  <c r="Q971" i="1"/>
  <c r="Q972" i="1"/>
  <c r="E973" i="1"/>
  <c r="J973" i="1" s="1"/>
  <c r="E975" i="1"/>
  <c r="F976" i="1"/>
  <c r="Q980" i="1"/>
  <c r="Q165" i="1"/>
  <c r="E166" i="1"/>
  <c r="F166" i="1"/>
  <c r="Q166" i="1"/>
  <c r="E167" i="1"/>
  <c r="F167" i="1"/>
  <c r="Q167" i="1"/>
  <c r="E168" i="1"/>
  <c r="F168" i="1"/>
  <c r="Q168" i="1"/>
  <c r="E169" i="1"/>
  <c r="F169" i="1"/>
  <c r="Q169" i="1"/>
  <c r="E170" i="1"/>
  <c r="F170" i="1"/>
  <c r="Q170" i="1"/>
  <c r="E171" i="1"/>
  <c r="F171" i="1"/>
  <c r="Q171" i="1"/>
  <c r="E172" i="1"/>
  <c r="F172" i="1"/>
  <c r="Q172" i="1"/>
  <c r="E173" i="1"/>
  <c r="F173" i="1"/>
  <c r="Q173" i="1"/>
  <c r="E174" i="1"/>
  <c r="F174" i="1"/>
  <c r="Q174" i="1"/>
  <c r="E175" i="1"/>
  <c r="F175" i="1"/>
  <c r="Q175" i="1"/>
  <c r="E176" i="1"/>
  <c r="F176" i="1"/>
  <c r="Q176" i="1"/>
  <c r="E177" i="1"/>
  <c r="F177" i="1"/>
  <c r="Q177" i="1"/>
  <c r="E178" i="1"/>
  <c r="F178" i="1"/>
  <c r="Q178" i="1"/>
  <c r="E179" i="1"/>
  <c r="F179" i="1"/>
  <c r="Q179" i="1"/>
  <c r="E180" i="1"/>
  <c r="F180" i="1"/>
  <c r="Q180" i="1"/>
  <c r="E181" i="1"/>
  <c r="F181" i="1"/>
  <c r="Q181" i="1"/>
  <c r="E182" i="1"/>
  <c r="F182" i="1"/>
  <c r="Q182" i="1"/>
  <c r="E183" i="1"/>
  <c r="F183" i="1"/>
  <c r="Q183" i="1"/>
  <c r="E184" i="1"/>
  <c r="F184" i="1"/>
  <c r="Q184" i="1"/>
  <c r="E185" i="1"/>
  <c r="F185" i="1"/>
  <c r="Q185" i="1"/>
  <c r="E186" i="1"/>
  <c r="F186" i="1"/>
  <c r="Q186" i="1"/>
  <c r="E187" i="1"/>
  <c r="F187" i="1"/>
  <c r="Q187" i="1"/>
  <c r="E188" i="1"/>
  <c r="F188" i="1"/>
  <c r="Q188" i="1"/>
  <c r="E189" i="1"/>
  <c r="F189" i="1"/>
  <c r="Q189" i="1"/>
  <c r="E190" i="1"/>
  <c r="F190" i="1"/>
  <c r="Q190" i="1"/>
  <c r="E191" i="1"/>
  <c r="F191" i="1"/>
  <c r="Q191" i="1"/>
  <c r="E192" i="1"/>
  <c r="F192" i="1"/>
  <c r="Q192" i="1"/>
  <c r="E193" i="1"/>
  <c r="F193" i="1"/>
  <c r="Q193" i="1"/>
  <c r="E194" i="1"/>
  <c r="F194" i="1"/>
  <c r="Q194" i="1"/>
  <c r="E195" i="1"/>
  <c r="F195" i="1"/>
  <c r="Q195" i="1"/>
  <c r="E196" i="1"/>
  <c r="F196" i="1"/>
  <c r="Q196" i="1"/>
  <c r="E197" i="1"/>
  <c r="F197" i="1"/>
  <c r="Q197" i="1"/>
  <c r="E198" i="1"/>
  <c r="F198" i="1"/>
  <c r="Q198" i="1"/>
  <c r="E199" i="1"/>
  <c r="F199" i="1"/>
  <c r="Q199" i="1"/>
  <c r="E200" i="1"/>
  <c r="F200" i="1"/>
  <c r="Q200" i="1"/>
  <c r="E201" i="1"/>
  <c r="F201" i="1"/>
  <c r="Q201" i="1"/>
  <c r="E202" i="1"/>
  <c r="F202" i="1"/>
  <c r="Q202" i="1"/>
  <c r="E203" i="1"/>
  <c r="F203" i="1"/>
  <c r="Q203" i="1"/>
  <c r="E204" i="1"/>
  <c r="F204" i="1"/>
  <c r="Q204" i="1"/>
  <c r="E205" i="1"/>
  <c r="F205" i="1"/>
  <c r="Q205" i="1"/>
  <c r="E206" i="1"/>
  <c r="F206" i="1"/>
  <c r="Q206" i="1"/>
  <c r="E207" i="1"/>
  <c r="F207" i="1"/>
  <c r="Q207" i="1"/>
  <c r="E208" i="1"/>
  <c r="F208" i="1"/>
  <c r="Q208" i="1"/>
  <c r="E209" i="1"/>
  <c r="F209" i="1"/>
  <c r="Q209" i="1"/>
  <c r="E210" i="1"/>
  <c r="F210" i="1"/>
  <c r="Q210" i="1"/>
  <c r="E211" i="1"/>
  <c r="Q212" i="1"/>
  <c r="F215" i="1"/>
  <c r="Q215" i="1"/>
  <c r="E216" i="1"/>
  <c r="Q219" i="1"/>
  <c r="E220" i="1"/>
  <c r="Q221" i="1"/>
  <c r="E222" i="1"/>
  <c r="F224" i="1"/>
  <c r="Q224" i="1"/>
  <c r="E225" i="1"/>
  <c r="Q226" i="1"/>
  <c r="F228" i="1"/>
  <c r="F229" i="1"/>
  <c r="Q230" i="1"/>
  <c r="E231" i="1"/>
  <c r="Q231" i="1"/>
  <c r="E232" i="1"/>
  <c r="Q232" i="1"/>
  <c r="E233" i="1"/>
  <c r="Q233" i="1"/>
  <c r="E234" i="1"/>
  <c r="Q236" i="1"/>
  <c r="E237" i="1"/>
  <c r="F239" i="1"/>
  <c r="F241" i="1"/>
  <c r="Q242" i="1"/>
  <c r="F247" i="1"/>
  <c r="F402" i="1"/>
  <c r="Q405" i="1"/>
  <c r="E406" i="1"/>
  <c r="E437" i="1"/>
  <c r="J437" i="1" s="1"/>
  <c r="Q438" i="1"/>
  <c r="Q441" i="1"/>
  <c r="E442" i="1"/>
  <c r="J442" i="1" s="1"/>
  <c r="F444" i="1"/>
  <c r="Q447" i="1"/>
  <c r="F451" i="1"/>
  <c r="Q454" i="1"/>
  <c r="E455" i="1"/>
  <c r="Q458" i="1"/>
  <c r="Q462" i="1"/>
  <c r="F463" i="1"/>
  <c r="F466" i="1"/>
  <c r="F470" i="1"/>
  <c r="F477" i="1"/>
  <c r="F481" i="1"/>
  <c r="F488" i="1"/>
  <c r="Q554" i="1"/>
  <c r="F558" i="1"/>
  <c r="F563" i="1"/>
  <c r="F568" i="1"/>
  <c r="F636" i="1"/>
  <c r="F640" i="1"/>
  <c r="Q648" i="1"/>
  <c r="E649" i="1"/>
  <c r="F652" i="1"/>
  <c r="Q660" i="1"/>
  <c r="Q661" i="1"/>
  <c r="E662" i="1"/>
  <c r="Q666" i="1"/>
  <c r="E667" i="1"/>
  <c r="Q669" i="1"/>
  <c r="E670" i="1"/>
  <c r="F671" i="1"/>
  <c r="E677" i="1"/>
  <c r="J677" i="1" s="1"/>
  <c r="F679" i="1"/>
  <c r="E685" i="1"/>
  <c r="J685" i="1" s="1"/>
  <c r="E695" i="1"/>
  <c r="F698" i="1"/>
  <c r="F704" i="1"/>
  <c r="Q713" i="1"/>
  <c r="F714" i="1"/>
  <c r="F722" i="1"/>
  <c r="F729" i="1"/>
  <c r="F809" i="1"/>
  <c r="F815" i="1"/>
  <c r="F825" i="1"/>
  <c r="F832" i="1"/>
  <c r="Q838" i="1"/>
  <c r="F839" i="1"/>
  <c r="Q845" i="1"/>
  <c r="E846" i="1"/>
  <c r="F848" i="1"/>
  <c r="E855" i="1"/>
  <c r="E860" i="1"/>
  <c r="J860" i="1" s="1"/>
  <c r="Q866" i="1"/>
  <c r="Q869" i="1"/>
  <c r="E870" i="1"/>
  <c r="F872" i="1"/>
  <c r="F887" i="1"/>
  <c r="F896" i="1"/>
  <c r="E907" i="1"/>
  <c r="J907" i="1" s="1"/>
  <c r="Q908" i="1"/>
  <c r="E909" i="1"/>
  <c r="J909" i="1" s="1"/>
  <c r="Q913" i="1"/>
  <c r="F914" i="1"/>
  <c r="F920" i="1"/>
  <c r="Q927" i="1"/>
  <c r="Q929" i="1"/>
  <c r="Q932" i="1"/>
  <c r="E933" i="1"/>
  <c r="F933" i="1"/>
  <c r="Q939" i="1"/>
  <c r="Q940" i="1"/>
  <c r="Q943" i="1"/>
  <c r="E944" i="1"/>
  <c r="F946" i="1"/>
  <c r="F952" i="1"/>
  <c r="F960" i="1"/>
  <c r="Q966" i="1"/>
  <c r="E967" i="1"/>
  <c r="E974" i="1"/>
  <c r="F974" i="1"/>
  <c r="Q247" i="1"/>
  <c r="E248" i="1"/>
  <c r="F248" i="1"/>
  <c r="Q248" i="1"/>
  <c r="E249" i="1"/>
  <c r="F249" i="1"/>
  <c r="Q249" i="1"/>
  <c r="E250" i="1"/>
  <c r="F250" i="1"/>
  <c r="Q250" i="1"/>
  <c r="E251" i="1"/>
  <c r="F251" i="1"/>
  <c r="Q251" i="1"/>
  <c r="E252" i="1"/>
  <c r="F252" i="1"/>
  <c r="Q252" i="1"/>
  <c r="E253" i="1"/>
  <c r="F253" i="1"/>
  <c r="Q253" i="1"/>
  <c r="E254" i="1"/>
  <c r="F254" i="1"/>
  <c r="Q254" i="1"/>
  <c r="E255" i="1"/>
  <c r="F255" i="1"/>
  <c r="Q255" i="1"/>
  <c r="E256" i="1"/>
  <c r="F256" i="1"/>
  <c r="Q256" i="1"/>
  <c r="E257" i="1"/>
  <c r="F257" i="1"/>
  <c r="Q257" i="1"/>
  <c r="E258" i="1"/>
  <c r="F258" i="1"/>
  <c r="Q258" i="1"/>
  <c r="E259" i="1"/>
  <c r="F259" i="1"/>
  <c r="Q259" i="1"/>
  <c r="E260" i="1"/>
  <c r="F260" i="1"/>
  <c r="Q260" i="1"/>
  <c r="E261" i="1"/>
  <c r="F261" i="1"/>
  <c r="Q261" i="1"/>
  <c r="E262" i="1"/>
  <c r="F262" i="1"/>
  <c r="Q262" i="1"/>
  <c r="E263" i="1"/>
  <c r="F263" i="1"/>
  <c r="Q263" i="1"/>
  <c r="E264" i="1"/>
  <c r="F264" i="1"/>
  <c r="Q264" i="1"/>
  <c r="E265" i="1"/>
  <c r="F265" i="1"/>
  <c r="Q265" i="1"/>
  <c r="E266" i="1"/>
  <c r="F266" i="1"/>
  <c r="Q266" i="1"/>
  <c r="E267" i="1"/>
  <c r="F267" i="1"/>
  <c r="Q267" i="1"/>
  <c r="E268" i="1"/>
  <c r="F268" i="1"/>
  <c r="Q268" i="1"/>
  <c r="E269" i="1"/>
  <c r="F269" i="1"/>
  <c r="Q269" i="1"/>
  <c r="E270" i="1"/>
  <c r="F270" i="1"/>
  <c r="Q270" i="1"/>
  <c r="E271" i="1"/>
  <c r="F271" i="1"/>
  <c r="Q271" i="1"/>
  <c r="E272" i="1"/>
  <c r="F272" i="1"/>
  <c r="Q272" i="1"/>
  <c r="E273" i="1"/>
  <c r="F273" i="1"/>
  <c r="Q273" i="1"/>
  <c r="E274" i="1"/>
  <c r="F274" i="1"/>
  <c r="Q274" i="1"/>
  <c r="E275" i="1"/>
  <c r="F275" i="1"/>
  <c r="Q275" i="1"/>
  <c r="E276" i="1"/>
  <c r="F276" i="1"/>
  <c r="Q276" i="1"/>
  <c r="E277" i="1"/>
  <c r="F277" i="1"/>
  <c r="Q277" i="1"/>
  <c r="E278" i="1"/>
  <c r="F278" i="1"/>
  <c r="Q278" i="1"/>
  <c r="E279" i="1"/>
  <c r="F279" i="1"/>
  <c r="Q279" i="1"/>
  <c r="E280" i="1"/>
  <c r="F280" i="1"/>
  <c r="Q280" i="1"/>
  <c r="E281" i="1"/>
  <c r="F281" i="1"/>
  <c r="Q281" i="1"/>
  <c r="E282" i="1"/>
  <c r="F282" i="1"/>
  <c r="Q282" i="1"/>
  <c r="E283" i="1"/>
  <c r="F283" i="1"/>
  <c r="Q283" i="1"/>
  <c r="E284" i="1"/>
  <c r="F284" i="1"/>
  <c r="Q284" i="1"/>
  <c r="E285" i="1"/>
  <c r="F285" i="1"/>
  <c r="Q285" i="1"/>
  <c r="E286" i="1"/>
  <c r="F286" i="1"/>
  <c r="Q286" i="1"/>
  <c r="E287" i="1"/>
  <c r="F287" i="1"/>
  <c r="Q287" i="1"/>
  <c r="E288" i="1"/>
  <c r="F288" i="1"/>
  <c r="Q288" i="1"/>
  <c r="E289" i="1"/>
  <c r="F289" i="1"/>
  <c r="Q289" i="1"/>
  <c r="E290" i="1"/>
  <c r="F290" i="1"/>
  <c r="Q290" i="1"/>
  <c r="E291" i="1"/>
  <c r="F291" i="1"/>
  <c r="Q291" i="1"/>
  <c r="E292" i="1"/>
  <c r="F292" i="1"/>
  <c r="Q292" i="1"/>
  <c r="E293" i="1"/>
  <c r="F293" i="1"/>
  <c r="Q293" i="1"/>
  <c r="E294" i="1"/>
  <c r="F294" i="1"/>
  <c r="Q294" i="1"/>
  <c r="E295" i="1"/>
  <c r="F295" i="1"/>
  <c r="Q295" i="1"/>
  <c r="E296" i="1"/>
  <c r="F296" i="1"/>
  <c r="Q296" i="1"/>
  <c r="E297" i="1"/>
  <c r="F297" i="1"/>
  <c r="Q297" i="1"/>
  <c r="E298" i="1"/>
  <c r="F298" i="1"/>
  <c r="Q298" i="1"/>
  <c r="E299" i="1"/>
  <c r="F299" i="1"/>
  <c r="Q299" i="1"/>
  <c r="E300" i="1"/>
  <c r="F300" i="1"/>
  <c r="Q300" i="1"/>
  <c r="E301" i="1"/>
  <c r="F301" i="1"/>
  <c r="Q301" i="1"/>
  <c r="E302" i="1"/>
  <c r="F302" i="1"/>
  <c r="Q302" i="1"/>
  <c r="E303" i="1"/>
  <c r="F303" i="1"/>
  <c r="Q303" i="1"/>
  <c r="E304" i="1"/>
  <c r="F304" i="1"/>
  <c r="Q304" i="1"/>
  <c r="E305" i="1"/>
  <c r="F305" i="1"/>
  <c r="Q305" i="1"/>
  <c r="E306" i="1"/>
  <c r="F306" i="1"/>
  <c r="Q306" i="1"/>
  <c r="E307" i="1"/>
  <c r="F307" i="1"/>
  <c r="Q307" i="1"/>
  <c r="E308" i="1"/>
  <c r="F308" i="1"/>
  <c r="Q308" i="1"/>
  <c r="E309" i="1"/>
  <c r="F309" i="1"/>
  <c r="Q309" i="1"/>
  <c r="E310" i="1"/>
  <c r="F310" i="1"/>
  <c r="Q310" i="1"/>
  <c r="E311" i="1"/>
  <c r="F311" i="1"/>
  <c r="Q311" i="1"/>
  <c r="E312" i="1"/>
  <c r="F312" i="1"/>
  <c r="Q312" i="1"/>
  <c r="E313" i="1"/>
  <c r="F313" i="1"/>
  <c r="Q313" i="1"/>
  <c r="E314" i="1"/>
  <c r="F314" i="1"/>
  <c r="Q314" i="1"/>
  <c r="E315" i="1"/>
  <c r="F315" i="1"/>
  <c r="Q315" i="1"/>
  <c r="E316" i="1"/>
  <c r="F316" i="1"/>
  <c r="Q316" i="1"/>
  <c r="E317" i="1"/>
  <c r="F317" i="1"/>
  <c r="Q317" i="1"/>
  <c r="E318" i="1"/>
  <c r="F318" i="1"/>
  <c r="Q318" i="1"/>
  <c r="E319" i="1"/>
  <c r="F319" i="1"/>
  <c r="Q319" i="1"/>
  <c r="E320" i="1"/>
  <c r="F320" i="1"/>
  <c r="Q320" i="1"/>
  <c r="E321" i="1"/>
  <c r="F321" i="1"/>
  <c r="Q321" i="1"/>
  <c r="E322" i="1"/>
  <c r="F322" i="1"/>
  <c r="Q322" i="1"/>
  <c r="E323" i="1"/>
  <c r="F323" i="1"/>
  <c r="Q323" i="1"/>
  <c r="E324" i="1"/>
  <c r="F324" i="1"/>
  <c r="Q324" i="1"/>
  <c r="E325" i="1"/>
  <c r="F325" i="1"/>
  <c r="Q325" i="1"/>
  <c r="E326" i="1"/>
  <c r="F326" i="1"/>
  <c r="Q326" i="1"/>
  <c r="E327" i="1"/>
  <c r="F327" i="1"/>
  <c r="Q327" i="1"/>
  <c r="E328" i="1"/>
  <c r="F328" i="1"/>
  <c r="Q328" i="1"/>
  <c r="E329" i="1"/>
  <c r="F329" i="1"/>
  <c r="F373" i="1"/>
  <c r="Q373" i="1"/>
  <c r="E374" i="1"/>
  <c r="J374" i="1" s="1"/>
  <c r="F374" i="1"/>
  <c r="F378" i="1"/>
  <c r="Q378" i="1"/>
  <c r="E379" i="1"/>
  <c r="J379" i="1" s="1"/>
  <c r="F379" i="1"/>
  <c r="F382" i="1"/>
  <c r="Q382" i="1"/>
  <c r="E383" i="1"/>
  <c r="F383" i="1"/>
  <c r="Q384" i="1"/>
  <c r="E385" i="1"/>
  <c r="Q385" i="1"/>
  <c r="F386" i="1"/>
  <c r="Q386" i="1"/>
  <c r="E387" i="1"/>
  <c r="F387" i="1"/>
  <c r="Q387" i="1"/>
  <c r="E388" i="1"/>
  <c r="F388" i="1"/>
  <c r="Q389" i="1"/>
  <c r="E390" i="1"/>
  <c r="Q390" i="1"/>
  <c r="E391" i="1"/>
  <c r="F391" i="1"/>
  <c r="Q391" i="1"/>
  <c r="E392" i="1"/>
  <c r="F392" i="1"/>
  <c r="Q393" i="1"/>
  <c r="E394" i="1"/>
  <c r="Q394" i="1"/>
  <c r="F395" i="1"/>
  <c r="Q395" i="1"/>
  <c r="E396" i="1"/>
  <c r="F396" i="1"/>
  <c r="Q396" i="1"/>
  <c r="E397" i="1"/>
  <c r="Q398" i="1"/>
  <c r="E399" i="1"/>
  <c r="F401" i="1"/>
  <c r="F406" i="1"/>
  <c r="F408" i="1"/>
  <c r="E410" i="1"/>
  <c r="Q410" i="1"/>
  <c r="E411" i="1"/>
  <c r="F438" i="1"/>
  <c r="F442" i="1"/>
  <c r="Q445" i="1"/>
  <c r="E446" i="1"/>
  <c r="Q446" i="1"/>
  <c r="E447" i="1"/>
  <c r="Q448" i="1"/>
  <c r="E449" i="1"/>
  <c r="F449" i="1"/>
  <c r="Q449" i="1"/>
  <c r="E450" i="1"/>
  <c r="J450" i="1" s="1"/>
  <c r="Q451" i="1"/>
  <c r="E452" i="1"/>
  <c r="E453" i="1"/>
  <c r="J453" i="1" s="1"/>
  <c r="Q455" i="1"/>
  <c r="E456" i="1"/>
  <c r="Q456" i="1"/>
  <c r="E457" i="1"/>
  <c r="E459" i="1"/>
  <c r="F459" i="1"/>
  <c r="F462" i="1"/>
  <c r="E464" i="1"/>
  <c r="Q465" i="1"/>
  <c r="E466" i="1"/>
  <c r="F467" i="1"/>
  <c r="Q470" i="1"/>
  <c r="E471" i="1"/>
  <c r="F472" i="1"/>
  <c r="Q474" i="1"/>
  <c r="E475" i="1"/>
  <c r="F476" i="1"/>
  <c r="Q479" i="1"/>
  <c r="F480" i="1"/>
  <c r="E484" i="1"/>
  <c r="Q484" i="1"/>
  <c r="F485" i="1"/>
  <c r="E492" i="1"/>
  <c r="F553" i="1"/>
  <c r="F555" i="1"/>
  <c r="Q557" i="1"/>
  <c r="E558" i="1"/>
  <c r="F559" i="1"/>
  <c r="E562" i="1"/>
  <c r="J562" i="1" s="1"/>
  <c r="F562" i="1"/>
  <c r="E565" i="1"/>
  <c r="Q565" i="1"/>
  <c r="F566" i="1"/>
  <c r="F569" i="1"/>
  <c r="Q571" i="1"/>
  <c r="E572" i="1"/>
  <c r="J572" i="1" s="1"/>
  <c r="E573" i="1"/>
  <c r="E637" i="1"/>
  <c r="Q639" i="1"/>
  <c r="E640" i="1"/>
  <c r="Q642" i="1"/>
  <c r="E643" i="1"/>
  <c r="Q643" i="1"/>
  <c r="E644" i="1"/>
  <c r="Q646" i="1"/>
  <c r="E647" i="1"/>
  <c r="Q647" i="1"/>
  <c r="E648" i="1"/>
  <c r="Q649" i="1"/>
  <c r="E650" i="1"/>
  <c r="F651" i="1"/>
  <c r="F654" i="1"/>
  <c r="F659" i="1"/>
  <c r="Q663" i="1"/>
  <c r="E664" i="1"/>
  <c r="Q664" i="1"/>
  <c r="E665" i="1"/>
  <c r="F665" i="1"/>
  <c r="Q668" i="1"/>
  <c r="E669" i="1"/>
  <c r="F670" i="1"/>
  <c r="Q674" i="1"/>
  <c r="E675" i="1"/>
  <c r="J675" i="1" s="1"/>
  <c r="Q676" i="1"/>
  <c r="F677" i="1"/>
  <c r="F680" i="1"/>
  <c r="F683" i="1"/>
  <c r="F686" i="1"/>
  <c r="Q690" i="1"/>
  <c r="E691" i="1"/>
  <c r="F692" i="1"/>
  <c r="Q697" i="1"/>
  <c r="E698" i="1"/>
  <c r="F699" i="1"/>
  <c r="Q701" i="1"/>
  <c r="E702" i="1"/>
  <c r="F702" i="1"/>
  <c r="Q702" i="1"/>
  <c r="E703" i="1"/>
  <c r="J703" i="1" s="1"/>
  <c r="Q704" i="1"/>
  <c r="E705" i="1"/>
  <c r="Q705" i="1"/>
  <c r="F706" i="1"/>
  <c r="Q710" i="1"/>
  <c r="E711" i="1"/>
  <c r="J711" i="1" s="1"/>
  <c r="F712" i="1"/>
  <c r="Q714" i="1"/>
  <c r="E715" i="1"/>
  <c r="F715" i="1"/>
  <c r="Q718" i="1"/>
  <c r="E719" i="1"/>
  <c r="F720" i="1"/>
  <c r="E723" i="1"/>
  <c r="F723" i="1"/>
  <c r="Q723" i="1"/>
  <c r="F724" i="1"/>
  <c r="E725" i="1"/>
  <c r="F726" i="1"/>
  <c r="F733" i="1"/>
  <c r="E808" i="1"/>
  <c r="E810" i="1"/>
  <c r="J810" i="1" s="1"/>
  <c r="E813" i="1"/>
  <c r="E814" i="1"/>
  <c r="F814" i="1"/>
  <c r="Q818" i="1"/>
  <c r="E820" i="1"/>
  <c r="Q820" i="1"/>
  <c r="E821" i="1"/>
  <c r="E826" i="1"/>
  <c r="F827" i="1"/>
  <c r="Q831" i="1"/>
  <c r="E832" i="1"/>
  <c r="Q833" i="1"/>
  <c r="E834" i="1"/>
  <c r="F834" i="1"/>
  <c r="Q837" i="1"/>
  <c r="F838" i="1"/>
  <c r="Q842" i="1"/>
  <c r="E843" i="1"/>
  <c r="F845" i="1"/>
  <c r="Q847" i="1"/>
  <c r="E848" i="1"/>
  <c r="Q848" i="1"/>
  <c r="F849" i="1"/>
  <c r="Q852" i="1"/>
  <c r="E853" i="1"/>
  <c r="J853" i="1" s="1"/>
  <c r="F853" i="1"/>
  <c r="E854" i="1"/>
  <c r="Q855" i="1"/>
  <c r="F856" i="1"/>
  <c r="F859" i="1"/>
  <c r="E863" i="1"/>
  <c r="F864" i="1"/>
  <c r="Q871" i="1"/>
  <c r="E872" i="1"/>
  <c r="J872" i="1" s="1"/>
  <c r="F873" i="1"/>
  <c r="Q877" i="1"/>
  <c r="E878" i="1"/>
  <c r="Q879" i="1"/>
  <c r="E880" i="1"/>
  <c r="Q880" i="1"/>
  <c r="E881" i="1"/>
  <c r="E882" i="1"/>
  <c r="F883" i="1"/>
  <c r="Q886" i="1"/>
  <c r="E887" i="1"/>
  <c r="F888" i="1"/>
  <c r="Q892" i="1"/>
  <c r="E893" i="1"/>
  <c r="F894" i="1"/>
  <c r="F898" i="1"/>
  <c r="Q903" i="1"/>
  <c r="E904" i="1"/>
  <c r="E906" i="1"/>
  <c r="J906" i="1" s="1"/>
  <c r="E908" i="1"/>
  <c r="F908" i="1"/>
  <c r="E914" i="1"/>
  <c r="Q914" i="1"/>
  <c r="E915" i="1"/>
  <c r="Q919" i="1"/>
  <c r="E920" i="1"/>
  <c r="F921" i="1"/>
  <c r="E925" i="1"/>
  <c r="Q925" i="1"/>
  <c r="E926" i="1"/>
  <c r="E927" i="1"/>
  <c r="F927" i="1"/>
  <c r="E930" i="1"/>
  <c r="F930" i="1"/>
  <c r="Q930" i="1"/>
  <c r="F931" i="1"/>
  <c r="F935" i="1"/>
  <c r="Q938" i="1"/>
  <c r="F944" i="1"/>
  <c r="Q947" i="1"/>
  <c r="E948" i="1"/>
  <c r="J948" i="1" s="1"/>
  <c r="Q949" i="1"/>
  <c r="F950" i="1"/>
  <c r="Q953" i="1"/>
  <c r="E954" i="1"/>
  <c r="F956" i="1"/>
  <c r="Q961" i="1"/>
  <c r="E962" i="1"/>
  <c r="F962" i="1"/>
  <c r="Q965" i="1"/>
  <c r="E966" i="1"/>
  <c r="Q967" i="1"/>
  <c r="E968" i="1"/>
  <c r="Q970" i="1"/>
  <c r="E971" i="1"/>
  <c r="E972" i="1"/>
  <c r="F972" i="1"/>
  <c r="Q978" i="1"/>
  <c r="E979" i="1"/>
  <c r="Q329" i="1"/>
  <c r="E330" i="1"/>
  <c r="F330" i="1"/>
  <c r="Q330" i="1"/>
  <c r="E331" i="1"/>
  <c r="F331" i="1"/>
  <c r="Q331" i="1"/>
  <c r="E332" i="1"/>
  <c r="F332" i="1"/>
  <c r="Q332" i="1"/>
  <c r="E333" i="1"/>
  <c r="F333" i="1"/>
  <c r="Q333" i="1"/>
  <c r="E334" i="1"/>
  <c r="F334" i="1"/>
  <c r="Q334" i="1"/>
  <c r="E335" i="1"/>
  <c r="F335" i="1"/>
  <c r="Q335" i="1"/>
  <c r="E336" i="1"/>
  <c r="F336" i="1"/>
  <c r="Q336" i="1"/>
  <c r="E337" i="1"/>
  <c r="F337" i="1"/>
  <c r="Q337" i="1"/>
  <c r="E338" i="1"/>
  <c r="F338" i="1"/>
  <c r="Q338" i="1"/>
  <c r="E339" i="1"/>
  <c r="F339" i="1"/>
  <c r="Q339" i="1"/>
  <c r="E340" i="1"/>
  <c r="F340" i="1"/>
  <c r="Q340" i="1"/>
  <c r="E341" i="1"/>
  <c r="F341" i="1"/>
  <c r="Q341" i="1"/>
  <c r="E342" i="1"/>
  <c r="F342" i="1"/>
  <c r="Q342" i="1"/>
  <c r="E343" i="1"/>
  <c r="F343" i="1"/>
  <c r="Q343" i="1"/>
  <c r="E344" i="1"/>
  <c r="F344" i="1"/>
  <c r="Q344" i="1"/>
  <c r="E345" i="1"/>
  <c r="F345" i="1"/>
  <c r="Q345" i="1"/>
  <c r="E346" i="1"/>
  <c r="F346" i="1"/>
  <c r="Q346" i="1"/>
  <c r="E347" i="1"/>
  <c r="F347" i="1"/>
  <c r="Q347" i="1"/>
  <c r="E348" i="1"/>
  <c r="F348" i="1"/>
  <c r="Q348" i="1"/>
  <c r="E349" i="1"/>
  <c r="F349" i="1"/>
  <c r="Q349" i="1"/>
  <c r="E350" i="1"/>
  <c r="F350" i="1"/>
  <c r="Q350" i="1"/>
  <c r="E351" i="1"/>
  <c r="F351" i="1"/>
  <c r="Q351" i="1"/>
  <c r="E352" i="1"/>
  <c r="F352" i="1"/>
  <c r="Q352" i="1"/>
  <c r="E353" i="1"/>
  <c r="F353" i="1"/>
  <c r="Q353" i="1"/>
  <c r="E354" i="1"/>
  <c r="F354" i="1"/>
  <c r="Q354" i="1"/>
  <c r="E355" i="1"/>
  <c r="F355" i="1"/>
  <c r="Q355" i="1"/>
  <c r="E356" i="1"/>
  <c r="F356" i="1"/>
  <c r="Q356" i="1"/>
  <c r="E357" i="1"/>
  <c r="F357" i="1"/>
  <c r="Q357" i="1"/>
  <c r="E358" i="1"/>
  <c r="F358" i="1"/>
  <c r="Q358" i="1"/>
  <c r="E359" i="1"/>
  <c r="F359" i="1"/>
  <c r="Q359" i="1"/>
  <c r="E360" i="1"/>
  <c r="F360" i="1"/>
  <c r="Q360" i="1"/>
  <c r="E361" i="1"/>
  <c r="F361" i="1"/>
  <c r="Q361" i="1"/>
  <c r="E362" i="1"/>
  <c r="F362" i="1"/>
  <c r="Q362" i="1"/>
  <c r="E363" i="1"/>
  <c r="F363" i="1"/>
  <c r="Q363" i="1"/>
  <c r="E364" i="1"/>
  <c r="F364" i="1"/>
  <c r="Q364" i="1"/>
  <c r="E365" i="1"/>
  <c r="F365" i="1"/>
  <c r="Q365" i="1"/>
  <c r="E366" i="1"/>
  <c r="F366" i="1"/>
  <c r="Q366" i="1"/>
  <c r="E367" i="1"/>
  <c r="F367" i="1"/>
  <c r="Q367" i="1"/>
  <c r="E368" i="1"/>
  <c r="F368" i="1"/>
  <c r="Q368" i="1"/>
  <c r="E369" i="1"/>
  <c r="F369" i="1"/>
  <c r="Q369" i="1"/>
  <c r="E370" i="1"/>
  <c r="F370" i="1"/>
  <c r="Q370" i="1"/>
  <c r="E371" i="1"/>
  <c r="F371" i="1"/>
  <c r="Q371" i="1"/>
  <c r="E372" i="1"/>
  <c r="F372" i="1"/>
  <c r="Q372" i="1"/>
  <c r="E373" i="1"/>
  <c r="Q374" i="1"/>
  <c r="E375" i="1"/>
  <c r="F375" i="1"/>
  <c r="Q375" i="1"/>
  <c r="E376" i="1"/>
  <c r="F376" i="1"/>
  <c r="Q376" i="1"/>
  <c r="E377" i="1"/>
  <c r="F377" i="1"/>
  <c r="Q377" i="1"/>
  <c r="E378" i="1"/>
  <c r="Q379" i="1"/>
  <c r="E380" i="1"/>
  <c r="F380" i="1"/>
  <c r="Q380" i="1"/>
  <c r="E381" i="1"/>
  <c r="F381" i="1"/>
  <c r="Q381" i="1"/>
  <c r="E382" i="1"/>
  <c r="Q383" i="1"/>
  <c r="E384" i="1"/>
  <c r="F384" i="1"/>
  <c r="F385" i="1"/>
  <c r="E386" i="1"/>
  <c r="Q388" i="1"/>
  <c r="E389" i="1"/>
  <c r="F389" i="1"/>
  <c r="F390" i="1"/>
  <c r="Q392" i="1"/>
  <c r="E393" i="1"/>
  <c r="J393" i="1" s="1"/>
  <c r="F393" i="1"/>
  <c r="F394" i="1"/>
  <c r="E395" i="1"/>
  <c r="J395" i="1" s="1"/>
  <c r="Q397" i="1"/>
  <c r="F400" i="1"/>
  <c r="E403" i="1"/>
  <c r="J403" i="1" s="1"/>
  <c r="F404" i="1"/>
  <c r="Q406" i="1"/>
  <c r="E407" i="1"/>
  <c r="J407" i="1" s="1"/>
  <c r="Q408" i="1"/>
  <c r="E409" i="1"/>
  <c r="J409" i="1" s="1"/>
  <c r="F437" i="1"/>
  <c r="Q440" i="1"/>
  <c r="E441" i="1"/>
  <c r="F443" i="1"/>
  <c r="F446" i="1"/>
  <c r="F450" i="1"/>
  <c r="F453" i="1"/>
  <c r="Q464" i="1"/>
  <c r="E465" i="1"/>
  <c r="Q466" i="1"/>
  <c r="E467" i="1"/>
  <c r="J467" i="1" s="1"/>
  <c r="F475" i="1"/>
  <c r="Q478" i="1"/>
  <c r="Q481" i="1"/>
  <c r="F482" i="1"/>
  <c r="Q485" i="1"/>
  <c r="E486" i="1"/>
  <c r="F487" i="1"/>
  <c r="F491" i="1"/>
  <c r="E557" i="1"/>
  <c r="F557" i="1"/>
  <c r="Q563" i="1"/>
  <c r="E564" i="1"/>
  <c r="J564" i="1" s="1"/>
  <c r="E566" i="1"/>
  <c r="F570" i="1"/>
  <c r="Q637" i="1"/>
  <c r="F638" i="1"/>
  <c r="Q641" i="1"/>
  <c r="E642" i="1"/>
  <c r="F644" i="1"/>
  <c r="F649" i="1"/>
  <c r="E654" i="1"/>
  <c r="Q655" i="1"/>
  <c r="F660" i="1"/>
  <c r="Q667" i="1"/>
  <c r="F668" i="1"/>
  <c r="Q673" i="1"/>
  <c r="E674" i="1"/>
  <c r="F676" i="1"/>
  <c r="Q684" i="1"/>
  <c r="F685" i="1"/>
  <c r="Q691" i="1"/>
  <c r="E692" i="1"/>
  <c r="J692" i="1" s="1"/>
  <c r="F708" i="1"/>
  <c r="E714" i="1"/>
  <c r="Q719" i="1"/>
  <c r="E720" i="1"/>
  <c r="Q728" i="1"/>
  <c r="E729" i="1"/>
  <c r="J729" i="1" s="1"/>
  <c r="Q733" i="1"/>
  <c r="E734" i="1"/>
  <c r="F811" i="1"/>
  <c r="Q817" i="1"/>
  <c r="E818" i="1"/>
  <c r="Q822" i="1"/>
  <c r="F823" i="1"/>
  <c r="Q826" i="1"/>
  <c r="E827" i="1"/>
  <c r="F833" i="1"/>
  <c r="Q840" i="1"/>
  <c r="F843" i="1"/>
  <c r="E850" i="1"/>
  <c r="F858" i="1"/>
  <c r="Q864" i="1"/>
  <c r="F865" i="1"/>
  <c r="Q875" i="1"/>
  <c r="E876" i="1"/>
  <c r="F878" i="1"/>
  <c r="F885" i="1"/>
  <c r="Q891" i="1"/>
  <c r="E895" i="1"/>
  <c r="Q899" i="1"/>
  <c r="E900" i="1"/>
  <c r="Q902" i="1"/>
  <c r="E903" i="1"/>
  <c r="Q909" i="1"/>
  <c r="E910" i="1"/>
  <c r="Q912" i="1"/>
  <c r="E913" i="1"/>
  <c r="E918" i="1"/>
  <c r="Q922" i="1"/>
  <c r="F925" i="1"/>
  <c r="E934" i="1"/>
  <c r="F938" i="1"/>
  <c r="F949" i="1"/>
  <c r="Q955" i="1"/>
  <c r="E956" i="1"/>
  <c r="F966" i="1"/>
  <c r="Q973" i="1"/>
  <c r="Q976" i="1"/>
  <c r="E977" i="1"/>
  <c r="Q411" i="1"/>
  <c r="E412" i="1"/>
  <c r="F412" i="1"/>
  <c r="Q412" i="1"/>
  <c r="E413" i="1"/>
  <c r="F413" i="1"/>
  <c r="Q413" i="1"/>
  <c r="E414" i="1"/>
  <c r="F414" i="1"/>
  <c r="Q414" i="1"/>
  <c r="E415" i="1"/>
  <c r="F415" i="1"/>
  <c r="Q415" i="1"/>
  <c r="E416" i="1"/>
  <c r="F416" i="1"/>
  <c r="Q416" i="1"/>
  <c r="E417" i="1"/>
  <c r="F417" i="1"/>
  <c r="Q417" i="1"/>
  <c r="E418" i="1"/>
  <c r="F418" i="1"/>
  <c r="Q418" i="1"/>
  <c r="E419" i="1"/>
  <c r="F419" i="1"/>
  <c r="Q419" i="1"/>
  <c r="E420" i="1"/>
  <c r="F420" i="1"/>
  <c r="Q420" i="1"/>
  <c r="E421" i="1"/>
  <c r="F421" i="1"/>
  <c r="Q421" i="1"/>
  <c r="E422" i="1"/>
  <c r="F422" i="1"/>
  <c r="Q422" i="1"/>
  <c r="E423" i="1"/>
  <c r="F423" i="1"/>
  <c r="Q423" i="1"/>
  <c r="E424" i="1"/>
  <c r="F424" i="1"/>
  <c r="Q424" i="1"/>
  <c r="E425" i="1"/>
  <c r="F425" i="1"/>
  <c r="Q425" i="1"/>
  <c r="E426" i="1"/>
  <c r="F426" i="1"/>
  <c r="Q426" i="1"/>
  <c r="E427" i="1"/>
  <c r="F427" i="1"/>
  <c r="Q427" i="1"/>
  <c r="E428" i="1"/>
  <c r="F428" i="1"/>
  <c r="Q428" i="1"/>
  <c r="E429" i="1"/>
  <c r="F429" i="1"/>
  <c r="Q429" i="1"/>
  <c r="E430" i="1"/>
  <c r="F430" i="1"/>
  <c r="Q430" i="1"/>
  <c r="E431" i="1"/>
  <c r="F431" i="1"/>
  <c r="Q431" i="1"/>
  <c r="E432" i="1"/>
  <c r="F432" i="1"/>
  <c r="Q432" i="1"/>
  <c r="E433" i="1"/>
  <c r="F433" i="1"/>
  <c r="Q433" i="1"/>
  <c r="E434" i="1"/>
  <c r="F434" i="1"/>
  <c r="Q434" i="1"/>
  <c r="E435" i="1"/>
  <c r="F435" i="1"/>
  <c r="Q435" i="1"/>
  <c r="E436" i="1"/>
  <c r="J436" i="1" s="1"/>
  <c r="F436" i="1"/>
  <c r="Q437" i="1"/>
  <c r="E438" i="1"/>
  <c r="Q439" i="1"/>
  <c r="E440" i="1"/>
  <c r="F441" i="1"/>
  <c r="F445" i="1"/>
  <c r="E454" i="1"/>
  <c r="Q457" i="1"/>
  <c r="E458" i="1"/>
  <c r="F460" i="1"/>
  <c r="F468" i="1"/>
  <c r="Q475" i="1"/>
  <c r="E476" i="1"/>
  <c r="J476" i="1" s="1"/>
  <c r="E480" i="1"/>
  <c r="E481" i="1"/>
  <c r="F486" i="1"/>
  <c r="F490" i="1"/>
  <c r="E554" i="1"/>
  <c r="F554" i="1"/>
  <c r="F560" i="1"/>
  <c r="F567" i="1"/>
  <c r="F572" i="1"/>
  <c r="Q644" i="1"/>
  <c r="E645" i="1"/>
  <c r="F647" i="1"/>
  <c r="Q653" i="1"/>
  <c r="F658" i="1"/>
  <c r="F667" i="1"/>
  <c r="F674" i="1"/>
  <c r="Q680" i="1"/>
  <c r="F681" i="1"/>
  <c r="Q687" i="1"/>
  <c r="E688" i="1"/>
  <c r="F688" i="1"/>
  <c r="Q694" i="1"/>
  <c r="F695" i="1"/>
  <c r="F701" i="1"/>
  <c r="Q709" i="1"/>
  <c r="F710" i="1"/>
  <c r="Q715" i="1"/>
  <c r="E716" i="1"/>
  <c r="Q727" i="1"/>
  <c r="F728" i="1"/>
  <c r="Q812" i="1"/>
  <c r="Q814" i="1"/>
  <c r="E815" i="1"/>
  <c r="E817" i="1"/>
  <c r="F818" i="1"/>
  <c r="E825" i="1"/>
  <c r="Q832" i="1"/>
  <c r="E833" i="1"/>
  <c r="Q835" i="1"/>
  <c r="E836" i="1"/>
  <c r="E839" i="1"/>
  <c r="Q841" i="1"/>
  <c r="F844" i="1"/>
  <c r="F850" i="1"/>
  <c r="F857" i="1"/>
  <c r="Q863" i="1"/>
  <c r="E864" i="1"/>
  <c r="Q865" i="1"/>
  <c r="E866" i="1"/>
  <c r="F869" i="1"/>
  <c r="F876" i="1"/>
  <c r="Q885" i="1"/>
  <c r="F886" i="1"/>
  <c r="Q895" i="1"/>
  <c r="E896" i="1"/>
  <c r="F900" i="1"/>
  <c r="Q907" i="1"/>
  <c r="F910" i="1"/>
  <c r="Q916" i="1"/>
  <c r="E917" i="1"/>
  <c r="E919" i="1"/>
  <c r="Q921" i="1"/>
  <c r="E922" i="1"/>
  <c r="J922" i="1" s="1"/>
  <c r="Q926" i="1"/>
  <c r="F928" i="1"/>
  <c r="Q936" i="1"/>
  <c r="E937" i="1"/>
  <c r="E939" i="1"/>
  <c r="F943" i="1"/>
  <c r="F953" i="1"/>
  <c r="Q960" i="1"/>
  <c r="F961" i="1"/>
  <c r="F969" i="1"/>
  <c r="Q975" i="1"/>
  <c r="E976" i="1"/>
  <c r="J976" i="1" s="1"/>
  <c r="Q977" i="1"/>
  <c r="E978" i="1"/>
  <c r="Q492" i="1"/>
  <c r="E493" i="1"/>
  <c r="F493" i="1"/>
  <c r="Q493" i="1"/>
  <c r="E494" i="1"/>
  <c r="F494" i="1"/>
  <c r="Q494" i="1"/>
  <c r="E495" i="1"/>
  <c r="F495" i="1"/>
  <c r="Q495" i="1"/>
  <c r="E496" i="1"/>
  <c r="F496" i="1"/>
  <c r="Q496" i="1"/>
  <c r="E497" i="1"/>
  <c r="F497" i="1"/>
  <c r="Q497" i="1"/>
  <c r="E498" i="1"/>
  <c r="F498" i="1"/>
  <c r="Q498" i="1"/>
  <c r="E499" i="1"/>
  <c r="F499" i="1"/>
  <c r="Q499" i="1"/>
  <c r="E500" i="1"/>
  <c r="F500" i="1"/>
  <c r="Q500" i="1"/>
  <c r="E501" i="1"/>
  <c r="F501" i="1"/>
  <c r="Q501" i="1"/>
  <c r="E502" i="1"/>
  <c r="F502" i="1"/>
  <c r="Q502" i="1"/>
  <c r="E503" i="1"/>
  <c r="F503" i="1"/>
  <c r="Q503" i="1"/>
  <c r="E504" i="1"/>
  <c r="F504" i="1"/>
  <c r="Q504" i="1"/>
  <c r="E505" i="1"/>
  <c r="F505" i="1"/>
  <c r="Q505" i="1"/>
  <c r="E506" i="1"/>
  <c r="F506" i="1"/>
  <c r="Q506" i="1"/>
  <c r="E507" i="1"/>
  <c r="F507" i="1"/>
  <c r="Q507" i="1"/>
  <c r="E508" i="1"/>
  <c r="F508" i="1"/>
  <c r="Q508" i="1"/>
  <c r="E509" i="1"/>
  <c r="F509" i="1"/>
  <c r="Q509" i="1"/>
  <c r="E510" i="1"/>
  <c r="F510" i="1"/>
  <c r="Q510" i="1"/>
  <c r="E511" i="1"/>
  <c r="F511" i="1"/>
  <c r="Q511" i="1"/>
  <c r="E512" i="1"/>
  <c r="F512" i="1"/>
  <c r="Q512" i="1"/>
  <c r="E513" i="1"/>
  <c r="F513" i="1"/>
  <c r="Q513" i="1"/>
  <c r="E514" i="1"/>
  <c r="F514" i="1"/>
  <c r="Q514" i="1"/>
  <c r="E515" i="1"/>
  <c r="F515" i="1"/>
  <c r="Q515" i="1"/>
  <c r="E516" i="1"/>
  <c r="F516" i="1"/>
  <c r="Q516" i="1"/>
  <c r="E517" i="1"/>
  <c r="F517" i="1"/>
  <c r="Q517" i="1"/>
  <c r="E518" i="1"/>
  <c r="F518" i="1"/>
  <c r="Q518" i="1"/>
  <c r="E519" i="1"/>
  <c r="F519" i="1"/>
  <c r="Q519" i="1"/>
  <c r="E520" i="1"/>
  <c r="F520" i="1"/>
  <c r="Q520" i="1"/>
  <c r="E521" i="1"/>
  <c r="F521" i="1"/>
  <c r="Q521" i="1"/>
  <c r="E522" i="1"/>
  <c r="F522" i="1"/>
  <c r="Q522" i="1"/>
  <c r="E523" i="1"/>
  <c r="F523" i="1"/>
  <c r="Q523" i="1"/>
  <c r="E524" i="1"/>
  <c r="F524" i="1"/>
  <c r="Q524" i="1"/>
  <c r="E525" i="1"/>
  <c r="F525" i="1"/>
  <c r="Q525" i="1"/>
  <c r="E526" i="1"/>
  <c r="F526" i="1"/>
  <c r="Q526" i="1"/>
  <c r="E527" i="1"/>
  <c r="F527" i="1"/>
  <c r="Q527" i="1"/>
  <c r="E528" i="1"/>
  <c r="F528" i="1"/>
  <c r="Q528" i="1"/>
  <c r="E529" i="1"/>
  <c r="F529" i="1"/>
  <c r="Q529" i="1"/>
  <c r="E530" i="1"/>
  <c r="F530" i="1"/>
  <c r="Q530" i="1"/>
  <c r="E531" i="1"/>
  <c r="F531" i="1"/>
  <c r="Q531" i="1"/>
  <c r="E532" i="1"/>
  <c r="F532" i="1"/>
  <c r="Q532" i="1"/>
  <c r="E533" i="1"/>
  <c r="F533" i="1"/>
  <c r="Q533" i="1"/>
  <c r="E534" i="1"/>
  <c r="F534" i="1"/>
  <c r="Q534" i="1"/>
  <c r="E535" i="1"/>
  <c r="F535" i="1"/>
  <c r="Q535" i="1"/>
  <c r="E536" i="1"/>
  <c r="F536" i="1"/>
  <c r="Q536" i="1"/>
  <c r="E537" i="1"/>
  <c r="F537" i="1"/>
  <c r="Q537" i="1"/>
  <c r="E538" i="1"/>
  <c r="F538" i="1"/>
  <c r="Q538" i="1"/>
  <c r="E539" i="1"/>
  <c r="F539" i="1"/>
  <c r="Q539" i="1"/>
  <c r="E540" i="1"/>
  <c r="F540" i="1"/>
  <c r="Q540" i="1"/>
  <c r="E541" i="1"/>
  <c r="F541" i="1"/>
  <c r="Q541" i="1"/>
  <c r="E542" i="1"/>
  <c r="F542" i="1"/>
  <c r="Q542" i="1"/>
  <c r="E543" i="1"/>
  <c r="F543" i="1"/>
  <c r="Q543" i="1"/>
  <c r="E544" i="1"/>
  <c r="F544" i="1"/>
  <c r="Q544" i="1"/>
  <c r="E545" i="1"/>
  <c r="F545" i="1"/>
  <c r="Q545" i="1"/>
  <c r="E546" i="1"/>
  <c r="F546" i="1"/>
  <c r="Q546" i="1"/>
  <c r="E547" i="1"/>
  <c r="F547" i="1"/>
  <c r="Q547" i="1"/>
  <c r="E548" i="1"/>
  <c r="F548" i="1"/>
  <c r="Q548" i="1"/>
  <c r="E549" i="1"/>
  <c r="F549" i="1"/>
  <c r="Q549" i="1"/>
  <c r="E550" i="1"/>
  <c r="F550" i="1"/>
  <c r="Q550" i="1"/>
  <c r="E551" i="1"/>
  <c r="F551" i="1"/>
  <c r="Q551" i="1"/>
  <c r="E552" i="1"/>
  <c r="F552" i="1"/>
  <c r="Q553" i="1"/>
  <c r="E555" i="1"/>
  <c r="J555" i="1" s="1"/>
  <c r="Q556" i="1"/>
  <c r="Q561" i="1"/>
  <c r="Q568" i="1"/>
  <c r="E569" i="1"/>
  <c r="E571" i="1"/>
  <c r="E639" i="1"/>
  <c r="F643" i="1"/>
  <c r="F648" i="1"/>
  <c r="Q657" i="1"/>
  <c r="Q662" i="1"/>
  <c r="E663" i="1"/>
  <c r="Q665" i="1"/>
  <c r="E666" i="1"/>
  <c r="Q670" i="1"/>
  <c r="Q681" i="1"/>
  <c r="E682" i="1"/>
  <c r="J682" i="1" s="1"/>
  <c r="F684" i="1"/>
  <c r="E693" i="1"/>
  <c r="F693" i="1"/>
  <c r="F696" i="1"/>
  <c r="F703" i="1"/>
  <c r="F709" i="1"/>
  <c r="Q717" i="1"/>
  <c r="F718" i="1"/>
  <c r="E728" i="1"/>
  <c r="Q730" i="1"/>
  <c r="F731" i="1"/>
  <c r="Q808" i="1"/>
  <c r="E809" i="1"/>
  <c r="Q811" i="1"/>
  <c r="F812" i="1"/>
  <c r="E819" i="1"/>
  <c r="F821" i="1"/>
  <c r="F829" i="1"/>
  <c r="E837" i="1"/>
  <c r="Q839" i="1"/>
  <c r="F840" i="1"/>
  <c r="Q846" i="1"/>
  <c r="E847" i="1"/>
  <c r="Q849" i="1"/>
  <c r="E856" i="1"/>
  <c r="J856" i="1" s="1"/>
  <c r="F861" i="1"/>
  <c r="Q867" i="1"/>
  <c r="E868" i="1"/>
  <c r="Q870" i="1"/>
  <c r="E871" i="1"/>
  <c r="Q876" i="1"/>
  <c r="E877" i="1"/>
  <c r="F880" i="1"/>
  <c r="E886" i="1"/>
  <c r="Q889" i="1"/>
  <c r="E892" i="1"/>
  <c r="F892" i="1"/>
  <c r="E899" i="1"/>
  <c r="J899" i="1" s="1"/>
  <c r="E902" i="1"/>
  <c r="J902" i="1" s="1"/>
  <c r="Q904" i="1"/>
  <c r="F909" i="1"/>
  <c r="F916" i="1"/>
  <c r="Q924" i="1"/>
  <c r="Q928" i="1"/>
  <c r="E929" i="1"/>
  <c r="Q931" i="1"/>
  <c r="E932" i="1"/>
  <c r="Q937" i="1"/>
  <c r="E938" i="1"/>
  <c r="Q942" i="1"/>
  <c r="E943" i="1"/>
  <c r="Q944" i="1"/>
  <c r="E945" i="1"/>
  <c r="F948" i="1"/>
  <c r="Q954" i="1"/>
  <c r="E955" i="1"/>
  <c r="J955" i="1" s="1"/>
  <c r="F955" i="1"/>
  <c r="E965" i="1"/>
  <c r="F965" i="1"/>
  <c r="F973" i="1"/>
  <c r="Q573" i="1"/>
  <c r="E574" i="1"/>
  <c r="F574" i="1"/>
  <c r="Q574" i="1"/>
  <c r="E575" i="1"/>
  <c r="F575" i="1"/>
  <c r="Q575" i="1"/>
  <c r="E576" i="1"/>
  <c r="F576" i="1"/>
  <c r="Q576" i="1"/>
  <c r="E577" i="1"/>
  <c r="F577" i="1"/>
  <c r="Q577" i="1"/>
  <c r="E578" i="1"/>
  <c r="F578" i="1"/>
  <c r="Q578" i="1"/>
  <c r="E579" i="1"/>
  <c r="F579" i="1"/>
  <c r="Q579" i="1"/>
  <c r="E580" i="1"/>
  <c r="F580" i="1"/>
  <c r="Q580" i="1"/>
  <c r="E581" i="1"/>
  <c r="F581" i="1"/>
  <c r="Q581" i="1"/>
  <c r="E582" i="1"/>
  <c r="F582" i="1"/>
  <c r="Q582" i="1"/>
  <c r="E583" i="1"/>
  <c r="F583" i="1"/>
  <c r="Q583" i="1"/>
  <c r="E584" i="1"/>
  <c r="F584" i="1"/>
  <c r="Q584" i="1"/>
  <c r="E585" i="1"/>
  <c r="F585" i="1"/>
  <c r="Q585" i="1"/>
  <c r="E586" i="1"/>
  <c r="F586" i="1"/>
  <c r="Q586" i="1"/>
  <c r="E587" i="1"/>
  <c r="F587" i="1"/>
  <c r="Q587" i="1"/>
  <c r="E588" i="1"/>
  <c r="F588" i="1"/>
  <c r="Q588" i="1"/>
  <c r="E589" i="1"/>
  <c r="F589" i="1"/>
  <c r="Q589" i="1"/>
  <c r="E590" i="1"/>
  <c r="F590" i="1"/>
  <c r="Q590" i="1"/>
  <c r="E591" i="1"/>
  <c r="F591" i="1"/>
  <c r="Q591" i="1"/>
  <c r="E592" i="1"/>
  <c r="F592" i="1"/>
  <c r="Q592" i="1"/>
  <c r="E593" i="1"/>
  <c r="F593" i="1"/>
  <c r="Q593" i="1"/>
  <c r="E594" i="1"/>
  <c r="F594" i="1"/>
  <c r="Q594" i="1"/>
  <c r="E595" i="1"/>
  <c r="F595" i="1"/>
  <c r="Q595" i="1"/>
  <c r="E596" i="1"/>
  <c r="F596" i="1"/>
  <c r="Q596" i="1"/>
  <c r="E597" i="1"/>
  <c r="F597" i="1"/>
  <c r="Q597" i="1"/>
  <c r="E598" i="1"/>
  <c r="F598" i="1"/>
  <c r="Q598" i="1"/>
  <c r="E599" i="1"/>
  <c r="F599" i="1"/>
  <c r="Q599" i="1"/>
  <c r="E600" i="1"/>
  <c r="F600" i="1"/>
  <c r="Q600" i="1"/>
  <c r="E601" i="1"/>
  <c r="F601" i="1"/>
  <c r="Q601" i="1"/>
  <c r="E602" i="1"/>
  <c r="F602" i="1"/>
  <c r="Q602" i="1"/>
  <c r="E603" i="1"/>
  <c r="F603" i="1"/>
  <c r="Q603" i="1"/>
  <c r="E604" i="1"/>
  <c r="F604" i="1"/>
  <c r="Q604" i="1"/>
  <c r="E605" i="1"/>
  <c r="F605" i="1"/>
  <c r="Q605" i="1"/>
  <c r="E606" i="1"/>
  <c r="F606" i="1"/>
  <c r="Q606" i="1"/>
  <c r="E607" i="1"/>
  <c r="F607" i="1"/>
  <c r="Q607" i="1"/>
  <c r="E608" i="1"/>
  <c r="F608" i="1"/>
  <c r="Q608" i="1"/>
  <c r="E609" i="1"/>
  <c r="F609" i="1"/>
  <c r="Q609" i="1"/>
  <c r="E610" i="1"/>
  <c r="F610" i="1"/>
  <c r="Q610" i="1"/>
  <c r="E611" i="1"/>
  <c r="F611" i="1"/>
  <c r="Q611" i="1"/>
  <c r="E612" i="1"/>
  <c r="F612" i="1"/>
  <c r="Q612" i="1"/>
  <c r="E613" i="1"/>
  <c r="F613" i="1"/>
  <c r="Q613" i="1"/>
  <c r="E614" i="1"/>
  <c r="F614" i="1"/>
  <c r="Q614" i="1"/>
  <c r="E615" i="1"/>
  <c r="F615" i="1"/>
  <c r="Q615" i="1"/>
  <c r="E616" i="1"/>
  <c r="F616" i="1"/>
  <c r="Q616" i="1"/>
  <c r="E617" i="1"/>
  <c r="F617" i="1"/>
  <c r="Q617" i="1"/>
  <c r="E618" i="1"/>
  <c r="F618" i="1"/>
  <c r="Q618" i="1"/>
  <c r="E619" i="1"/>
  <c r="F619" i="1"/>
  <c r="Q619" i="1"/>
  <c r="E620" i="1"/>
  <c r="F620" i="1"/>
  <c r="Q620" i="1"/>
  <c r="E621" i="1"/>
  <c r="F621" i="1"/>
  <c r="Q621" i="1"/>
  <c r="E622" i="1"/>
  <c r="F622" i="1"/>
  <c r="Q622" i="1"/>
  <c r="E623" i="1"/>
  <c r="F623" i="1"/>
  <c r="Q623" i="1"/>
  <c r="E624" i="1"/>
  <c r="F624" i="1"/>
  <c r="Q624" i="1"/>
  <c r="E625" i="1"/>
  <c r="F625" i="1"/>
  <c r="Q625" i="1"/>
  <c r="E626" i="1"/>
  <c r="F626" i="1"/>
  <c r="Q626" i="1"/>
  <c r="E627" i="1"/>
  <c r="F627" i="1"/>
  <c r="Q627" i="1"/>
  <c r="E628" i="1"/>
  <c r="F628" i="1"/>
  <c r="Q628" i="1"/>
  <c r="E629" i="1"/>
  <c r="F629" i="1"/>
  <c r="Q629" i="1"/>
  <c r="E630" i="1"/>
  <c r="F630" i="1"/>
  <c r="Q630" i="1"/>
  <c r="E631" i="1"/>
  <c r="F631" i="1"/>
  <c r="Q631" i="1"/>
  <c r="E632" i="1"/>
  <c r="F632" i="1"/>
  <c r="Q632" i="1"/>
  <c r="E633" i="1"/>
  <c r="F633" i="1"/>
  <c r="Q633" i="1"/>
  <c r="E634" i="1"/>
  <c r="F634" i="1"/>
  <c r="Q634" i="1"/>
  <c r="E635" i="1"/>
  <c r="F635" i="1"/>
  <c r="Q635" i="1"/>
  <c r="E636" i="1"/>
  <c r="Q636" i="1"/>
  <c r="F637" i="1"/>
  <c r="Q640" i="1"/>
  <c r="E641" i="1"/>
  <c r="Q645" i="1"/>
  <c r="E646" i="1"/>
  <c r="Q651" i="1"/>
  <c r="E652" i="1"/>
  <c r="E656" i="1"/>
  <c r="F656" i="1"/>
  <c r="Q656" i="1"/>
  <c r="E657" i="1"/>
  <c r="Q659" i="1"/>
  <c r="E660" i="1"/>
  <c r="F663" i="1"/>
  <c r="F672" i="1"/>
  <c r="Q677" i="1"/>
  <c r="E678" i="1"/>
  <c r="E679" i="1"/>
  <c r="E681" i="1"/>
  <c r="Q683" i="1"/>
  <c r="E684" i="1"/>
  <c r="Q686" i="1"/>
  <c r="E687" i="1"/>
  <c r="J687" i="1" s="1"/>
  <c r="Q688" i="1"/>
  <c r="E689" i="1"/>
  <c r="F689" i="1"/>
  <c r="Q689" i="1"/>
  <c r="E690" i="1"/>
  <c r="Q692" i="1"/>
  <c r="Q693" i="1"/>
  <c r="Q696" i="1"/>
  <c r="E697" i="1"/>
  <c r="F705" i="1"/>
  <c r="F711" i="1"/>
  <c r="Q716" i="1"/>
  <c r="E717" i="1"/>
  <c r="F717" i="1"/>
  <c r="Q722" i="1"/>
  <c r="Q726" i="1"/>
  <c r="E727" i="1"/>
  <c r="J727" i="1" s="1"/>
  <c r="F730" i="1"/>
  <c r="F735" i="1"/>
  <c r="Q813" i="1"/>
  <c r="E816" i="1"/>
  <c r="J816" i="1" s="1"/>
  <c r="Q821" i="1"/>
  <c r="E822" i="1"/>
  <c r="Q825" i="1"/>
  <c r="F826" i="1"/>
  <c r="F836" i="1"/>
  <c r="Q843" i="1"/>
  <c r="E844" i="1"/>
  <c r="F854" i="1"/>
  <c r="E865" i="1"/>
  <c r="J865" i="1" s="1"/>
  <c r="Q868" i="1"/>
  <c r="E869" i="1"/>
  <c r="F871" i="1"/>
  <c r="Q878" i="1"/>
  <c r="E879" i="1"/>
  <c r="Q881" i="1"/>
  <c r="F882" i="1"/>
  <c r="Q888" i="1"/>
  <c r="E890" i="1"/>
  <c r="J890" i="1" s="1"/>
  <c r="F890" i="1"/>
  <c r="Q896" i="1"/>
  <c r="E897" i="1"/>
  <c r="J897" i="1" s="1"/>
  <c r="Q901" i="1"/>
  <c r="F902" i="1"/>
  <c r="Q910" i="1"/>
  <c r="F911" i="1"/>
  <c r="Q917" i="1"/>
  <c r="F918" i="1"/>
  <c r="F924" i="1"/>
  <c r="Q935" i="1"/>
  <c r="E936" i="1"/>
  <c r="F939" i="1"/>
  <c r="F947" i="1"/>
  <c r="Q957" i="1"/>
  <c r="Q963" i="1"/>
  <c r="E964" i="1"/>
  <c r="F967" i="1"/>
  <c r="Q974" i="1"/>
  <c r="F736" i="1"/>
  <c r="Q736" i="1"/>
  <c r="E737" i="1"/>
  <c r="F737" i="1"/>
  <c r="Q737" i="1"/>
  <c r="E738" i="1"/>
  <c r="F738" i="1"/>
  <c r="Q738" i="1"/>
  <c r="E739" i="1"/>
  <c r="F739" i="1"/>
  <c r="Q739" i="1"/>
  <c r="E740" i="1"/>
  <c r="F740" i="1"/>
  <c r="Q740" i="1"/>
  <c r="E741" i="1"/>
  <c r="F741" i="1"/>
  <c r="Q741" i="1"/>
  <c r="E742" i="1"/>
  <c r="F742" i="1"/>
  <c r="Q742" i="1"/>
  <c r="E743" i="1"/>
  <c r="F743" i="1"/>
  <c r="Q743" i="1"/>
  <c r="E744" i="1"/>
  <c r="F744" i="1"/>
  <c r="Q744" i="1"/>
  <c r="E745" i="1"/>
  <c r="F745" i="1"/>
  <c r="Q745" i="1"/>
  <c r="E746" i="1"/>
  <c r="F746" i="1"/>
  <c r="Q746" i="1"/>
  <c r="E747" i="1"/>
  <c r="F747" i="1"/>
  <c r="Q747" i="1"/>
  <c r="E748" i="1"/>
  <c r="F748" i="1"/>
  <c r="Q748" i="1"/>
  <c r="E749" i="1"/>
  <c r="F749" i="1"/>
  <c r="Q749" i="1"/>
  <c r="E750" i="1"/>
  <c r="F750" i="1"/>
  <c r="Q750" i="1"/>
  <c r="E751" i="1"/>
  <c r="F751" i="1"/>
  <c r="Q751" i="1"/>
  <c r="E752" i="1"/>
  <c r="F752" i="1"/>
  <c r="Q752" i="1"/>
  <c r="E753" i="1"/>
  <c r="F753" i="1"/>
  <c r="Q753" i="1"/>
  <c r="E754" i="1"/>
  <c r="F754" i="1"/>
  <c r="Q754" i="1"/>
  <c r="E755" i="1"/>
  <c r="F755" i="1"/>
  <c r="Q755" i="1"/>
  <c r="E756" i="1"/>
  <c r="F756" i="1"/>
  <c r="Q756" i="1"/>
  <c r="E757" i="1"/>
  <c r="F757" i="1"/>
  <c r="Q757" i="1"/>
  <c r="E758" i="1"/>
  <c r="F758" i="1"/>
  <c r="Q758" i="1"/>
  <c r="E759" i="1"/>
  <c r="F759" i="1"/>
  <c r="Q759" i="1"/>
  <c r="E760" i="1"/>
  <c r="F760" i="1"/>
  <c r="Q760" i="1"/>
  <c r="E761" i="1"/>
  <c r="F761" i="1"/>
  <c r="Q761" i="1"/>
  <c r="E762" i="1"/>
  <c r="F762" i="1"/>
  <c r="Q762" i="1"/>
  <c r="E763" i="1"/>
  <c r="F763" i="1"/>
  <c r="Q763" i="1"/>
  <c r="E764" i="1"/>
  <c r="F764" i="1"/>
  <c r="Q764" i="1"/>
  <c r="E765" i="1"/>
  <c r="F765" i="1"/>
  <c r="Q765" i="1"/>
  <c r="E766" i="1"/>
  <c r="F766" i="1"/>
  <c r="Q766" i="1"/>
  <c r="E767" i="1"/>
  <c r="F767" i="1"/>
  <c r="Q767" i="1"/>
  <c r="E768" i="1"/>
  <c r="F768" i="1"/>
  <c r="Q768" i="1"/>
  <c r="E769" i="1"/>
  <c r="F769" i="1"/>
  <c r="Q769" i="1"/>
  <c r="E770" i="1"/>
  <c r="F770" i="1"/>
  <c r="Q770" i="1"/>
  <c r="E771" i="1"/>
  <c r="F771" i="1"/>
  <c r="Q771" i="1"/>
  <c r="E772" i="1"/>
  <c r="F772" i="1"/>
  <c r="Q772" i="1"/>
  <c r="E773" i="1"/>
  <c r="F773" i="1"/>
  <c r="Q773" i="1"/>
  <c r="E774" i="1"/>
  <c r="F774" i="1"/>
  <c r="Q774" i="1"/>
  <c r="E775" i="1"/>
  <c r="F775" i="1"/>
  <c r="Q775" i="1"/>
  <c r="E776" i="1"/>
  <c r="F776" i="1"/>
  <c r="Q776" i="1"/>
  <c r="E777" i="1"/>
  <c r="F777" i="1"/>
  <c r="Q777" i="1"/>
  <c r="E778" i="1"/>
  <c r="F778" i="1"/>
  <c r="Q778" i="1"/>
  <c r="E779" i="1"/>
  <c r="F779" i="1"/>
  <c r="Q779" i="1"/>
  <c r="E780" i="1"/>
  <c r="F780" i="1"/>
  <c r="Q780" i="1"/>
  <c r="E781" i="1"/>
  <c r="F781" i="1"/>
  <c r="Q781" i="1"/>
  <c r="E782" i="1"/>
  <c r="F782" i="1"/>
  <c r="Q782" i="1"/>
  <c r="E783" i="1"/>
  <c r="F783" i="1"/>
  <c r="Q783" i="1"/>
  <c r="E784" i="1"/>
  <c r="F784" i="1"/>
  <c r="Q784" i="1"/>
  <c r="E785" i="1"/>
  <c r="F785" i="1"/>
  <c r="Q785" i="1"/>
  <c r="E786" i="1"/>
  <c r="F786" i="1"/>
  <c r="Q786" i="1"/>
  <c r="E787" i="1"/>
  <c r="F787" i="1"/>
  <c r="Q787" i="1"/>
  <c r="E788" i="1"/>
  <c r="F788" i="1"/>
  <c r="Q788" i="1"/>
  <c r="E789" i="1"/>
  <c r="F789" i="1"/>
  <c r="Q789" i="1"/>
  <c r="E790" i="1"/>
  <c r="F790" i="1"/>
  <c r="Q790" i="1"/>
  <c r="E791" i="1"/>
  <c r="F791" i="1"/>
  <c r="Q791" i="1"/>
  <c r="E792" i="1"/>
  <c r="F792" i="1"/>
  <c r="Q792" i="1"/>
  <c r="E793" i="1"/>
  <c r="F793" i="1"/>
  <c r="Q793" i="1"/>
  <c r="E794" i="1"/>
  <c r="F794" i="1"/>
  <c r="Q794" i="1"/>
  <c r="E795" i="1"/>
  <c r="F795" i="1"/>
  <c r="Q795" i="1"/>
  <c r="E796" i="1"/>
  <c r="F796" i="1"/>
  <c r="Q796" i="1"/>
  <c r="E797" i="1"/>
  <c r="F797" i="1"/>
  <c r="Q797" i="1"/>
  <c r="E798" i="1"/>
  <c r="F798" i="1"/>
  <c r="Q798" i="1"/>
  <c r="E799" i="1"/>
  <c r="F799" i="1"/>
  <c r="Q799" i="1"/>
  <c r="E800" i="1"/>
  <c r="F800" i="1"/>
  <c r="Q800" i="1"/>
  <c r="E801" i="1"/>
  <c r="F801" i="1"/>
  <c r="Q801" i="1"/>
  <c r="E802" i="1"/>
  <c r="F802" i="1"/>
  <c r="Q802" i="1"/>
  <c r="E803" i="1"/>
  <c r="F803" i="1"/>
  <c r="Q803" i="1"/>
  <c r="E804" i="1"/>
  <c r="F804" i="1"/>
  <c r="Q804" i="1"/>
  <c r="E805" i="1"/>
  <c r="F805" i="1"/>
  <c r="Q805" i="1"/>
  <c r="E806" i="1"/>
  <c r="F806" i="1"/>
  <c r="Q806" i="1"/>
  <c r="E807" i="1"/>
  <c r="F807" i="1"/>
  <c r="Q809" i="1"/>
  <c r="F810" i="1"/>
  <c r="Q815" i="1"/>
  <c r="F816" i="1"/>
  <c r="Q824" i="1"/>
  <c r="Q827" i="1"/>
  <c r="Q834" i="1"/>
  <c r="E835" i="1"/>
  <c r="J835" i="1" s="1"/>
  <c r="Q836" i="1"/>
  <c r="F837" i="1"/>
  <c r="Q844" i="1"/>
  <c r="E845" i="1"/>
  <c r="E849" i="1"/>
  <c r="F852" i="1"/>
  <c r="Q859" i="1"/>
  <c r="F860" i="1"/>
  <c r="E867" i="1"/>
  <c r="F867" i="1"/>
  <c r="F877" i="1"/>
  <c r="Q883" i="1"/>
  <c r="E884" i="1"/>
  <c r="J884" i="1" s="1"/>
  <c r="E889" i="1"/>
  <c r="Q893" i="1"/>
  <c r="E894" i="1"/>
  <c r="Q894" i="1"/>
  <c r="F895" i="1"/>
  <c r="Q900" i="1"/>
  <c r="E901" i="1"/>
  <c r="J901" i="1" s="1"/>
  <c r="F904" i="1"/>
  <c r="F913" i="1"/>
  <c r="Q923" i="1"/>
  <c r="E924" i="1"/>
  <c r="E928" i="1"/>
  <c r="Q933" i="1"/>
  <c r="Q934" i="1"/>
  <c r="E935" i="1"/>
  <c r="J935" i="1" s="1"/>
  <c r="F937" i="1"/>
  <c r="F945" i="1"/>
  <c r="Q951" i="1"/>
  <c r="F957" i="1"/>
  <c r="Q964" i="1"/>
  <c r="Q968" i="1"/>
  <c r="E969" i="1"/>
  <c r="F971" i="1"/>
  <c r="J212" i="1" l="1"/>
  <c r="J215" i="1"/>
  <c r="J219" i="1"/>
  <c r="J221" i="1"/>
  <c r="J224" i="1"/>
  <c r="J226" i="1"/>
  <c r="J236" i="1"/>
  <c r="J945" i="1"/>
  <c r="J936" i="1"/>
  <c r="J974" i="1"/>
  <c r="J242" i="1"/>
  <c r="J695" i="1"/>
  <c r="J720" i="1"/>
  <c r="J734" i="1"/>
  <c r="J486" i="1"/>
  <c r="J566" i="1"/>
  <c r="J654" i="1"/>
  <c r="J969" i="1"/>
  <c r="J480" i="1"/>
  <c r="J552" i="1"/>
  <c r="J569" i="1"/>
  <c r="J819" i="1"/>
  <c r="J652" i="1"/>
  <c r="J678" i="1"/>
  <c r="J679" i="1"/>
  <c r="J807" i="1"/>
  <c r="J855" i="1"/>
  <c r="J967" i="1"/>
  <c r="J455" i="1"/>
  <c r="J649" i="1"/>
  <c r="J465" i="1"/>
  <c r="J557" i="1"/>
  <c r="J642" i="1"/>
  <c r="J674" i="1"/>
  <c r="J714" i="1"/>
  <c r="J818" i="1"/>
  <c r="J571" i="1"/>
  <c r="J639" i="1"/>
  <c r="J663" i="1"/>
  <c r="J837" i="1"/>
  <c r="J847" i="1"/>
  <c r="J646" i="1"/>
  <c r="J690" i="1"/>
  <c r="J697" i="1"/>
  <c r="J970" i="1"/>
  <c r="J891" i="1"/>
  <c r="J662" i="1"/>
  <c r="J670" i="1"/>
  <c r="J846" i="1"/>
  <c r="J870" i="1"/>
  <c r="J944" i="1"/>
  <c r="J329" i="1"/>
  <c r="J441" i="1"/>
  <c r="J833" i="1"/>
  <c r="J919" i="1"/>
  <c r="J657" i="1"/>
  <c r="J681" i="1"/>
  <c r="J717" i="1"/>
  <c r="J879" i="1"/>
  <c r="J739" i="1"/>
  <c r="J849" i="1"/>
  <c r="J867" i="1"/>
  <c r="J889" i="1"/>
  <c r="J924" i="1"/>
  <c r="J928" i="1"/>
  <c r="J165" i="1"/>
  <c r="J229" i="1"/>
  <c r="J239" i="1"/>
  <c r="J243" i="1"/>
  <c r="J712" i="1"/>
  <c r="J731" i="1"/>
  <c r="J828" i="1"/>
  <c r="J840" i="1"/>
  <c r="J858" i="1"/>
  <c r="J861" i="1"/>
  <c r="J873" i="1"/>
  <c r="J875" i="1"/>
  <c r="J168" i="1"/>
  <c r="J234" i="1"/>
  <c r="J250" i="1"/>
  <c r="J399" i="1"/>
  <c r="J411" i="1"/>
  <c r="J452" i="1"/>
  <c r="J459" i="1"/>
  <c r="J471" i="1"/>
  <c r="J558" i="1"/>
  <c r="J650" i="1"/>
  <c r="J698" i="1"/>
  <c r="J725" i="1"/>
  <c r="J854" i="1"/>
  <c r="J882" i="1"/>
  <c r="J887" i="1"/>
  <c r="J904" i="1"/>
  <c r="J915" i="1"/>
  <c r="J920" i="1"/>
  <c r="J954" i="1"/>
  <c r="J384" i="1"/>
  <c r="J386" i="1"/>
  <c r="J389" i="1"/>
  <c r="J839" i="1"/>
  <c r="J864" i="1"/>
  <c r="J937" i="1"/>
  <c r="J978" i="1"/>
  <c r="J509" i="1"/>
  <c r="J103" i="1"/>
  <c r="J965" i="1"/>
  <c r="J584" i="1"/>
  <c r="J845" i="1"/>
  <c r="J8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9" i="1"/>
  <c r="J56" i="1"/>
  <c r="J57" i="1"/>
  <c r="J58" i="1"/>
  <c r="J77" i="1"/>
  <c r="J78" i="1"/>
  <c r="J79" i="1"/>
  <c r="J80" i="1"/>
  <c r="J230" i="1"/>
  <c r="J235" i="1"/>
  <c r="J240" i="1"/>
  <c r="J241" i="1"/>
  <c r="J245" i="1"/>
  <c r="J246" i="1"/>
  <c r="J247" i="1"/>
  <c r="J472" i="1"/>
  <c r="J478" i="1"/>
  <c r="J479" i="1"/>
  <c r="J483" i="1"/>
  <c r="J553" i="1"/>
  <c r="J570" i="1"/>
  <c r="J651" i="1"/>
  <c r="J653" i="1"/>
  <c r="J655" i="1"/>
  <c r="J671" i="1"/>
  <c r="J680" i="1"/>
  <c r="J696" i="1"/>
  <c r="J699" i="1"/>
  <c r="J700" i="1"/>
  <c r="J701" i="1"/>
  <c r="J706" i="1"/>
  <c r="J710" i="1"/>
  <c r="J721" i="1"/>
  <c r="J726" i="1"/>
  <c r="J735" i="1"/>
  <c r="J736" i="1"/>
  <c r="J823" i="1"/>
  <c r="J824" i="1"/>
  <c r="J829" i="1"/>
  <c r="J830" i="1"/>
  <c r="J831" i="1"/>
  <c r="J838" i="1"/>
  <c r="J841" i="1"/>
  <c r="J859" i="1"/>
  <c r="J862" i="1"/>
  <c r="J874" i="1"/>
  <c r="J883" i="1"/>
  <c r="J888" i="1"/>
  <c r="J905" i="1"/>
  <c r="J916" i="1"/>
  <c r="J921" i="1"/>
  <c r="J931" i="1"/>
  <c r="J947" i="1"/>
  <c r="J950" i="1"/>
  <c r="J951" i="1"/>
  <c r="J952" i="1"/>
  <c r="J953" i="1"/>
  <c r="J981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227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213" i="1"/>
  <c r="J214" i="1"/>
  <c r="J217" i="1"/>
  <c r="J218" i="1"/>
  <c r="J223" i="1"/>
  <c r="J228" i="1"/>
  <c r="J244" i="1"/>
  <c r="J398" i="1"/>
  <c r="J400" i="1"/>
  <c r="J401" i="1"/>
  <c r="J402" i="1"/>
  <c r="J404" i="1"/>
  <c r="J405" i="1"/>
  <c r="J408" i="1"/>
  <c r="J439" i="1"/>
  <c r="J443" i="1"/>
  <c r="J444" i="1"/>
  <c r="J445" i="1"/>
  <c r="J448" i="1"/>
  <c r="J451" i="1"/>
  <c r="J461" i="1"/>
  <c r="J462" i="1"/>
  <c r="J463" i="1"/>
  <c r="J468" i="1"/>
  <c r="J469" i="1"/>
  <c r="J470" i="1"/>
  <c r="J474" i="1"/>
  <c r="J477" i="1"/>
  <c r="J482" i="1"/>
  <c r="J485" i="1"/>
  <c r="J488" i="1"/>
  <c r="J489" i="1"/>
  <c r="J490" i="1"/>
  <c r="J491" i="1"/>
  <c r="J556" i="1"/>
  <c r="J560" i="1"/>
  <c r="J561" i="1"/>
  <c r="J563" i="1"/>
  <c r="J568" i="1"/>
  <c r="J658" i="1"/>
  <c r="J659" i="1"/>
  <c r="J661" i="1"/>
  <c r="J668" i="1"/>
  <c r="J673" i="1"/>
  <c r="J676" i="1"/>
  <c r="J683" i="1"/>
  <c r="J686" i="1"/>
  <c r="J694" i="1"/>
  <c r="J704" i="1"/>
  <c r="J707" i="1"/>
  <c r="J708" i="1"/>
  <c r="J709" i="1"/>
  <c r="J713" i="1"/>
  <c r="J718" i="1"/>
  <c r="J722" i="1"/>
  <c r="J724" i="1"/>
  <c r="J730" i="1"/>
  <c r="J732" i="1"/>
  <c r="J733" i="1"/>
  <c r="J811" i="1"/>
  <c r="J812" i="1"/>
  <c r="J842" i="1"/>
  <c r="J851" i="1"/>
  <c r="J852" i="1"/>
  <c r="J857" i="1"/>
  <c r="J885" i="1"/>
  <c r="J898" i="1"/>
  <c r="J923" i="1"/>
  <c r="J940" i="1"/>
  <c r="J941" i="1"/>
  <c r="J942" i="1"/>
  <c r="J946" i="1"/>
  <c r="J949" i="1"/>
  <c r="J957" i="1"/>
  <c r="J959" i="1"/>
  <c r="J960" i="1"/>
  <c r="J961" i="1"/>
  <c r="J963" i="1"/>
  <c r="J975" i="1"/>
  <c r="J980" i="1"/>
  <c r="J166" i="1"/>
  <c r="J167" i="1"/>
  <c r="J249" i="1"/>
  <c r="J321" i="1"/>
  <c r="J324" i="1"/>
  <c r="J327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6" i="1"/>
  <c r="J220" i="1"/>
  <c r="J222" i="1"/>
  <c r="J225" i="1"/>
  <c r="J231" i="1"/>
  <c r="J232" i="1"/>
  <c r="J233" i="1"/>
  <c r="J237" i="1"/>
  <c r="J406" i="1"/>
  <c r="J667" i="1"/>
  <c r="J933" i="1"/>
  <c r="J248" i="1"/>
  <c r="J322" i="1"/>
  <c r="J325" i="1"/>
  <c r="J328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3" i="1"/>
  <c r="J326" i="1"/>
  <c r="J238" i="1"/>
  <c r="J383" i="1"/>
  <c r="J385" i="1"/>
  <c r="J387" i="1"/>
  <c r="J388" i="1"/>
  <c r="J390" i="1"/>
  <c r="J391" i="1"/>
  <c r="J392" i="1"/>
  <c r="J394" i="1"/>
  <c r="J396" i="1"/>
  <c r="J397" i="1"/>
  <c r="J410" i="1"/>
  <c r="J446" i="1"/>
  <c r="J447" i="1"/>
  <c r="J449" i="1"/>
  <c r="J456" i="1"/>
  <c r="J457" i="1"/>
  <c r="J464" i="1"/>
  <c r="J466" i="1"/>
  <c r="J475" i="1"/>
  <c r="J484" i="1"/>
  <c r="J492" i="1"/>
  <c r="J565" i="1"/>
  <c r="J573" i="1"/>
  <c r="J637" i="1"/>
  <c r="J640" i="1"/>
  <c r="J643" i="1"/>
  <c r="J644" i="1"/>
  <c r="J647" i="1"/>
  <c r="J648" i="1"/>
  <c r="J664" i="1"/>
  <c r="J665" i="1"/>
  <c r="J669" i="1"/>
  <c r="J691" i="1"/>
  <c r="J702" i="1"/>
  <c r="J705" i="1"/>
  <c r="J715" i="1"/>
  <c r="J719" i="1"/>
  <c r="J723" i="1"/>
  <c r="J808" i="1"/>
  <c r="J813" i="1"/>
  <c r="J814" i="1"/>
  <c r="J820" i="1"/>
  <c r="J821" i="1"/>
  <c r="J826" i="1"/>
  <c r="J832" i="1"/>
  <c r="J834" i="1"/>
  <c r="J843" i="1"/>
  <c r="J848" i="1"/>
  <c r="J863" i="1"/>
  <c r="J878" i="1"/>
  <c r="J880" i="1"/>
  <c r="J881" i="1"/>
  <c r="J893" i="1"/>
  <c r="J908" i="1"/>
  <c r="J914" i="1"/>
  <c r="J925" i="1"/>
  <c r="J926" i="1"/>
  <c r="J927" i="1"/>
  <c r="J930" i="1"/>
  <c r="J827" i="1"/>
  <c r="J496" i="1"/>
  <c r="J499" i="1"/>
  <c r="J502" i="1"/>
  <c r="J505" i="1"/>
  <c r="J508" i="1"/>
  <c r="J894" i="1"/>
  <c r="J53" i="1"/>
  <c r="J54" i="1"/>
  <c r="J67" i="1"/>
  <c r="J74" i="1"/>
  <c r="J81" i="1"/>
  <c r="J962" i="1"/>
  <c r="J966" i="1"/>
  <c r="J968" i="1"/>
  <c r="J971" i="1"/>
  <c r="J972" i="1"/>
  <c r="J97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5" i="1"/>
  <c r="J376" i="1"/>
  <c r="J377" i="1"/>
  <c r="J378" i="1"/>
  <c r="J380" i="1"/>
  <c r="J381" i="1"/>
  <c r="J382" i="1"/>
  <c r="J500" i="1"/>
  <c r="J503" i="1"/>
  <c r="J506" i="1"/>
  <c r="J50" i="1"/>
  <c r="J51" i="1"/>
  <c r="J52" i="1"/>
  <c r="J59" i="1"/>
  <c r="J71" i="1"/>
  <c r="J72" i="1"/>
  <c r="J850" i="1"/>
  <c r="J876" i="1"/>
  <c r="J895" i="1"/>
  <c r="J900" i="1"/>
  <c r="J903" i="1"/>
  <c r="J910" i="1"/>
  <c r="J913" i="1"/>
  <c r="J918" i="1"/>
  <c r="J934" i="1"/>
  <c r="J956" i="1"/>
  <c r="J977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8" i="1"/>
  <c r="J440" i="1"/>
  <c r="J454" i="1"/>
  <c r="J458" i="1"/>
  <c r="J481" i="1"/>
  <c r="J554" i="1"/>
  <c r="J645" i="1"/>
  <c r="J688" i="1"/>
  <c r="J716" i="1"/>
  <c r="J815" i="1"/>
  <c r="J817" i="1"/>
  <c r="J825" i="1"/>
  <c r="J836" i="1"/>
  <c r="J866" i="1"/>
  <c r="J896" i="1"/>
  <c r="J917" i="1"/>
  <c r="J939" i="1"/>
  <c r="J493" i="1"/>
  <c r="J494" i="1"/>
  <c r="J495" i="1"/>
  <c r="J497" i="1"/>
  <c r="J498" i="1"/>
  <c r="J501" i="1"/>
  <c r="J504" i="1"/>
  <c r="J507" i="1"/>
  <c r="J47" i="1"/>
  <c r="J48" i="1"/>
  <c r="J55" i="1"/>
  <c r="J63" i="1"/>
  <c r="J64" i="1"/>
  <c r="J65" i="1"/>
  <c r="J66" i="1"/>
  <c r="J73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666" i="1"/>
  <c r="J693" i="1"/>
  <c r="J728" i="1"/>
  <c r="J809" i="1"/>
  <c r="J868" i="1"/>
  <c r="J871" i="1"/>
  <c r="J877" i="1"/>
  <c r="J886" i="1"/>
  <c r="J892" i="1"/>
  <c r="J929" i="1"/>
  <c r="J932" i="1"/>
  <c r="J938" i="1"/>
  <c r="J943" i="1"/>
  <c r="J574" i="1"/>
  <c r="J575" i="1"/>
  <c r="J576" i="1"/>
  <c r="J577" i="1"/>
  <c r="J578" i="1"/>
  <c r="J579" i="1"/>
  <c r="J580" i="1"/>
  <c r="J581" i="1"/>
  <c r="J582" i="1"/>
  <c r="J583" i="1"/>
  <c r="J964" i="1"/>
  <c r="J737" i="1"/>
  <c r="J61" i="1"/>
  <c r="J62" i="1"/>
  <c r="J75" i="1"/>
  <c r="J82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41" i="1"/>
  <c r="J656" i="1"/>
  <c r="J660" i="1"/>
  <c r="J684" i="1"/>
  <c r="J689" i="1"/>
  <c r="J822" i="1"/>
  <c r="J844" i="1"/>
  <c r="J869" i="1"/>
  <c r="J738" i="1"/>
  <c r="J60" i="1"/>
  <c r="J68" i="1"/>
  <c r="J69" i="1"/>
  <c r="J76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70" i="1"/>
  <c r="K47" i="1" l="1"/>
  <c r="K48" i="1"/>
  <c r="K55" i="1"/>
  <c r="K63" i="1"/>
  <c r="K64" i="1"/>
  <c r="K65" i="1"/>
  <c r="K66" i="1"/>
  <c r="K73" i="1"/>
  <c r="K510" i="1"/>
  <c r="K511" i="1"/>
  <c r="K924" i="1"/>
  <c r="K849" i="1"/>
  <c r="K845" i="1"/>
  <c r="K807" i="1"/>
  <c r="K83" i="1"/>
  <c r="K835" i="1"/>
  <c r="K897" i="1"/>
  <c r="K890" i="1"/>
  <c r="K879" i="1"/>
  <c r="K865" i="1"/>
  <c r="K816" i="1"/>
  <c r="K727" i="1"/>
  <c r="K717" i="1"/>
  <c r="K697" i="1"/>
  <c r="K690" i="1"/>
  <c r="K687" i="1"/>
  <c r="K681" i="1"/>
  <c r="K679" i="1"/>
  <c r="K678" i="1"/>
  <c r="K657" i="1"/>
  <c r="K652" i="1"/>
  <c r="K646" i="1"/>
  <c r="K928" i="1"/>
  <c r="K739" i="1"/>
  <c r="K936" i="1"/>
  <c r="K584" i="1"/>
  <c r="K965" i="1"/>
  <c r="K955" i="1"/>
  <c r="K945" i="1"/>
  <c r="K902" i="1"/>
  <c r="K899" i="1"/>
  <c r="K856" i="1"/>
  <c r="K847" i="1"/>
  <c r="K837" i="1"/>
  <c r="K819" i="1"/>
  <c r="K682" i="1"/>
  <c r="K663" i="1"/>
  <c r="K639" i="1"/>
  <c r="K571" i="1"/>
  <c r="K569" i="1"/>
  <c r="K555" i="1"/>
  <c r="K552" i="1"/>
  <c r="K969" i="1"/>
  <c r="K978" i="1"/>
  <c r="K976" i="1"/>
  <c r="K937" i="1"/>
  <c r="K922" i="1"/>
  <c r="K919" i="1"/>
  <c r="K864" i="1"/>
  <c r="K839" i="1"/>
  <c r="K833" i="1"/>
  <c r="K480" i="1"/>
  <c r="K476" i="1"/>
  <c r="K436" i="1"/>
  <c r="K935" i="1"/>
  <c r="K867" i="1"/>
  <c r="K509" i="1"/>
  <c r="K818" i="1"/>
  <c r="K692" i="1"/>
  <c r="K674" i="1"/>
  <c r="K654" i="1"/>
  <c r="K642" i="1"/>
  <c r="K566" i="1"/>
  <c r="K564" i="1"/>
  <c r="K557" i="1"/>
  <c r="K486" i="1"/>
  <c r="K467" i="1"/>
  <c r="K465" i="1"/>
  <c r="K441" i="1"/>
  <c r="K409" i="1"/>
  <c r="K407" i="1"/>
  <c r="K403" i="1"/>
  <c r="K395" i="1"/>
  <c r="K393" i="1"/>
  <c r="K389" i="1"/>
  <c r="K386" i="1"/>
  <c r="K384" i="1"/>
  <c r="K901" i="1"/>
  <c r="K889" i="1"/>
  <c r="K884" i="1"/>
  <c r="K734" i="1"/>
  <c r="K729" i="1"/>
  <c r="K720" i="1"/>
  <c r="K714" i="1"/>
  <c r="K954" i="1"/>
  <c r="K948" i="1"/>
  <c r="K920" i="1"/>
  <c r="K915" i="1"/>
  <c r="K906" i="1"/>
  <c r="K904" i="1"/>
  <c r="K887" i="1"/>
  <c r="K882" i="1"/>
  <c r="K872" i="1"/>
  <c r="K854" i="1"/>
  <c r="K853" i="1"/>
  <c r="K810" i="1"/>
  <c r="K725" i="1"/>
  <c r="K711" i="1"/>
  <c r="K703" i="1"/>
  <c r="K698" i="1"/>
  <c r="K675" i="1"/>
  <c r="K650" i="1"/>
  <c r="K572" i="1"/>
  <c r="K562" i="1"/>
  <c r="K558" i="1"/>
  <c r="K471" i="1"/>
  <c r="K459" i="1"/>
  <c r="K453" i="1"/>
  <c r="K452" i="1"/>
  <c r="K450" i="1"/>
  <c r="K411" i="1"/>
  <c r="K399" i="1"/>
  <c r="K243" i="1"/>
  <c r="K379" i="1"/>
  <c r="K329" i="1"/>
  <c r="K374" i="1"/>
  <c r="K250" i="1"/>
  <c r="K974" i="1"/>
  <c r="K973" i="1"/>
  <c r="K967" i="1"/>
  <c r="K944" i="1"/>
  <c r="K909" i="1"/>
  <c r="K907" i="1"/>
  <c r="K870" i="1"/>
  <c r="K860" i="1"/>
  <c r="K855" i="1"/>
  <c r="K846" i="1"/>
  <c r="K695" i="1"/>
  <c r="K685" i="1"/>
  <c r="K677" i="1"/>
  <c r="K670" i="1"/>
  <c r="K662" i="1"/>
  <c r="K649" i="1"/>
  <c r="K455" i="1"/>
  <c r="K442" i="1"/>
  <c r="K437" i="1"/>
  <c r="K234" i="1"/>
  <c r="K236" i="1"/>
  <c r="K168" i="1"/>
  <c r="K912" i="1"/>
  <c r="K891" i="1"/>
  <c r="K875" i="1"/>
  <c r="K873" i="1"/>
  <c r="K861" i="1"/>
  <c r="K858" i="1"/>
  <c r="K840" i="1"/>
  <c r="K828" i="1"/>
  <c r="K731" i="1"/>
  <c r="K712" i="1"/>
  <c r="K239" i="1"/>
  <c r="K229" i="1"/>
  <c r="K226" i="1"/>
  <c r="K224" i="1"/>
  <c r="K221" i="1"/>
  <c r="K219" i="1"/>
  <c r="K215" i="1"/>
  <c r="K212" i="1"/>
  <c r="K165" i="1"/>
  <c r="K242" i="1"/>
  <c r="K103" i="1"/>
  <c r="K970" i="1"/>
  <c r="K958" i="1"/>
  <c r="K911" i="1"/>
  <c r="K638" i="1"/>
  <c r="K567" i="1"/>
  <c r="K487" i="1"/>
  <c r="K473" i="1"/>
  <c r="K460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5" i="1"/>
  <c r="K57" i="1"/>
  <c r="K79" i="1"/>
  <c r="K240" i="1"/>
  <c r="K247" i="1"/>
  <c r="K483" i="1"/>
  <c r="K651" i="1"/>
  <c r="K464" i="1"/>
  <c r="K643" i="1"/>
  <c r="K705" i="1"/>
  <c r="K826" i="1"/>
  <c r="K893" i="1"/>
  <c r="K499" i="1"/>
  <c r="K74" i="1"/>
  <c r="K655" i="1"/>
  <c r="K671" i="1"/>
  <c r="K680" i="1"/>
  <c r="K696" i="1"/>
  <c r="K699" i="1"/>
  <c r="K700" i="1"/>
  <c r="K701" i="1"/>
  <c r="K706" i="1"/>
  <c r="K710" i="1"/>
  <c r="K721" i="1"/>
  <c r="K726" i="1"/>
  <c r="K735" i="1"/>
  <c r="K736" i="1"/>
  <c r="K823" i="1"/>
  <c r="K824" i="1"/>
  <c r="K829" i="1"/>
  <c r="K830" i="1"/>
  <c r="K831" i="1"/>
  <c r="K838" i="1"/>
  <c r="K841" i="1"/>
  <c r="K859" i="1"/>
  <c r="K862" i="1"/>
  <c r="K874" i="1"/>
  <c r="K883" i="1"/>
  <c r="K888" i="1"/>
  <c r="K905" i="1"/>
  <c r="K916" i="1"/>
  <c r="K921" i="1"/>
  <c r="K931" i="1"/>
  <c r="K947" i="1"/>
  <c r="K950" i="1"/>
  <c r="K951" i="1"/>
  <c r="K952" i="1"/>
  <c r="K953" i="1"/>
  <c r="K981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227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405" i="1"/>
  <c r="K439" i="1"/>
  <c r="K444" i="1"/>
  <c r="K448" i="1"/>
  <c r="K960" i="1"/>
  <c r="K975" i="1"/>
  <c r="K167" i="1"/>
  <c r="K324" i="1"/>
  <c r="K208" i="1"/>
  <c r="K211" i="1"/>
  <c r="K225" i="1"/>
  <c r="K406" i="1"/>
  <c r="K322" i="1"/>
  <c r="K251" i="1"/>
  <c r="K256" i="1"/>
  <c r="K259" i="1"/>
  <c r="K410" i="1"/>
  <c r="K492" i="1"/>
  <c r="K648" i="1"/>
  <c r="K723" i="1"/>
  <c r="K843" i="1"/>
  <c r="K925" i="1"/>
  <c r="K508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213" i="1"/>
  <c r="K214" i="1"/>
  <c r="K217" i="1"/>
  <c r="K218" i="1"/>
  <c r="K223" i="1"/>
  <c r="K228" i="1"/>
  <c r="K244" i="1"/>
  <c r="K398" i="1"/>
  <c r="K400" i="1"/>
  <c r="K401" i="1"/>
  <c r="K402" i="1"/>
  <c r="K404" i="1"/>
  <c r="K408" i="1"/>
  <c r="K443" i="1"/>
  <c r="K445" i="1"/>
  <c r="K451" i="1"/>
  <c r="K961" i="1"/>
  <c r="K980" i="1"/>
  <c r="K249" i="1"/>
  <c r="K206" i="1"/>
  <c r="K210" i="1"/>
  <c r="K222" i="1"/>
  <c r="K233" i="1"/>
  <c r="K933" i="1"/>
  <c r="K325" i="1"/>
  <c r="K253" i="1"/>
  <c r="K257" i="1"/>
  <c r="K391" i="1"/>
  <c r="K447" i="1"/>
  <c r="K565" i="1"/>
  <c r="K664" i="1"/>
  <c r="K808" i="1"/>
  <c r="K848" i="1"/>
  <c r="K926" i="1"/>
  <c r="K894" i="1"/>
  <c r="K461" i="1"/>
  <c r="K462" i="1"/>
  <c r="K463" i="1"/>
  <c r="K468" i="1"/>
  <c r="K469" i="1"/>
  <c r="K470" i="1"/>
  <c r="K474" i="1"/>
  <c r="K477" i="1"/>
  <c r="K482" i="1"/>
  <c r="K485" i="1"/>
  <c r="K488" i="1"/>
  <c r="K489" i="1"/>
  <c r="K490" i="1"/>
  <c r="K491" i="1"/>
  <c r="K556" i="1"/>
  <c r="K559" i="1"/>
  <c r="K560" i="1"/>
  <c r="K561" i="1"/>
  <c r="K563" i="1"/>
  <c r="K568" i="1"/>
  <c r="K658" i="1"/>
  <c r="K659" i="1"/>
  <c r="K661" i="1"/>
  <c r="K668" i="1"/>
  <c r="K672" i="1"/>
  <c r="K673" i="1"/>
  <c r="K676" i="1"/>
  <c r="K683" i="1"/>
  <c r="K686" i="1"/>
  <c r="K694" i="1"/>
  <c r="K704" i="1"/>
  <c r="K707" i="1"/>
  <c r="K708" i="1"/>
  <c r="K709" i="1"/>
  <c r="K713" i="1"/>
  <c r="K718" i="1"/>
  <c r="K722" i="1"/>
  <c r="K724" i="1"/>
  <c r="K730" i="1"/>
  <c r="K732" i="1"/>
  <c r="K733" i="1"/>
  <c r="K811" i="1"/>
  <c r="K812" i="1"/>
  <c r="K842" i="1"/>
  <c r="K851" i="1"/>
  <c r="K852" i="1"/>
  <c r="K857" i="1"/>
  <c r="K885" i="1"/>
  <c r="K898" i="1"/>
  <c r="K923" i="1"/>
  <c r="K940" i="1"/>
  <c r="K941" i="1"/>
  <c r="K942" i="1"/>
  <c r="K946" i="1"/>
  <c r="K949" i="1"/>
  <c r="K957" i="1"/>
  <c r="K959" i="1"/>
  <c r="K963" i="1"/>
  <c r="K166" i="1"/>
  <c r="K321" i="1"/>
  <c r="K207" i="1"/>
  <c r="K216" i="1"/>
  <c r="K231" i="1"/>
  <c r="K237" i="1"/>
  <c r="K248" i="1"/>
  <c r="K252" i="1"/>
  <c r="K255" i="1"/>
  <c r="K392" i="1"/>
  <c r="K449" i="1"/>
  <c r="K573" i="1"/>
  <c r="K669" i="1"/>
  <c r="K813" i="1"/>
  <c r="K863" i="1"/>
  <c r="K927" i="1"/>
  <c r="K53" i="1"/>
  <c r="K327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9" i="1"/>
  <c r="K220" i="1"/>
  <c r="K232" i="1"/>
  <c r="K667" i="1"/>
  <c r="K328" i="1"/>
  <c r="K254" i="1"/>
  <c r="K258" i="1"/>
  <c r="K394" i="1"/>
  <c r="K456" i="1"/>
  <c r="K637" i="1"/>
  <c r="K691" i="1"/>
  <c r="K820" i="1"/>
  <c r="K880" i="1"/>
  <c r="K827" i="1"/>
  <c r="K67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3" i="1"/>
  <c r="K326" i="1"/>
  <c r="K238" i="1"/>
  <c r="K383" i="1"/>
  <c r="K385" i="1"/>
  <c r="K387" i="1"/>
  <c r="K388" i="1"/>
  <c r="K390" i="1"/>
  <c r="K396" i="1"/>
  <c r="K466" i="1"/>
  <c r="K644" i="1"/>
  <c r="K715" i="1"/>
  <c r="K832" i="1"/>
  <c r="K908" i="1"/>
  <c r="K502" i="1"/>
  <c r="K507" i="1"/>
  <c r="K962" i="1"/>
  <c r="K966" i="1"/>
  <c r="K968" i="1"/>
  <c r="K971" i="1"/>
  <c r="K972" i="1"/>
  <c r="K97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5" i="1"/>
  <c r="K376" i="1"/>
  <c r="K377" i="1"/>
  <c r="K378" i="1"/>
  <c r="K380" i="1"/>
  <c r="K381" i="1"/>
  <c r="K382" i="1"/>
  <c r="K500" i="1"/>
  <c r="K503" i="1"/>
  <c r="K506" i="1"/>
  <c r="K50" i="1"/>
  <c r="K51" i="1"/>
  <c r="K52" i="1"/>
  <c r="K59" i="1"/>
  <c r="K71" i="1"/>
  <c r="K72" i="1"/>
  <c r="K850" i="1"/>
  <c r="K876" i="1"/>
  <c r="K866" i="1"/>
  <c r="K917" i="1"/>
  <c r="K493" i="1"/>
  <c r="K495" i="1"/>
  <c r="K498" i="1"/>
  <c r="K504" i="1"/>
  <c r="K895" i="1"/>
  <c r="K900" i="1"/>
  <c r="K903" i="1"/>
  <c r="K910" i="1"/>
  <c r="K913" i="1"/>
  <c r="K918" i="1"/>
  <c r="K934" i="1"/>
  <c r="K956" i="1"/>
  <c r="K977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8" i="1"/>
  <c r="K440" i="1"/>
  <c r="K454" i="1"/>
  <c r="K458" i="1"/>
  <c r="K481" i="1"/>
  <c r="K554" i="1"/>
  <c r="K645" i="1"/>
  <c r="K688" i="1"/>
  <c r="K716" i="1"/>
  <c r="K815" i="1"/>
  <c r="K817" i="1"/>
  <c r="K825" i="1"/>
  <c r="K836" i="1"/>
  <c r="K896" i="1"/>
  <c r="K939" i="1"/>
  <c r="K494" i="1"/>
  <c r="K497" i="1"/>
  <c r="K50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666" i="1"/>
  <c r="K693" i="1"/>
  <c r="K728" i="1"/>
  <c r="K809" i="1"/>
  <c r="K868" i="1"/>
  <c r="K871" i="1"/>
  <c r="K877" i="1"/>
  <c r="K886" i="1"/>
  <c r="K892" i="1"/>
  <c r="K929" i="1"/>
  <c r="K932" i="1"/>
  <c r="K938" i="1"/>
  <c r="K943" i="1"/>
  <c r="K574" i="1"/>
  <c r="K575" i="1"/>
  <c r="K576" i="1"/>
  <c r="K577" i="1"/>
  <c r="K578" i="1"/>
  <c r="K579" i="1"/>
  <c r="K580" i="1"/>
  <c r="K581" i="1"/>
  <c r="K582" i="1"/>
  <c r="K583" i="1"/>
  <c r="K964" i="1"/>
  <c r="K737" i="1"/>
  <c r="K61" i="1"/>
  <c r="K62" i="1"/>
  <c r="K738" i="1"/>
  <c r="K68" i="1"/>
  <c r="K76" i="1"/>
  <c r="K797" i="1"/>
  <c r="K800" i="1"/>
  <c r="K803" i="1"/>
  <c r="K806" i="1"/>
  <c r="K43" i="1"/>
  <c r="K49" i="1"/>
  <c r="K77" i="1"/>
  <c r="K230" i="1"/>
  <c r="K245" i="1"/>
  <c r="K472" i="1"/>
  <c r="K553" i="1"/>
  <c r="K397" i="1"/>
  <c r="K475" i="1"/>
  <c r="K647" i="1"/>
  <c r="K719" i="1"/>
  <c r="K834" i="1"/>
  <c r="K914" i="1"/>
  <c r="K505" i="1"/>
  <c r="K75" i="1"/>
  <c r="K82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41" i="1"/>
  <c r="K656" i="1"/>
  <c r="K660" i="1"/>
  <c r="K684" i="1"/>
  <c r="K689" i="1"/>
  <c r="K822" i="1"/>
  <c r="K844" i="1"/>
  <c r="K869" i="1"/>
  <c r="K60" i="1"/>
  <c r="K69" i="1"/>
  <c r="K796" i="1"/>
  <c r="K799" i="1"/>
  <c r="K802" i="1"/>
  <c r="K805" i="1"/>
  <c r="K42" i="1"/>
  <c r="K46" i="1"/>
  <c r="K58" i="1"/>
  <c r="K80" i="1"/>
  <c r="K241" i="1"/>
  <c r="K478" i="1"/>
  <c r="K570" i="1"/>
  <c r="K446" i="1"/>
  <c r="K484" i="1"/>
  <c r="K665" i="1"/>
  <c r="K814" i="1"/>
  <c r="K878" i="1"/>
  <c r="K930" i="1"/>
  <c r="K54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8" i="1"/>
  <c r="K801" i="1"/>
  <c r="K804" i="1"/>
  <c r="K70" i="1"/>
  <c r="K44" i="1"/>
  <c r="K56" i="1"/>
  <c r="K78" i="1"/>
  <c r="K235" i="1"/>
  <c r="K246" i="1"/>
  <c r="K479" i="1"/>
  <c r="K653" i="1"/>
  <c r="K457" i="1"/>
  <c r="K640" i="1"/>
  <c r="K702" i="1"/>
  <c r="K821" i="1"/>
  <c r="K881" i="1"/>
  <c r="K496" i="1"/>
  <c r="K8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5427A8-67C5-40EB-90AA-283C96EBDCE7}" keepAlive="1" name="Zapytanie — Tinder_Data_v3_Clean_Edition" description="Połączenie z zapytaniem „Tinder_Data_v3_Clean_Edition” w skoroszycie." type="5" refreshedVersion="8" background="1" saveData="1">
    <dbPr connection="Provider=Microsoft.Mashup.OleDb.1;Data Source=$Workbook$;Location=Tinder_Data_v3_Clean_Edition;Extended Properties=&quot;&quot;" command="SELECT * FROM [Tinder_Data_v3_Clean_Edition]"/>
  </connection>
</connections>
</file>

<file path=xl/sharedStrings.xml><?xml version="1.0" encoding="utf-8"?>
<sst xmlns="http://schemas.openxmlformats.org/spreadsheetml/2006/main" count="4986" uniqueCount="1340">
  <si>
    <t>_id</t>
  </si>
  <si>
    <t>nrOfOneMessageConversations</t>
  </si>
  <si>
    <t>nrOfGhostingsAfterInitialMessage</t>
  </si>
  <si>
    <t>createDate</t>
  </si>
  <si>
    <t>education</t>
  </si>
  <si>
    <t>00b74e27ad1cbb2ded8e907fcc49eaaf</t>
  </si>
  <si>
    <t>Norway</t>
  </si>
  <si>
    <t>Has high school and/or college education</t>
  </si>
  <si>
    <t>unknown</t>
  </si>
  <si>
    <t>024610702baf540af5637873cd1534e9</t>
  </si>
  <si>
    <t>USA</t>
  </si>
  <si>
    <t>0a5e3dd8489fe67485ddb7d6adb26ebd</t>
  </si>
  <si>
    <t>Has no high school or college education</t>
  </si>
  <si>
    <t>048dd37565ad9cbc24c163ffedffbf58</t>
  </si>
  <si>
    <t>Canada</t>
  </si>
  <si>
    <t>0eb998fdde77f9c123c07eace18a5cc1</t>
  </si>
  <si>
    <t>Research Assistant</t>
  </si>
  <si>
    <t>10a8c197447a3991d64136b315d6e87e</t>
  </si>
  <si>
    <t>Mexico</t>
  </si>
  <si>
    <t>False</t>
  </si>
  <si>
    <t>1a6bc90a124bed79741b441929c4d365</t>
  </si>
  <si>
    <t>1c2f3d5f9d2ca312136fdf6e018a177d</t>
  </si>
  <si>
    <t>1e74b4cb4b126a8f34b2d9b1fda0a92f</t>
  </si>
  <si>
    <t>2057ea510896a025db5790675c90b7d6</t>
  </si>
  <si>
    <t>1f4873925d958cab973bc21385bc956e</t>
  </si>
  <si>
    <t>Belgium</t>
  </si>
  <si>
    <t>2fa5e046d9413c4b0060b3c4db72365b</t>
  </si>
  <si>
    <t>Australia</t>
  </si>
  <si>
    <t>23dbb328ffd9e2fed0e012b922b7f6b2</t>
  </si>
  <si>
    <t>2930549c4925f1271dea905177e00449</t>
  </si>
  <si>
    <t>270ce10926b5753f21f23d1233717384</t>
  </si>
  <si>
    <t>24b34e806295a8d845787297c1701a83</t>
  </si>
  <si>
    <t>44ad386e4d315e8efc7dd2e6ddb0df15</t>
  </si>
  <si>
    <t>Physician</t>
  </si>
  <si>
    <t>380391c66f76c2f858d393314171b154</t>
  </si>
  <si>
    <t>41710353e1db856531fde70c26660a19</t>
  </si>
  <si>
    <t>4245f5c0db08dd6d55acf3f7ca17b736</t>
  </si>
  <si>
    <t>454113adff582118a15241c378c26b08</t>
  </si>
  <si>
    <t>532f0eaeccfd3cfc16c3f19c01986d37</t>
  </si>
  <si>
    <t>4f26f7cc49a287a6c05379c899640e66</t>
  </si>
  <si>
    <t>Scientist</t>
  </si>
  <si>
    <t>4ad5952d20a1b415d90767f63faa8d35</t>
  </si>
  <si>
    <t>51fc9e218bb9785ef8a6814e282cf8d8</t>
  </si>
  <si>
    <t>53f6bdb7eeb0c0eedf8dbf5c271ff887</t>
  </si>
  <si>
    <t>5862323c0e2699aad17a79418a0709a6</t>
  </si>
  <si>
    <t>France</t>
  </si>
  <si>
    <t>Product designer</t>
  </si>
  <si>
    <t>59ac56fc75373a1228759057df2aa401</t>
  </si>
  <si>
    <t>5861915cf3690b6a5c8e6ebebbc134de</t>
  </si>
  <si>
    <t>5c7af04e285da1475c2348cec80b49ea</t>
  </si>
  <si>
    <t>5abd4f7ec9779bbd8a961a4aab26b4b1</t>
  </si>
  <si>
    <t>53fbeac29abbe82a1b778ab236e9ecb7</t>
  </si>
  <si>
    <t>Sr. Director</t>
  </si>
  <si>
    <t>5e74c3d604ed70dd473c784d040fdbdc</t>
  </si>
  <si>
    <t>Architecte IT</t>
  </si>
  <si>
    <t>607f0ad12c1efcaddc6de05081c2376e</t>
  </si>
  <si>
    <t>62292fba3e9dd9af3827c98c3500912b</t>
  </si>
  <si>
    <t>62325f1c561e603ccebfdcb432dda0e8</t>
  </si>
  <si>
    <t>Software Developer</t>
  </si>
  <si>
    <t>64762212f3f8897c359f19cb3012860d</t>
  </si>
  <si>
    <t>72bbe06cfd45e7607593a2b21038eccc</t>
  </si>
  <si>
    <t>United Kingdom</t>
  </si>
  <si>
    <t>63f8a7720b76ead4114b8c9fdfe2648a</t>
  </si>
  <si>
    <t>75fc16a59b2f777aa2c616dc3d58188e</t>
  </si>
  <si>
    <t>7921cd7e02c0ca9c32615ec7b25d9cac</t>
  </si>
  <si>
    <t>Finland</t>
  </si>
  <si>
    <t>Web Developer</t>
  </si>
  <si>
    <t>7326d844ed769b1d987634d2a3ca18b9</t>
  </si>
  <si>
    <t>86f950ce43d7e88e291b5a0e0ecffca3</t>
  </si>
  <si>
    <t>Brazil</t>
  </si>
  <si>
    <t>85c75c0bba5d0afbc4919e0797017e92</t>
  </si>
  <si>
    <t>837357a86c027d481d25d201945de076</t>
  </si>
  <si>
    <t>7e29bf29d8ef02ecd97bdc5cf250b2a5</t>
  </si>
  <si>
    <t>Barista</t>
  </si>
  <si>
    <t>8077faeaa4104af4f88db4c660e90371</t>
  </si>
  <si>
    <t>Germany</t>
  </si>
  <si>
    <t>9c16cf2b40aaf1a2b0b535d80f041eb6</t>
  </si>
  <si>
    <t>Student</t>
  </si>
  <si>
    <t>879d7037342891ec4380dcfd065f73c0</t>
  </si>
  <si>
    <t>Analyst</t>
  </si>
  <si>
    <t>87e6d3f89512c27673db4fff99f8a7d8</t>
  </si>
  <si>
    <t>Medical Care Technician</t>
  </si>
  <si>
    <t>872f5e29fe4d3d43de952222babb8a7d</t>
  </si>
  <si>
    <t>98dbfdbe60e16880422a8a0a9328580b</t>
  </si>
  <si>
    <t>a89268f6a1fae754a687a2105a9427a5</t>
  </si>
  <si>
    <t>Ireland</t>
  </si>
  <si>
    <t>a6da6da01b344f257a360643de319f3b</t>
  </si>
  <si>
    <t>a4af1796e32b82dca8227c1f92fddcd0</t>
  </si>
  <si>
    <t>Denmark</t>
  </si>
  <si>
    <t>a996c47c51c05d5822a75686bbc9f996</t>
  </si>
  <si>
    <t>Chemist</t>
  </si>
  <si>
    <t>b98535635fe77db6324d881ac92190e5</t>
  </si>
  <si>
    <t>CEO</t>
  </si>
  <si>
    <t>af571eb968ef03a34130778b447b77f9</t>
  </si>
  <si>
    <t>9c68e3638e8bb205ab8fccfe54d484e7</t>
  </si>
  <si>
    <t>b4be096eaaf8ca70dc4d22e31f6b7e44</t>
  </si>
  <si>
    <t>Software engineer</t>
  </si>
  <si>
    <t>a714289aca7ba7497a6560a2fea72ae3</t>
  </si>
  <si>
    <t>Technology Analyst</t>
  </si>
  <si>
    <t>aecfacc0295ca6880981402f4e286926</t>
  </si>
  <si>
    <t>Brow Waxing Expert</t>
  </si>
  <si>
    <t>cccce00c77b648c501d899b99ad119c0</t>
  </si>
  <si>
    <t>ceac22053c90d851cafce5be116570ba</t>
  </si>
  <si>
    <t>c99b7682b609d391f16b2f70b5457949</t>
  </si>
  <si>
    <t>cbaa90b40a57cb9a6740bd5bcaebcf2d</t>
  </si>
  <si>
    <t>cd630e28bf494750991619a5f00cb900</t>
  </si>
  <si>
    <t>c97effa10b4dca25b7ca4f4ad9388706</t>
  </si>
  <si>
    <t>be87c1716696efa264b76418054bb358</t>
  </si>
  <si>
    <t>Software Engineer</t>
  </si>
  <si>
    <t>cef50ce50692bb1260ae383c8e2a029c</t>
  </si>
  <si>
    <t>d5364695c40e3057a0cd377cbf21d915</t>
  </si>
  <si>
    <t>d0eb70f6adc9b3a957573b2cd0834604</t>
  </si>
  <si>
    <t>f1e05ea3835fd931449971bda301713d</t>
  </si>
  <si>
    <t>ec8e335c7f9c46f2719b4e95276b9213</t>
  </si>
  <si>
    <t>dcbbdea918ea83820eef63a0f07bbfb2</t>
  </si>
  <si>
    <t>df8f8689fb3a2ad08173b79f6c0d1fc6</t>
  </si>
  <si>
    <t>df9f212778953af42299232ab4e32cba</t>
  </si>
  <si>
    <t>f1c77c17da0b2d947fae38d917c0d535</t>
  </si>
  <si>
    <t>e7b22665d75a03a0364a5a60281dcb3a</t>
  </si>
  <si>
    <t>f53192d066ece7af652a69a17532f061</t>
  </si>
  <si>
    <t>eeb17b87605691c1748fa6e1217860d0</t>
  </si>
  <si>
    <t>e33a8d4fe34f9a7769b2b7db9d655655</t>
  </si>
  <si>
    <t>Switzerland</t>
  </si>
  <si>
    <t>d81b5d32c63759d8a91b6ca430e45748</t>
  </si>
  <si>
    <t>e5cf4adde29062b8b85ca31726d5c73f</t>
  </si>
  <si>
    <t>South Korea</t>
  </si>
  <si>
    <t>ebaa9ab3c1b0c36c54ed8b3079213a62</t>
  </si>
  <si>
    <t>Property Manager</t>
  </si>
  <si>
    <t>436c6643196d7c2f1563d3662ac10ab7</t>
  </si>
  <si>
    <t>Content marketing consultant</t>
  </si>
  <si>
    <t>0f9753e59e69c0965c2418d56d047676</t>
  </si>
  <si>
    <t>2a589b48b66eed314ea98672852d33de</t>
  </si>
  <si>
    <t>New Zealand</t>
  </si>
  <si>
    <t>2db8f3512addaf8fa83df76ad09d931e</t>
  </si>
  <si>
    <t>Software developer</t>
  </si>
  <si>
    <t>1ac53ffae85b2a82cc85cc5fbe07e0dc</t>
  </si>
  <si>
    <t>48577c92e4c59d8603d6cdc4fe04f221</t>
  </si>
  <si>
    <t>405e109c8904421b0c98955f31a04d46</t>
  </si>
  <si>
    <t>991c1db658fff09f3505a1399e07185a</t>
  </si>
  <si>
    <t>1429e542fc9135be6f100bac9766c698</t>
  </si>
  <si>
    <t>Hungary</t>
  </si>
  <si>
    <t>66d6359183404315a1e90fdc4fa51fb2</t>
  </si>
  <si>
    <t>af76185e511a45328a4cd6a7c5360fff</t>
  </si>
  <si>
    <t>b0c4f6e51b7633b7c5eb182f67d6602f</t>
  </si>
  <si>
    <t>a985514a25cfa2eb21b1f1f6e1fbe36a</t>
  </si>
  <si>
    <t>Writer</t>
  </si>
  <si>
    <t>f1d02c9b075e10f6e52ea435ae508bfe</t>
  </si>
  <si>
    <t>China</t>
  </si>
  <si>
    <t>00b113ee72d90509f1ae8589044076ee</t>
  </si>
  <si>
    <t>Czechia</t>
  </si>
  <si>
    <t>70713028344f515a384235d571dfff88</t>
  </si>
  <si>
    <t>ffc7f549d9a2899b7e70e3df5ff6e60a</t>
  </si>
  <si>
    <t>6d172ab71f6eeef43aa3ab44c4d62370</t>
  </si>
  <si>
    <t>7ae835c11c4907e9c87c7ba9b70dc4a4</t>
  </si>
  <si>
    <t>4bfe95db9208e17a08be783053653ad4</t>
  </si>
  <si>
    <t>9bf041dbcb43abf3013bd82e4f797bfa</t>
  </si>
  <si>
    <t>72983c8b1a776df2254aae4009f163c3</t>
  </si>
  <si>
    <t>9a2aa467dfd9d2ac51b1e79d231b0c00</t>
  </si>
  <si>
    <t>771ff787187ee8e81613638378bc7952</t>
  </si>
  <si>
    <t>4d4e9216bb1f09b20f2867e7e3572f96</t>
  </si>
  <si>
    <t>2e1194e9fa3359384540d4a5641330a8</t>
  </si>
  <si>
    <t>b4e6d6a79b772f28ef4ee5a18da94a47</t>
  </si>
  <si>
    <t>5b0b399591447ee8ce275a65110f24ee</t>
  </si>
  <si>
    <t>e0b9cc0d6082d718b101d3f91a837b99</t>
  </si>
  <si>
    <t>Partner</t>
  </si>
  <si>
    <t>d22fd43e901d0df2863a37aa30124efe</t>
  </si>
  <si>
    <t>3b56a7c20ee07e6c472f3b021e76e244</t>
  </si>
  <si>
    <t>India</t>
  </si>
  <si>
    <t>6bb73fcf408f271bb69e38c782a0c6e4</t>
  </si>
  <si>
    <t>484858c0a7f95ea29e16dfd0e0a9970b</t>
  </si>
  <si>
    <t>Manager</t>
  </si>
  <si>
    <t>1746540fcc00b58425678fe830e520c5</t>
  </si>
  <si>
    <t>d22411b401188b0b0c2c45ba92b8972e</t>
  </si>
  <si>
    <t>Engineer</t>
  </si>
  <si>
    <t>a2d13075a665c9a0db9b27f7e7d43a76</t>
  </si>
  <si>
    <t>56211e6992c95697c1ddd176ab661210</t>
  </si>
  <si>
    <t>Engineer, Axe throwing instructor</t>
  </si>
  <si>
    <t>af5dd97ab595c93ae459a25cd4759937</t>
  </si>
  <si>
    <t>7c135f11a272156b4c3bc01427388f3d</t>
  </si>
  <si>
    <t>Sales</t>
  </si>
  <si>
    <t>46dbcb66a80522ee0c4d431f11dac515</t>
  </si>
  <si>
    <t>12ab4e0508ee7981c9aa93f2ccd1a7a3</t>
  </si>
  <si>
    <t>Admin</t>
  </si>
  <si>
    <t>2abeb30d2ba0dd54fa0a109f621201cf</t>
  </si>
  <si>
    <t>Industrial Engineering Student</t>
  </si>
  <si>
    <t>7e5a3ee9839ea9b255143046bb62bf1d</t>
  </si>
  <si>
    <t>632c58b5b9133f5dca41072a72580fef</t>
  </si>
  <si>
    <t>Plant Mechanic</t>
  </si>
  <si>
    <t>f2551aaaac36e33cb527df4604fa7c15</t>
  </si>
  <si>
    <t>f30885481cdab503cbc9a2780d22e948</t>
  </si>
  <si>
    <t>8f8a4664e2aa864c7caac3985d0c3e17</t>
  </si>
  <si>
    <t>be8c35f06750bb3ad85a42c2ac78758f</t>
  </si>
  <si>
    <t>dc206431d3a1d784cfa507d81982528a</t>
  </si>
  <si>
    <t>Grad Student</t>
  </si>
  <si>
    <t>6c52e08c0a920a57a084c86d87a9066f</t>
  </si>
  <si>
    <t>App Developer</t>
  </si>
  <si>
    <t>680fa4029c2d090d3c2ee945496aca7d</t>
  </si>
  <si>
    <t>Italy</t>
  </si>
  <si>
    <t>6a037b8730204108b204932c37ba4705</t>
  </si>
  <si>
    <t>98b0962513c34cc7308f705eb851ba40</t>
  </si>
  <si>
    <t>cacc95e7277874599779837c8eaeff48</t>
  </si>
  <si>
    <t>291b532350d1c1cd6e4eae6b5cecadd3</t>
  </si>
  <si>
    <t>28c8dd98fab5ec78b1ac02f311d9b06e</t>
  </si>
  <si>
    <t>1343910ac11737e06691b18484b28aea</t>
  </si>
  <si>
    <t>37601885df3e3da58489ed9b7d4dd467</t>
  </si>
  <si>
    <t>d07ae9d2d4d1a6682519830b29a5af80</t>
  </si>
  <si>
    <t>concept artist</t>
  </si>
  <si>
    <t>8eb3b732db9c00778a6047a8dd05313e</t>
  </si>
  <si>
    <t>a022123af129155207465c3f2c3bd969</t>
  </si>
  <si>
    <t>Paralegal</t>
  </si>
  <si>
    <t>8464cd2dd814568e9b3adbacdb9fa074</t>
  </si>
  <si>
    <t>a3a981dec9cc4d7cddc01bc669399822</t>
  </si>
  <si>
    <t>619ffdfc9cc247fb06eef67753cde562</t>
  </si>
  <si>
    <t>fa0e9ba41a56b1e88910ba1bc1a04404</t>
  </si>
  <si>
    <t>4a34edb0b86d4e4483d818b46a859251</t>
  </si>
  <si>
    <t>8712fe870842b7df96266ec2cc7e2aa2</t>
  </si>
  <si>
    <t>79a2ab1efcc0b1b5fe6d842d842de7e4</t>
  </si>
  <si>
    <t>f491a7ac1c8e3a7f8186f9103b527b69</t>
  </si>
  <si>
    <t>Therapist</t>
  </si>
  <si>
    <t>eae42dcae73c4baaf4060300287bb659</t>
  </si>
  <si>
    <t>f324e4f6c69a75417f49f4e94c92d9bb</t>
  </si>
  <si>
    <t>Teacher</t>
  </si>
  <si>
    <t>60e115fdc06f079ab8d666f177130b6c</t>
  </si>
  <si>
    <t>Guatemala</t>
  </si>
  <si>
    <t>4445fd218f39e2cf4d195ba2c314ef05</t>
  </si>
  <si>
    <t>2162e598a02dd9bc38b546d67a9cb2cd</t>
  </si>
  <si>
    <t>15e3cfd8413095cfc9f8cafdb2b54891</t>
  </si>
  <si>
    <t>60179281504b1acf4153d129406b6b09</t>
  </si>
  <si>
    <t>9333e4169e96253b531df01077a56830</t>
  </si>
  <si>
    <t>e1df56bf40d5703bd7e6d40aee334ed5</t>
  </si>
  <si>
    <t>1707d68439108206ed62a80d7288d897</t>
  </si>
  <si>
    <t>563d21dae500d1420efb2ff75bbc20f7</t>
  </si>
  <si>
    <t>Marketing</t>
  </si>
  <si>
    <t>b6119919b7c8b8c66dd1670c7cfce6aa</t>
  </si>
  <si>
    <t>cd1869f24bd6023e427c58757cc1df31</t>
  </si>
  <si>
    <t>5e58115781c0a822be3f185f73294004</t>
  </si>
  <si>
    <t>c961defc543fa9ee172fd66d49658a81</t>
  </si>
  <si>
    <t>f9bab999efee72cbd1ec283eba91e380</t>
  </si>
  <si>
    <t>Netherlands</t>
  </si>
  <si>
    <t>c23f98daaea45303ed4e69401bd88d4f</t>
  </si>
  <si>
    <t>6cae6910cc00f0f18a8123f74fc4d14f</t>
  </si>
  <si>
    <t>Civil Engineer</t>
  </si>
  <si>
    <t>536368ab4f43a607953cb91a9789d95f</t>
  </si>
  <si>
    <t>53b040b1cfa1cf3e5824f8840d060363</t>
  </si>
  <si>
    <t>Truss Designer</t>
  </si>
  <si>
    <t>25ed1d1feb4e4813298e154499f822c5</t>
  </si>
  <si>
    <t>c2ec58cbdf9dd1d951500acae27ef319</t>
  </si>
  <si>
    <t>9e309412782ede205a091ae4d0e741de</t>
  </si>
  <si>
    <t>c14b20e3359eb533b170e46710cfd5bd</t>
  </si>
  <si>
    <t>5bb2027e35326f5ff77734c43cef8ebe</t>
  </si>
  <si>
    <t>7fe6fd221a98fc8015857bf5cb10a86c</t>
  </si>
  <si>
    <t>Software Engineer Intern</t>
  </si>
  <si>
    <t>8da313c5d942ff7ca9a5c8762e6fccc7</t>
  </si>
  <si>
    <t>e1cf4fa9848a05a641f34cf1c47bc1f4</t>
  </si>
  <si>
    <t>Fusion Engineer</t>
  </si>
  <si>
    <t>884cdc349fa1beed40cc2fe911944990</t>
  </si>
  <si>
    <t>System Developer</t>
  </si>
  <si>
    <t>8b2cc3b1641bc7e1845e551b71b248d3</t>
  </si>
  <si>
    <t>35670dfa1d89253d11481f45a8594db5</t>
  </si>
  <si>
    <t>15bad1926e902149ca19fe4dbe184eee</t>
  </si>
  <si>
    <t>5449290fde2906e39d4eb782f7b6e766</t>
  </si>
  <si>
    <t>36da7fa21516e9a39a486b4f8d2d52e6</t>
  </si>
  <si>
    <t>Poland</t>
  </si>
  <si>
    <t>Mechanical Engineer</t>
  </si>
  <si>
    <t>cc522f935e499cd6a045f9aa8272ccbf</t>
  </si>
  <si>
    <t>28a31be76458e4d5793b9f1702771da8</t>
  </si>
  <si>
    <t>2339072b403384b85c08d2ddb0a9c6a9</t>
  </si>
  <si>
    <t>c6ea475a569f4fdb2fdc6bbee3608279</t>
  </si>
  <si>
    <t>25a1f4b6df1c88a21f36b8a1b4eb3ee8</t>
  </si>
  <si>
    <t>4346578362f180855921ae43a5b6e926</t>
  </si>
  <si>
    <t>Lithuania</t>
  </si>
  <si>
    <t>Graphiste Motion Designer</t>
  </si>
  <si>
    <t>90f14cc2a84923e4cefec06b5e98929b</t>
  </si>
  <si>
    <t>eaa848e0e1ea752af84be7eff2ff5430</t>
  </si>
  <si>
    <t>517760c7c268cd48d9a7de5029d09fbb</t>
  </si>
  <si>
    <t>507be9dcb7b5d3971a41354fdb0a7c7f</t>
  </si>
  <si>
    <t>ae6d85df4701244f3840200b2bfba2db</t>
  </si>
  <si>
    <t>4afedf50a0e49727cc88dd23362c0074</t>
  </si>
  <si>
    <t>3c8f1f660ebbbb59f6b1abf964b4a941</t>
  </si>
  <si>
    <t>c066928f27c0915b27d57a76c33b1fcf</t>
  </si>
  <si>
    <t>5f15003301cf2623858e446206561632</t>
  </si>
  <si>
    <t>0eca8093c25f83a8c999a592c14add05</t>
  </si>
  <si>
    <t>78f1520bc74353646e7feafee8dbe172</t>
  </si>
  <si>
    <t>30af2af5abee3b81f1eaea7134978c0c</t>
  </si>
  <si>
    <t>Marketing &amp; Business Development Manager</t>
  </si>
  <si>
    <t>3f8166a48951dbb51398d398e1e828ba</t>
  </si>
  <si>
    <t>Russia</t>
  </si>
  <si>
    <t>2290b5d03e51cf49175a829705e7887e</t>
  </si>
  <si>
    <t>Editor</t>
  </si>
  <si>
    <t>a489dd96c6b35daf2e867d0c45627c01</t>
  </si>
  <si>
    <t>9d11cf01acb53092f86c5274c33d0597</t>
  </si>
  <si>
    <t>Consultant</t>
  </si>
  <si>
    <t>45d44657a09d7b90d383e914111cdbae</t>
  </si>
  <si>
    <t>Austria</t>
  </si>
  <si>
    <t>4a9af956215ed95ca0e3a1ea0a088d86</t>
  </si>
  <si>
    <t>4167343e1d190ff1a97fa81d211f4841</t>
  </si>
  <si>
    <t>8b897731288b304b8b819eee33eaad79</t>
  </si>
  <si>
    <t>f594228269d51cc0fa1819b473ede164</t>
  </si>
  <si>
    <t>Energy Trader</t>
  </si>
  <si>
    <t>0f0b1b4709811a1653dc050ed8192984</t>
  </si>
  <si>
    <t>b4a4c855745a8d69c27253d93c78a330</t>
  </si>
  <si>
    <t>Server</t>
  </si>
  <si>
    <t>1b7862146def0e74ef81416833b27abf</t>
  </si>
  <si>
    <t>Pfizer Vaccine Distributor</t>
  </si>
  <si>
    <t>940774cfdb824c4a07253a72adeda51c</t>
  </si>
  <si>
    <t>0b3b3b8ff62da70443889b8f02c43bbe</t>
  </si>
  <si>
    <t>55db97bdacde0421d7fba684872c93a5</t>
  </si>
  <si>
    <t>Med Student</t>
  </si>
  <si>
    <t>afe1ef897ae224083e53f690433cc829</t>
  </si>
  <si>
    <t>d65ad983521008382fbd607f3a850f03</t>
  </si>
  <si>
    <t>2baa63ddfcbc269a7898c38f7e62d4ac</t>
  </si>
  <si>
    <t>Sweden</t>
  </si>
  <si>
    <t>2e66410a8038d8f049e16b764d09f59f</t>
  </si>
  <si>
    <t>82f87ac7eeb030c8bbe7c93d1c9b6565</t>
  </si>
  <si>
    <t>f868fe9067f22447a103c70714e4944d</t>
  </si>
  <si>
    <t>Croatia</t>
  </si>
  <si>
    <t>b3085edaac8421720a42d59e73a2f9ff</t>
  </si>
  <si>
    <t>de8c94675810b35fdc99238c5a3c1f84</t>
  </si>
  <si>
    <t>60d8c4278ba74a4739eb420d70f76111</t>
  </si>
  <si>
    <t>Environmental Science student</t>
  </si>
  <si>
    <t>c06f7aed0e4639ad40d74bf1d68d9cba</t>
  </si>
  <si>
    <t>5bd5a2fc01025566b609ca1ccf18eb67</t>
  </si>
  <si>
    <t>e80e8998f70695fd4c2dbfb97ac59522</t>
  </si>
  <si>
    <t>4e667f71ca262d99303748e8849a6774</t>
  </si>
  <si>
    <t>a67bb6b827ab3679b64d22cc3b2e0d9d</t>
  </si>
  <si>
    <t>e13dbba4dffc67a79485b5d339a32bc6</t>
  </si>
  <si>
    <t>185c440c8ee6e6838e2ae7e77622cebc</t>
  </si>
  <si>
    <t>78d303f4c054f427ee81da797474f894</t>
  </si>
  <si>
    <t>a0e13e02c7535a211cb60aa0b3fa8c6a</t>
  </si>
  <si>
    <t>World Class Nap Taker</t>
  </si>
  <si>
    <t>160dae1bf017f6109584bc5d11595428</t>
  </si>
  <si>
    <t>Entrepreneur</t>
  </si>
  <si>
    <t>25374d2986c28379050fd6a3a949fd7e</t>
  </si>
  <si>
    <t>Researcher</t>
  </si>
  <si>
    <t>1a92c2bc439b6173c5daba0e36fb0151</t>
  </si>
  <si>
    <t>Intern</t>
  </si>
  <si>
    <t>d757dbc969874c03ad1eff5f27bef006</t>
  </si>
  <si>
    <t>e4f3daf2e7918e120f386be9211f1c05</t>
  </si>
  <si>
    <t>56b15852fd75873cd9074e9284a21bc9</t>
  </si>
  <si>
    <t>ec0e38df7c51a68227d674b22a4e55f6</t>
  </si>
  <si>
    <t>2edb159ccdf73d8ecab52f59ccf89169</t>
  </si>
  <si>
    <t>bcc5160b86842cb0b40264714335348e</t>
  </si>
  <si>
    <t>050e75190335559b0c53337f0dabe429</t>
  </si>
  <si>
    <t>Master International Business</t>
  </si>
  <si>
    <t>a0353bd4ddd456f81de665afebaf060f</t>
  </si>
  <si>
    <t>3beec9cafe5f7f5c169839d3366dcb38</t>
  </si>
  <si>
    <t>10e6c947e1bac22a32dfe5142fe9a243</t>
  </si>
  <si>
    <t>5ea74458158b329e84bd61eca26bd638</t>
  </si>
  <si>
    <t>8562d2d7953439cdd053be1375a0a20c</t>
  </si>
  <si>
    <t>7d6aaf9e24bfa3a0579def2508062faf</t>
  </si>
  <si>
    <t>98c3b63ea8f1fff1e49225727ac2821b</t>
  </si>
  <si>
    <t>16191c83886a826e103eddc952ac0524</t>
  </si>
  <si>
    <t>2f051007e7936f333b5a19bab9f9d5c4</t>
  </si>
  <si>
    <t>83d673999e9f08505461f6c4e88050fe</t>
  </si>
  <si>
    <t>Systemvetare</t>
  </si>
  <si>
    <t>80a602688af90ec80817fb406fbd0a71</t>
  </si>
  <si>
    <t>9fd428e515ede3a5a3bb4dfd00b9f1ba</t>
  </si>
  <si>
    <t>ad4141e0d850a19455400e44de33b523</t>
  </si>
  <si>
    <t>Technical Software Architect</t>
  </si>
  <si>
    <t>e2146b0a63a353caae5010bc349d6054</t>
  </si>
  <si>
    <t>8bc1746aeee49cef184877aa18c344df</t>
  </si>
  <si>
    <t>4dbc8b132172365fba91dfeb04cba415</t>
  </si>
  <si>
    <t>075a6a1290e9b25acab78014de8ca6d7</t>
  </si>
  <si>
    <t>bbde064a643a1d3eaf42658ed22b3069</t>
  </si>
  <si>
    <t>fb28c968ca166e72d1519d1b2549c277</t>
  </si>
  <si>
    <t>3096f060eb13462bad9a6a8a5c95ce9a</t>
  </si>
  <si>
    <t>102c3f7e715e2e638e4cd9161c9e2dae</t>
  </si>
  <si>
    <t>3fe4938e43c8373cf8415d3f6994b13d</t>
  </si>
  <si>
    <t>553652e94a222267bab6feb8413f9e91</t>
  </si>
  <si>
    <t>f88e0b5491ab90397551ef262db73f57</t>
  </si>
  <si>
    <t>6e4e15e49bacb7c95af50673553f171c</t>
  </si>
  <si>
    <t>bfa41638f5de552bbe8a8d96b77eef1b</t>
  </si>
  <si>
    <t>ae2b1e804da9c20f6c50b18140a41f18</t>
  </si>
  <si>
    <t>638329c39e06a8212422ee925ea9244e</t>
  </si>
  <si>
    <t>c79296907b699ef5c9eb82130c5ee63a</t>
  </si>
  <si>
    <t>Senior Software Engineer</t>
  </si>
  <si>
    <t>fa80d186a0ff64f0c1abde2d06ab7552</t>
  </si>
  <si>
    <t>917a39fac991c4aada567defc42af19c</t>
  </si>
  <si>
    <t>Graduate Student</t>
  </si>
  <si>
    <t>dc68bc00c6996cb62da30ec6004ff075</t>
  </si>
  <si>
    <t>Accountant</t>
  </si>
  <si>
    <t>a1b919ce7acc3c843d6d099068a257f3</t>
  </si>
  <si>
    <t>a2c98794e71487b91a2753bf09a1c59c</t>
  </si>
  <si>
    <t>0a32c88fd0a642b6227a47b268d8130b</t>
  </si>
  <si>
    <t>c97abc9fea343c8e09e19fcc4c8a1904</t>
  </si>
  <si>
    <t>4bad274544c5e4f8f27b7aff1ecaeee5</t>
  </si>
  <si>
    <t>c74b8526ac5d3a56e3d88b8d5fd8654a</t>
  </si>
  <si>
    <t>b315dcb19ee3ed6993eba2ea25fad7cc</t>
  </si>
  <si>
    <t>235bb8091ec6ef795e02df74bcc616d9</t>
  </si>
  <si>
    <t>d5209e9250b00db316e043f61b2d85a4</t>
  </si>
  <si>
    <t>Android Developer</t>
  </si>
  <si>
    <t>3c311f41d91cc091a225a1d448f74ee9</t>
  </si>
  <si>
    <t>4d7fd840744000363cb6dc8d12721279</t>
  </si>
  <si>
    <t>7fc00d576ce2284d0645bd9a05923b04</t>
  </si>
  <si>
    <t>ac205dec86749cb0bc1820759778e8b7</t>
  </si>
  <si>
    <t>2bcdaf372d5d58aae7344dba7cb4fcb5</t>
  </si>
  <si>
    <t>79c23942848aa68a34f5e361da66ade5</t>
  </si>
  <si>
    <t>19a0fb3d0ee7bc5d1d94f18c0adf587f</t>
  </si>
  <si>
    <t>efe2869a59ebe60def74a615335505c0</t>
  </si>
  <si>
    <t>258e1114a845d94aa20cce699002c4c5</t>
  </si>
  <si>
    <t>4dbb4c91b677a4a8cadcb27a3122c93a</t>
  </si>
  <si>
    <t>a124bbdc98df6b93f4c8c59cf9c8e2a0</t>
  </si>
  <si>
    <t>0bc12445a88a90393bbc1e45047b0ee7</t>
  </si>
  <si>
    <t>philosophie, design, theater</t>
  </si>
  <si>
    <t>471e4a61e8e28e3f984e09c0d38790f7</t>
  </si>
  <si>
    <t>Racing Mechanic</t>
  </si>
  <si>
    <t>65a9b8d851c6336db44a6f4e5dc0b4db</t>
  </si>
  <si>
    <t>Video Engineer</t>
  </si>
  <si>
    <t>2dd520a7053f17e18761b70c395dbe53</t>
  </si>
  <si>
    <t>f86336ca09fca645ef567b79d44e99aa</t>
  </si>
  <si>
    <t>499576b9ebd6e28e253e665f21829d19</t>
  </si>
  <si>
    <t>1a80f3abfb235c0e3e9e630763698fd2</t>
  </si>
  <si>
    <t>Ingenieur</t>
  </si>
  <si>
    <t>1e6bee7bb02d7cbbb40e050464202570</t>
  </si>
  <si>
    <t>e247aced7cab40bc3a8c5f09e6be589a</t>
  </si>
  <si>
    <t>4bd6b41e863bcf347479da7b3e54527a</t>
  </si>
  <si>
    <t>5d22d10ac7d2d66e6586b5d46899376e</t>
  </si>
  <si>
    <t>4e9d4f143860a7bc22ea7a1a8d14638b</t>
  </si>
  <si>
    <t>Slovakia</t>
  </si>
  <si>
    <t>1958b06cc28c78a2b7517e342a788bad</t>
  </si>
  <si>
    <t>bd02b0a96c7139e5f609596fadf329ae</t>
  </si>
  <si>
    <t>2760326312b334a80234ec5b6ded7b2f</t>
  </si>
  <si>
    <t>74275841b2f5e3dd4eefd1de11f46486</t>
  </si>
  <si>
    <t>Hardware Developer</t>
  </si>
  <si>
    <t>33da5c1113ce8b5607ad94a391409f76</t>
  </si>
  <si>
    <t>ab6acb18b762737b0bbedf68011885b1</t>
  </si>
  <si>
    <t>2cb087cc0ae1b1f4452818a7067ede75</t>
  </si>
  <si>
    <t>Property Management</t>
  </si>
  <si>
    <t>76c4f851b3eff5a12c405795981c86fd</t>
  </si>
  <si>
    <t>ae463e6a59b87090c9668735aaf785b3</t>
  </si>
  <si>
    <t>software developer</t>
  </si>
  <si>
    <t>e600890ecb46e64bfb0382511b332a6b</t>
  </si>
  <si>
    <t>Cadet</t>
  </si>
  <si>
    <t>38fe9a83d24216eaf8f5c24de68505ff</t>
  </si>
  <si>
    <t>42e7f8dfe8d07e007fe0246d1ee83304</t>
  </si>
  <si>
    <t>c43dc29c30414ac3d2c8d57049aaae6a</t>
  </si>
  <si>
    <t>07458e73c4b554e03bd95cecd4e1aa21</t>
  </si>
  <si>
    <t>7514bff3d8cafee5b55420e6274ae7e4</t>
  </si>
  <si>
    <t>c8dff30e781713f08386e1069a5fa1f1</t>
  </si>
  <si>
    <t>d77aa4efd4a8ecde857ee3dee89f3a23</t>
  </si>
  <si>
    <t>Romania</t>
  </si>
  <si>
    <t>0c6df9bb60b63eb0b5c38264f33d8bab</t>
  </si>
  <si>
    <t>a356ee2959f99a0c4899e0e2928c6183</t>
  </si>
  <si>
    <t>2d09cfd5903ed3cdc3f8803b726ff90b</t>
  </si>
  <si>
    <t>Pharmaceutical Analyst</t>
  </si>
  <si>
    <t>915456f4714bdb4d7e1b141a896cab1d</t>
  </si>
  <si>
    <t>00ff275ea954e6564836e1375c31ce25</t>
  </si>
  <si>
    <t>d1a37c112405d456f8119556194dd30c</t>
  </si>
  <si>
    <t>4e181db19bfe31ca64efc5c6346ca909</t>
  </si>
  <si>
    <t>0803a210f1121f30a8c739878a348808</t>
  </si>
  <si>
    <t>d40e4b59c07b4771cf3a4ccaba56556a</t>
  </si>
  <si>
    <t>9d1f74d5e4e3cee5fb5ce861a074da49</t>
  </si>
  <si>
    <t>b9c40e100cb37b69a548fa01f42822f5</t>
  </si>
  <si>
    <t>Audit Associate</t>
  </si>
  <si>
    <t>53b5a9f465a2f47d859ab9769fafe209</t>
  </si>
  <si>
    <t>fdcf2b93bdafeb0409197b90436de93f</t>
  </si>
  <si>
    <t>Clinical Social Worker</t>
  </si>
  <si>
    <t>f0ef170586e904224550c33f67c2c54f</t>
  </si>
  <si>
    <t>PhD Student</t>
  </si>
  <si>
    <t>caccace70211eebbd30d84575d178b39</t>
  </si>
  <si>
    <t>ce372968a342b2c301ebf81a1b0588ee</t>
  </si>
  <si>
    <t>Materials Engineer</t>
  </si>
  <si>
    <t>c121b78531e2db61d9c11bcc2764da9d</t>
  </si>
  <si>
    <t>Plant Engineer</t>
  </si>
  <si>
    <t>2473c13ef704fc95d1436caad916dfa4</t>
  </si>
  <si>
    <t>Israel</t>
  </si>
  <si>
    <t>In the army</t>
  </si>
  <si>
    <t>c778fa64929372a27628113547b16a44</t>
  </si>
  <si>
    <t>d7ca129d2d6ee9a14f11a8496d78ea00</t>
  </si>
  <si>
    <t>ae91ea66e5bd032df74b558c32484d78</t>
  </si>
  <si>
    <t>IT Engineer</t>
  </si>
  <si>
    <t>7f1f34b58bd31e248f37c68770a33136</t>
  </si>
  <si>
    <t>Software Engineering Manager</t>
  </si>
  <si>
    <t>904ec30bfd151f2dc2d6b0e35b8b629d</t>
  </si>
  <si>
    <t>Photographer</t>
  </si>
  <si>
    <t>77a5101ebe7404af04715cd81422b5d3</t>
  </si>
  <si>
    <t>Professor</t>
  </si>
  <si>
    <t>ae9e965241bd5cf15f91297167525b6c</t>
  </si>
  <si>
    <t>58176e5c0af83a48a99dbac8df9eabcf</t>
  </si>
  <si>
    <t>75611bae5d243a12e2d46e904fcaa483</t>
  </si>
  <si>
    <t>Producer</t>
  </si>
  <si>
    <t>2de0d28b284e6704535f99daa1f35d0a</t>
  </si>
  <si>
    <t>1a797d0c68e3f3800298f08173b9f147</t>
  </si>
  <si>
    <t>ec6ebd712e06ce8df818e6e92f4df1ae</t>
  </si>
  <si>
    <t>3ebb44df0d67de51a8842dced9542eed</t>
  </si>
  <si>
    <t>Statistic Processing Officer</t>
  </si>
  <si>
    <t>45a3d3346765ce9db72d5d0898e4675d</t>
  </si>
  <si>
    <t>c8ded3e1a4c7a3aa3789e7b846a03fda</t>
  </si>
  <si>
    <t>4bae60790120dc8892e04ab168e16874</t>
  </si>
  <si>
    <t>b6ca4b71845786832136b05fc58a6add</t>
  </si>
  <si>
    <t>9bca32cc2ad2e09eb4a5e90655e6549d</t>
  </si>
  <si>
    <t>5e533f4fbc8606dd63f9f6be1ee1868d</t>
  </si>
  <si>
    <t>Peasant Manager</t>
  </si>
  <si>
    <t>89b05942b33bdb2a9c5c4939dcc1313f</t>
  </si>
  <si>
    <t>1940bf7e8af948ff0fa69f40f2dc5697</t>
  </si>
  <si>
    <t>b1e50f194d0031faf570569f5bd3740c</t>
  </si>
  <si>
    <t>824ab63b2559e2f8cc5f2d3163e7fe71</t>
  </si>
  <si>
    <t>Spain</t>
  </si>
  <si>
    <t>5a5e0899682e1b46edc0cc89145a7b3f</t>
  </si>
  <si>
    <t>1f88e513e2b81c827a93ca422453d933</t>
  </si>
  <si>
    <t>30 euros away from collecting bottles</t>
  </si>
  <si>
    <t>9adf272ecb6ac3d4ade9b3970ec84fd1</t>
  </si>
  <si>
    <t>4d9460bae7861e7b07e2e2fe2f121d26</t>
  </si>
  <si>
    <t>a83b9b11e06f8e0b94d4a19e8ae92a89</t>
  </si>
  <si>
    <t>Estonia</t>
  </si>
  <si>
    <t>cecaf0ee033fe611ef0bf35cdaaf07ac</t>
  </si>
  <si>
    <t>bd448444483c741ab5871f301bb2e412</t>
  </si>
  <si>
    <t>Investor</t>
  </si>
  <si>
    <t>271761fec2db447b283e17c36b9c3eb6</t>
  </si>
  <si>
    <t>eaecb7a94065dd8945fc878f2bfe45e6</t>
  </si>
  <si>
    <t>3c075b3a6b200f98f721065ff2b73efe</t>
  </si>
  <si>
    <t>d2db2e8b2080136972bfd04aeb000cd2</t>
  </si>
  <si>
    <t>76626af9ffddca2af56b0b918fbb64a6</t>
  </si>
  <si>
    <t>008c29d66d5975b0127132144576201f</t>
  </si>
  <si>
    <t>1f0695630f442ac608654e62db45cb08</t>
  </si>
  <si>
    <t>7758c9e89c52141ab8704233ab7be33e</t>
  </si>
  <si>
    <t>78bf35a24cf1c2a93c36ac25b9239bcf</t>
  </si>
  <si>
    <t>3996922551f6de6304e8b53365480688</t>
  </si>
  <si>
    <t>a2251f338c4eec487c228740619520a4</t>
  </si>
  <si>
    <t>f218d4de22373ddfca213efb01585f95</t>
  </si>
  <si>
    <t>63e2013d6e66d24057920b043db529c9</t>
  </si>
  <si>
    <t>2102855f0579e23a8f5c7c272970cb24</t>
  </si>
  <si>
    <t>16a43efd769cbd6bc413c5d6216a9b2f</t>
  </si>
  <si>
    <t>31267a3f91f5dbdbd43dc75fba262d1c</t>
  </si>
  <si>
    <t>f84cce3e7f6be05254c688354ea21105</t>
  </si>
  <si>
    <t>bc59dc6f98325fca718cfaeb3f9b207c</t>
  </si>
  <si>
    <t>Associate Program Manager</t>
  </si>
  <si>
    <t>2cf6fbeb57f8ebd0eb09ab3332cbf587</t>
  </si>
  <si>
    <t>4ce50c347fd63f270f66a8ea094fbd14</t>
  </si>
  <si>
    <t>39c729da3485373eeeaf075d40625d8f</t>
  </si>
  <si>
    <t>de422c8b3806dbf27f23fbcbe8ef713b</t>
  </si>
  <si>
    <t>93322a23f38fd4115746027f989791c0</t>
  </si>
  <si>
    <t>56f9986765e7708d00a6c574f8b1b4eb</t>
  </si>
  <si>
    <t>9b0acdb1fcbeb08ee1e51fc749196dd7</t>
  </si>
  <si>
    <t>a2f902010f8cabc143a8b362d86ce949</t>
  </si>
  <si>
    <t>Web Dev</t>
  </si>
  <si>
    <t>4e916dcf5ecfaa5999e28488a09a7e1c</t>
  </si>
  <si>
    <t>4d4b3775d3c6ebe38e4c98aca0d64971</t>
  </si>
  <si>
    <t>0573c4647e45ca04cc6b6e75d9d8242f</t>
  </si>
  <si>
    <t>Developer</t>
  </si>
  <si>
    <t>6f96289a756b0cdd48f4d45894633a6b</t>
  </si>
  <si>
    <t>860a4c3d30ead799b210cd649242182b</t>
  </si>
  <si>
    <t>5a79f37a3076116084c636588910d101</t>
  </si>
  <si>
    <t>f41c5effa65ab0793f9dc36db8cff524</t>
  </si>
  <si>
    <t>b278ab69943e88370ef081da4324d31c</t>
  </si>
  <si>
    <t>Webdev</t>
  </si>
  <si>
    <t>49554bf9239a2ad19768763ac49b66eb</t>
  </si>
  <si>
    <t>Trust Me, i am a Engineer</t>
  </si>
  <si>
    <t>82ffa8e74038f4258602230423d5ee2b</t>
  </si>
  <si>
    <t>Robot</t>
  </si>
  <si>
    <t>34f471c8b8c91654921c727510a7e160</t>
  </si>
  <si>
    <t>600470393454518b734fbaea290d45de</t>
  </si>
  <si>
    <t>94604c823f2d2e949fedf41cd129a406</t>
  </si>
  <si>
    <t>9a126baf4cbfb680bbf12600b9e1f9cd</t>
  </si>
  <si>
    <t>Web Designer, CRO</t>
  </si>
  <si>
    <t>59ffe58433bd2edd01f9b9531aac38d9</t>
  </si>
  <si>
    <t>b7deef1f95db4a9ec25c3cbdfbefb04d</t>
  </si>
  <si>
    <t>573a5bfe7371738794bd428ca1518d4b</t>
  </si>
  <si>
    <t>785413bf1621c07bf78d57d446f5b92e</t>
  </si>
  <si>
    <t>f6cd8681f212bee73b9c6d2432735243</t>
  </si>
  <si>
    <t>0e517b74ab2def0782a63f409078f923</t>
  </si>
  <si>
    <t>Website Programmeur</t>
  </si>
  <si>
    <t>36812a1aa45ca54b6b22e18db6767a09</t>
  </si>
  <si>
    <t>PhD in Computational Biology</t>
  </si>
  <si>
    <t>6616736cf6e7b84613d47f1fc01588be</t>
  </si>
  <si>
    <t>d65883508174591ae33ccad1098ac6c8</t>
  </si>
  <si>
    <t>Chemical Engineer</t>
  </si>
  <si>
    <t>50c73662d08433eba3ebd541003b2143</t>
  </si>
  <si>
    <t>5afbc65d8401bd0603cfdeb9562fbdaa</t>
  </si>
  <si>
    <t>26c484be043596d15f4908e363b9df3a</t>
  </si>
  <si>
    <t>Biomedical Engineering Student</t>
  </si>
  <si>
    <t>18e412f7b94d3b541c05842f6bd7ac0c</t>
  </si>
  <si>
    <t>Servicedesk</t>
  </si>
  <si>
    <t>54c3e8a1dad6af2797dbf3f1b5da61c9</t>
  </si>
  <si>
    <t>ea448a3d41133950d78a43b66d417a2c</t>
  </si>
  <si>
    <t>ac7cabbd2bb954f128b6e05344c9ccd4</t>
  </si>
  <si>
    <t>6ccffaff307121aee75e2e6c19d53e22</t>
  </si>
  <si>
    <t>a4eecbac8dff80510f4455eb090783ea</t>
  </si>
  <si>
    <t>Trucker</t>
  </si>
  <si>
    <t>b45c4c43ca87de6786ebef719b451a91</t>
  </si>
  <si>
    <t>f859f4d10a9830a1ef6ac01499cecc61</t>
  </si>
  <si>
    <t>5bfbdf9d01e08359c782c9355cef76fe</t>
  </si>
  <si>
    <t>960f40ce2b7245633699909c6e01601c</t>
  </si>
  <si>
    <t>Village Idiot</t>
  </si>
  <si>
    <t>74ac8893732af3cff81b43a6dbd5e1d6</t>
  </si>
  <si>
    <t>DevOps Engineer</t>
  </si>
  <si>
    <t>52f8372596a7db0db14ac879e4141fe7</t>
  </si>
  <si>
    <t>Prediction Market Trader</t>
  </si>
  <si>
    <t>286881d4be7f6f2f142859907d9d0690</t>
  </si>
  <si>
    <t>e7d4e744902e9c2cd27e97b8af88a8fd</t>
  </si>
  <si>
    <t>Webdesigner &amp; Developer</t>
  </si>
  <si>
    <t>cb23d739d6941438c99fdddceaf50c2a</t>
  </si>
  <si>
    <t>9febc1b852dcadd105006b0d058bfc7a</t>
  </si>
  <si>
    <t>d3dfe86620d872f6517d506f720e1ef8</t>
  </si>
  <si>
    <t>deff2a99765ef19f810f646c5dc1716c</t>
  </si>
  <si>
    <t>Management</t>
  </si>
  <si>
    <t>92824aa603f1cedb1f8e56e54abab2f2</t>
  </si>
  <si>
    <t>8f509883c4f47d1257de9d39c39bb64e</t>
  </si>
  <si>
    <t>6b7b5ec13888eaad8ba8537bcd1f890b</t>
  </si>
  <si>
    <t>Worker (Wage Earner)</t>
  </si>
  <si>
    <t>b24e0cf3cba4f36cb896defc966e5a23</t>
  </si>
  <si>
    <t>Interior architect</t>
  </si>
  <si>
    <t>6ab51c445a527dfe373ca35b4e2868c8</t>
  </si>
  <si>
    <t>99e641413b4771ac8ebb80d69c0274a0</t>
  </si>
  <si>
    <t>Financial Markets</t>
  </si>
  <si>
    <t>8cbe2a81738420f023dea9b645ca9e22</t>
  </si>
  <si>
    <t>89629a6c4a3d945c113e948418b8653b</t>
  </si>
  <si>
    <t>eaec506d1a93a5c8ecd928554e1013d1</t>
  </si>
  <si>
    <t>be63d558e170a31e682c0ff65269b86a</t>
  </si>
  <si>
    <t>0c46bf9607e9c00b6ca75fa706d0b881</t>
  </si>
  <si>
    <t>146bf047cfbbd7e6ad3b734350ae3b1f</t>
  </si>
  <si>
    <t>50a80674299455bee9043e6dece2351b</t>
  </si>
  <si>
    <t>Etudiant</t>
  </si>
  <si>
    <t>e9b04ea73ae293a99493dc717a13d1b4</t>
  </si>
  <si>
    <t>5f94e87571505dda87ebdda565111c2d</t>
  </si>
  <si>
    <t>6c73b0892147c245d3aaa95dce174a04</t>
  </si>
  <si>
    <t>3244615279a5b252566f48608a1a3bc4</t>
  </si>
  <si>
    <t>f2d2d37983ae77ded93273a28f194085</t>
  </si>
  <si>
    <t>35378b2eab618515b57dd4c3adc65236</t>
  </si>
  <si>
    <t>92e8f60818d566590d8592d8dd268f76</t>
  </si>
  <si>
    <t>f2d07685c2e479d07cfb242599c77e89</t>
  </si>
  <si>
    <t>62f10b33c311562282243fedc407430f</t>
  </si>
  <si>
    <t>38fb5e8645dae72a9a41b9152355d110</t>
  </si>
  <si>
    <t>Technical Artist</t>
  </si>
  <si>
    <t>0ad0670a7be2383c95541c27b5bbe4cf</t>
  </si>
  <si>
    <t>b549af7fb7dfa41d7fc9c9907cc8bb31</t>
  </si>
  <si>
    <t>edefc09cfacaebc4bc560ed9ba54cff2</t>
  </si>
  <si>
    <t>Mycologist</t>
  </si>
  <si>
    <t>ba45ff4ae887b04bfda9df0caa04d497</t>
  </si>
  <si>
    <t>f4d3b56f3cba2275588c4ecda539484d</t>
  </si>
  <si>
    <t>c91d9d2f4e0c5669a12c350577a54a4d</t>
  </si>
  <si>
    <t>86869e7eeb58107a44cbb4f38e65bc28</t>
  </si>
  <si>
    <t>c77a301dc18336dbb3f2932577d8ca53</t>
  </si>
  <si>
    <t>60a6b14d404acda234e277d1dc43ccb2</t>
  </si>
  <si>
    <t>917afaed05d7440c22fdde168c52b850</t>
  </si>
  <si>
    <t>d3d9ed8b0cc4ee0510095f201eaf943e</t>
  </si>
  <si>
    <t>9b3e5bb925c4e824c05d8f62ce0bb95d</t>
  </si>
  <si>
    <t>224f9b508b9217fa7afe0ad1d1cafdc7</t>
  </si>
  <si>
    <t>1cc73a407d45ff874a4a06c4e5241637</t>
  </si>
  <si>
    <t>55f280bebc177d0fd6ec6d218dc65657</t>
  </si>
  <si>
    <t>85b1284e9eeab300cd2fc24ccc4092bb</t>
  </si>
  <si>
    <t>3167a0bfedec32dcbf4f5de5ed0d6f20</t>
  </si>
  <si>
    <t>3873770b8dad6de571ae9355a5a38106</t>
  </si>
  <si>
    <t>Manufacturing</t>
  </si>
  <si>
    <t>c856bb6c926cc0956ef32a738f74c391</t>
  </si>
  <si>
    <t>Office Manager</t>
  </si>
  <si>
    <t>99a2d980c11d540dad83d50c0115ca98</t>
  </si>
  <si>
    <t>Sidi</t>
  </si>
  <si>
    <t>c6a183a77ea9f82a82516f494984bcc2</t>
  </si>
  <si>
    <t>Student, Research Assistant</t>
  </si>
  <si>
    <t>de14c049d9bc38720b566ac98a1f3998</t>
  </si>
  <si>
    <t>a5a0acc847342acd694520977a1b8ad2</t>
  </si>
  <si>
    <t>Astronaut</t>
  </si>
  <si>
    <t>8d50005fe70a521f1cdb8547f08027eb</t>
  </si>
  <si>
    <t>0bf411a8688348c4c3db5285d243690e</t>
  </si>
  <si>
    <t>7c3d07e6212c7813e6eba01609815b68</t>
  </si>
  <si>
    <t>437683797fd8a178cdc138677bfe39e8</t>
  </si>
  <si>
    <t>871ba64bd808e05d3eb331b26c77d7cc</t>
  </si>
  <si>
    <t>0f7bd8ff3b1abc2d70a96c3d5e72830c</t>
  </si>
  <si>
    <t>6e44326de993a40e45268937de72d0b8</t>
  </si>
  <si>
    <t>6b51aaec84438270d3e1990bdcfb7dc7</t>
  </si>
  <si>
    <t>Finance</t>
  </si>
  <si>
    <t>ec1e71dff6b269826436d859743bfd29</t>
  </si>
  <si>
    <t>75a4334c1dc5493750a3479684bba6c0</t>
  </si>
  <si>
    <t>f0c8cee8d3ecb7ad9de6fd6f29de44df</t>
  </si>
  <si>
    <t>66e8c1ad4e2133838f2ad2da3a8b8f0b</t>
  </si>
  <si>
    <t>6e0b48e3c46e6c27e01227b908e44449</t>
  </si>
  <si>
    <t>0054c12d2889e9428e54a3fd06600bd3</t>
  </si>
  <si>
    <t>e61fc60af3a637904bdec6352789152d</t>
  </si>
  <si>
    <t>United Arab Emirates</t>
  </si>
  <si>
    <t>1fc97b199e417165e97333f5d1c8af6c</t>
  </si>
  <si>
    <t>c1bac6273a2423071b65da055fba570d</t>
  </si>
  <si>
    <t>e521c6f902062cf4f7ca12a49f9266a2</t>
  </si>
  <si>
    <t>Data Analyst &amp; Developer</t>
  </si>
  <si>
    <t>9fe639b934ba78f470b68f064e60580a</t>
  </si>
  <si>
    <t>ig. okkedries</t>
  </si>
  <si>
    <t>62aa91300651616a8ad151833d2575ff</t>
  </si>
  <si>
    <t>10200ebb8a674c7ac59333e7f98b4ca9</t>
  </si>
  <si>
    <t>5080f28d6123204e2ee769e2c661bf7a</t>
  </si>
  <si>
    <t>Belarus</t>
  </si>
  <si>
    <t>Software engeneer</t>
  </si>
  <si>
    <t>24b97537ea1f2dc68fdf944dbbe8830c</t>
  </si>
  <si>
    <t>b3af6adaaf2237a3345c3b734d1e27e6</t>
  </si>
  <si>
    <t>Computer Science Student</t>
  </si>
  <si>
    <t>cde294f69662d61290d77d35c0e83d5e</t>
  </si>
  <si>
    <t>aab41a6c19403e836ad5a95fef4f648c</t>
  </si>
  <si>
    <t>Turkey</t>
  </si>
  <si>
    <t>311445c2c71471195e7f2e2599b75e79</t>
  </si>
  <si>
    <t>680f96fbcee51697dc5df4a527a8e8e1</t>
  </si>
  <si>
    <t>Paraeducator</t>
  </si>
  <si>
    <t>a8f4e7b23ac4c66b8bce7b04bb9aeeb9</t>
  </si>
  <si>
    <t>Marketing Intern</t>
  </si>
  <si>
    <t>0c40d224a9fb85e31f68546a7576232c</t>
  </si>
  <si>
    <t>29515b5ec48f92c01bee425f4aaae46a</t>
  </si>
  <si>
    <t>7bc591f7af5995931c8fdce56df6cbae</t>
  </si>
  <si>
    <t>Lifeguard</t>
  </si>
  <si>
    <t>f20e188b88fa00be19c965d77469e09f</t>
  </si>
  <si>
    <t>72cbf27b287607be4db7f780b846f2c2</t>
  </si>
  <si>
    <t>Macgyver</t>
  </si>
  <si>
    <t>b246149e47d617605015006899a34756</t>
  </si>
  <si>
    <t>fb487fed44d3650e764bea3466d064cf</t>
  </si>
  <si>
    <t>6d23ee63ff54b91c848f57b9da5586ae</t>
  </si>
  <si>
    <t>c3b7e9c90818013e7ce447efd042dc15</t>
  </si>
  <si>
    <t>dc28720327cb4a22f62eca77135742d0</t>
  </si>
  <si>
    <t>9b63d826dca09f44a6b56f404db0ad3c</t>
  </si>
  <si>
    <t>0f110fdbe051dab1a7bbae9fb69c02df</t>
  </si>
  <si>
    <t>History Student</t>
  </si>
  <si>
    <t>abb1d753a076851ec6ab882915965531</t>
  </si>
  <si>
    <t>be1a260221d30d6b248cc4c726d2d477</t>
  </si>
  <si>
    <t>6cd9971ad619af9b89d536d2ed4623f0</t>
  </si>
  <si>
    <t>958d8cf95b772d1817fb6579d229fe77</t>
  </si>
  <si>
    <t>06aa963a8a10585ba467b7748284c7f3</t>
  </si>
  <si>
    <t>Master's Student in Computer Science</t>
  </si>
  <si>
    <t>edb78d076d524c6f9c2f56ecc1537303</t>
  </si>
  <si>
    <t>Argentina</t>
  </si>
  <si>
    <t>6bd87fe2095b62f211da610ef579a5d0</t>
  </si>
  <si>
    <t>1c612b623df213a489188bc74dc5c05a</t>
  </si>
  <si>
    <t>9e388c20d37f39cfa328c49272d5d95f</t>
  </si>
  <si>
    <t>ecd6312848cc9c546a6ed8216671cce0</t>
  </si>
  <si>
    <t>Front-End Developer, Future Psychologist</t>
  </si>
  <si>
    <t>e2d833a03d99e9311d2ed2d4b463cd27</t>
  </si>
  <si>
    <t>13b392a9f7f282efe2b4a009e1927ca0</t>
  </si>
  <si>
    <t>poker player</t>
  </si>
  <si>
    <t>56e5773cf3c999ecb971ee38f07f582a</t>
  </si>
  <si>
    <t>Founding Designer</t>
  </si>
  <si>
    <t>3edd8bbdbaf42f86a299edd10aa46412</t>
  </si>
  <si>
    <t>f573b82ec9defd5e1c93e026d6ab40a8</t>
  </si>
  <si>
    <t>41ad495592a6ffd14b1df8e5eb9b0ee3</t>
  </si>
  <si>
    <t>Public Service</t>
  </si>
  <si>
    <t>8a22d53ef42b809a5c128e1b0585b70b</t>
  </si>
  <si>
    <t>Scrummaster- TECDP Lead Analyst</t>
  </si>
  <si>
    <t>8fba655babf1f120f65986570f0d9a55</t>
  </si>
  <si>
    <t>1b184db914808d5504d109efd30226d7</t>
  </si>
  <si>
    <t>42dcab19050c4c6d6a40aaf3bf36b69b</t>
  </si>
  <si>
    <t>a058e4c7a0102bceaf4e893863b8e3c0</t>
  </si>
  <si>
    <t>19b418ce85ee67f92141aa08ac81fe09</t>
  </si>
  <si>
    <t>dc44621fcfe6b847916858db480f4c83</t>
  </si>
  <si>
    <t>System Engineer</t>
  </si>
  <si>
    <t>6fbbc0195b3d48568cc1cd1b7c70c6cc</t>
  </si>
  <si>
    <t>ae4043fa4c00ca66694c757e99e84cc0</t>
  </si>
  <si>
    <t>50cab907936c89a83f722cc998340a05</t>
  </si>
  <si>
    <t>7c2fb98fbd2d3e8463c49d10fc160034</t>
  </si>
  <si>
    <t>Electromancer</t>
  </si>
  <si>
    <t>a66ec1d1d58b9d545426e832f7dae8e9</t>
  </si>
  <si>
    <t>e556f7dfa16bb7a9fc118c49833f5745</t>
  </si>
  <si>
    <t>e004a659d28f69df9d4609a339388391</t>
  </si>
  <si>
    <t>63905d939927c8c064ea8f368dca1f11</t>
  </si>
  <si>
    <t>Financial Tech</t>
  </si>
  <si>
    <t>9c1a63a8d134b80e1cc72bef6e1c5a2a</t>
  </si>
  <si>
    <t>c89cdd556074cb9fd3d9b6c6d5495a6f</t>
  </si>
  <si>
    <t>95dc1434f7f3fab1e1cb70989f1e5bc3</t>
  </si>
  <si>
    <t>very tall</t>
  </si>
  <si>
    <t>35300c1da44084c67f367e0b856063ee</t>
  </si>
  <si>
    <t>21e529e0a8a8997f860222e761b84fea</t>
  </si>
  <si>
    <t>eeb97af3097b1228e668de249a15166b</t>
  </si>
  <si>
    <t>91af08414bbb4563647d8e97ddcfa23f</t>
  </si>
  <si>
    <t>Sound Engineer</t>
  </si>
  <si>
    <t>51209340c87da1491220f4b99f6c41ef</t>
  </si>
  <si>
    <t>bd9d06153b2cf3c36fac2c2ae1ead90a</t>
  </si>
  <si>
    <t>555a0ce088fde391ce95924c6782a3d3</t>
  </si>
  <si>
    <t>Home Theater Agent</t>
  </si>
  <si>
    <t>cdbe53befbf86d7a01a19b63dedc3856</t>
  </si>
  <si>
    <t>d3df6e3102a21581b029c639d397feaf</t>
  </si>
  <si>
    <t>3f9fb0164f4aa66426b94a577741d2ee</t>
  </si>
  <si>
    <t>72f35c8a85258f1852321dfb29b729ec</t>
  </si>
  <si>
    <t>Project Development Officer</t>
  </si>
  <si>
    <t>b1c6788f96d54ae00037693ffdfdd0e8</t>
  </si>
  <si>
    <t>36b5cb5c75d640534b86fa174b7f87cd</t>
  </si>
  <si>
    <t>Data Analyst</t>
  </si>
  <si>
    <t>afb6bd0b0fdec67eaba415743e1379d2</t>
  </si>
  <si>
    <t>Portugal</t>
  </si>
  <si>
    <t>4bd387b667911de9d717acb61bcb9d62</t>
  </si>
  <si>
    <t>927beb022695b76c480eed8d011b3461</t>
  </si>
  <si>
    <t>Iceland</t>
  </si>
  <si>
    <t>561db49881acc5a8bded1bef6f494e08</t>
  </si>
  <si>
    <t>0e47097be2116331eb3e2ddccbb4a925</t>
  </si>
  <si>
    <t>Computer Science</t>
  </si>
  <si>
    <t>cb3f8fff6d15d2480df5883454286539</t>
  </si>
  <si>
    <t>2beffd6e2ee87f41752bfb0a89de567f</t>
  </si>
  <si>
    <t>3c159947bd2b43b5983d9e5b01b136be</t>
  </si>
  <si>
    <t>249f1f3c083f2d230ffeb2b1a2407e7c</t>
  </si>
  <si>
    <t>Self-Employed</t>
  </si>
  <si>
    <t>31b4e30768d5e0a6d16d9905ca530148</t>
  </si>
  <si>
    <t>Specialty Service</t>
  </si>
  <si>
    <t>cc811745c6adf5f57bbbbc2c6b3d2220</t>
  </si>
  <si>
    <t>b21ff8857d5e90ae9fb579c75ff66767</t>
  </si>
  <si>
    <t>a935f71ec678e425f019853362dda58d</t>
  </si>
  <si>
    <t>2c45f2bd5f05cb0428cedec8089b3e59</t>
  </si>
  <si>
    <t>6b2ef23737aee995f8469f0aee4b9c8a</t>
  </si>
  <si>
    <t>970f31114023669ea030aa2d5d806671</t>
  </si>
  <si>
    <t>24cb8cffb3d27569d2063059ff7b114d</t>
  </si>
  <si>
    <t>60a5335f19451f41584ee38801edc050</t>
  </si>
  <si>
    <t>Softwaredeveloper</t>
  </si>
  <si>
    <t>d714c8f0e83db92be0499712596f5449</t>
  </si>
  <si>
    <t>dc4572c2c68debce7bbd16ec199bc453</t>
  </si>
  <si>
    <t>5bd3d116a1fe0c31f7b03a8758f652d7</t>
  </si>
  <si>
    <t>10b2097badb646a0e1147c24fccfedfb</t>
  </si>
  <si>
    <t>Taiwan</t>
  </si>
  <si>
    <t>5709abc8f96b3fb4bf2067ca321544b3</t>
  </si>
  <si>
    <t>615be0069495f92f668428ba1de1cda1</t>
  </si>
  <si>
    <t>354ce0ef3c3c1380cc1637997df7f3d6</t>
  </si>
  <si>
    <t>8babd832a00e7c1c80b7069c08c37648</t>
  </si>
  <si>
    <t>1a1ec35c46befb52573881b099e61fbc</t>
  </si>
  <si>
    <t>Malaysia</t>
  </si>
  <si>
    <t>f2e65193084a900888fa11bfd2c5df17</t>
  </si>
  <si>
    <t>Service Coordinator</t>
  </si>
  <si>
    <t>e8cb93c34fc8df3783e0adbd8eae2efe</t>
  </si>
  <si>
    <t>Luxembourg</t>
  </si>
  <si>
    <t>Ski Instructor - Entrepreneur</t>
  </si>
  <si>
    <t>e1a9c69acde1a7db1d0da5e2b694bc80</t>
  </si>
  <si>
    <t>4727ef423c21b58c1e039e9625b5955d</t>
  </si>
  <si>
    <t>2328d490260d54aa6d781595eb18bab8</t>
  </si>
  <si>
    <t>e37211835e97b5a61ffc4c5a21602562</t>
  </si>
  <si>
    <t>16a22fdad3de24d72d8509711c454ffb</t>
  </si>
  <si>
    <t>d8e45b0063ebd4fa518de694899989dc</t>
  </si>
  <si>
    <t>a5476d611884a1bdd9d34288c2c6b1fe</t>
  </si>
  <si>
    <t>5008aac977b015ea0ffd49b87cedf5db</t>
  </si>
  <si>
    <t>Computer Engineer</t>
  </si>
  <si>
    <t>bf0031b8e010f9e2df28551e09dc02ed</t>
  </si>
  <si>
    <t>Dental Student</t>
  </si>
  <si>
    <t>71998221b4edc9aa27c0fb02ade3c5a5</t>
  </si>
  <si>
    <t>e1fc751c4721214058caa7d5288b1df8</t>
  </si>
  <si>
    <t>883af370beebea637ba3bd4833bfeaa1</t>
  </si>
  <si>
    <t>902380088f0f434902ab486c8fcfdbdb</t>
  </si>
  <si>
    <t>e4742116046c34c56433697cf2d7cd92</t>
  </si>
  <si>
    <t>983aa5c7935d2ac343f6f80f8bea4d31</t>
  </si>
  <si>
    <t>047b89e2fb091a0b163dc08f437ac4d7</t>
  </si>
  <si>
    <t>e7f54b0a39641fb50d2bdd4653d6093c</t>
  </si>
  <si>
    <t>15ff101ff43e45213ce5095bbf2eb0ae</t>
  </si>
  <si>
    <t>3ecd478aec38e26c942c558e38395e18</t>
  </si>
  <si>
    <t>67695a0f1de680c43440df363f1a72de</t>
  </si>
  <si>
    <t>46f792a86d160cb35b7ebc778c71aab1</t>
  </si>
  <si>
    <t>47af3745a19f31c658e0883f885da91a</t>
  </si>
  <si>
    <t>e400b6b6e8771da5e11ba78236b508a9</t>
  </si>
  <si>
    <t>a6ae45052f3ed7cf800a8eef9fc5b708</t>
  </si>
  <si>
    <t>IT-tech</t>
  </si>
  <si>
    <t>89bb5d6650ad1a5e394841ba2209e82c</t>
  </si>
  <si>
    <t>d3266517d2bed5737f8531b88d5c0333</t>
  </si>
  <si>
    <t>Biologielaborant</t>
  </si>
  <si>
    <t>64915d73ff46ffc781651d1dbf888c3b</t>
  </si>
  <si>
    <t>cfbc9f5414c47adb731603f519ba9feb</t>
  </si>
  <si>
    <t>Game Developer</t>
  </si>
  <si>
    <t>331e904c2f25299315e7c1302537b6f9</t>
  </si>
  <si>
    <t>db85a24bf536b042f9edc68e7f224d51</t>
  </si>
  <si>
    <t>b8db8cb8bd6279042bebf5f54f3f1c4b</t>
  </si>
  <si>
    <t>b86ebcdc4f5b55b8107ffa7f3ab22643</t>
  </si>
  <si>
    <t>58788ed73c72f1642ed17ea17f35bb3e</t>
  </si>
  <si>
    <t>4486aacb0a819895cfd364eaae03f70d</t>
  </si>
  <si>
    <t>15d02153d1a811b213cff1a74bb630a2</t>
  </si>
  <si>
    <t>systems engineer</t>
  </si>
  <si>
    <t>b5d15a7a654efe731813ac615b3a32d6</t>
  </si>
  <si>
    <t>3e628010ed82e688c71e334b6662c755</t>
  </si>
  <si>
    <t>Research &amp; Development Engineer</t>
  </si>
  <si>
    <t>29a2d5394445625ebb9f7dcc4e2a4326</t>
  </si>
  <si>
    <t>0a4d4178571ee92830da3ce13973f26f</t>
  </si>
  <si>
    <t>Planarkitekt, Stadsplanerare</t>
  </si>
  <si>
    <t>c967761abf26f40ec3c851e4414f670d</t>
  </si>
  <si>
    <t>36903a2b7aad04cb4e56cdf08c58679d</t>
  </si>
  <si>
    <t>d330608bfc66cafd16397a1586d082d7</t>
  </si>
  <si>
    <t>e4e9053aa2c025de4039f469579deffd</t>
  </si>
  <si>
    <t>d83d74b27735ea150aca1cf637c51646</t>
  </si>
  <si>
    <t>woke bae</t>
  </si>
  <si>
    <t>9fcc84cdacce689be974f21071a81cbd</t>
  </si>
  <si>
    <t>a4ed848c2ae4cef0179a4ab266c16f61</t>
  </si>
  <si>
    <t>Senior TPM</t>
  </si>
  <si>
    <t>10e11d6c79dd5522e8fc362bcc844bcc</t>
  </si>
  <si>
    <t>Product Manager</t>
  </si>
  <si>
    <t>95d7bda361cc1c61a88dd8db4409050f</t>
  </si>
  <si>
    <t>d904d98bfa0e558f6d47b5c40fee7a21</t>
  </si>
  <si>
    <t>13e46b1fdc4b50357865832b994a29de</t>
  </si>
  <si>
    <t>Swim instructor</t>
  </si>
  <si>
    <t>8d9a61219a10aba3bef393cf9ba37b47</t>
  </si>
  <si>
    <t>9ea5fbdeeccfd5607ac3d7813b003b3a</t>
  </si>
  <si>
    <t>089f156439148cb84dbf5c68a8f7713a</t>
  </si>
  <si>
    <t>IT Specialist for System Integration</t>
  </si>
  <si>
    <t>3bae0caa42a35ed17186b825fc577aa6</t>
  </si>
  <si>
    <t>dd48110d5e5377e14aaeae0a57c2509c</t>
  </si>
  <si>
    <t>3afc29e8a0711adaa028dd1da9748edf</t>
  </si>
  <si>
    <t>dd838e84786d7309973cb0bebb6b3ce8</t>
  </si>
  <si>
    <t>3a813df93376db6fe832d77dbd1cfbee</t>
  </si>
  <si>
    <t>Full Stack Web Developer</t>
  </si>
  <si>
    <t>07b60ba8e2f160140972c0046c369df3</t>
  </si>
  <si>
    <t>8fab92718b5ad3785ceed65a0ad0078c</t>
  </si>
  <si>
    <t>Thailand</t>
  </si>
  <si>
    <t>db017a02933fab249424e7deecfa558c</t>
  </si>
  <si>
    <t>Music Project Manager</t>
  </si>
  <si>
    <t>10ee95b0d8aaa9dea5a94c88fc512621</t>
  </si>
  <si>
    <t>0e79be0f121bee1463cdfacf7124aa20</t>
  </si>
  <si>
    <t>941d5b206c586b468779fa7ab2930117</t>
  </si>
  <si>
    <t>865c1f9b14bb8b7ffbfd735ae09f799f</t>
  </si>
  <si>
    <t>IT Marketeer</t>
  </si>
  <si>
    <t>7c82a9424b075c5cae4a48486eda0e77</t>
  </si>
  <si>
    <t>3a8f5684a4fdd9e02f9a76db387a4037</t>
  </si>
  <si>
    <t>Retail worker</t>
  </si>
  <si>
    <t>2f64cbb8138f85660138d63ece54e2ae</t>
  </si>
  <si>
    <t>fb2ad771b6ae6198c8619c7ce4d28940</t>
  </si>
  <si>
    <t>co-founder, product developer</t>
  </si>
  <si>
    <t>32898926c2b527c12991307e64f4fde5</t>
  </si>
  <si>
    <t>a2829d07e84a89cdf6513d0e46ce7464</t>
  </si>
  <si>
    <t>844d07517956013cda382724d296fd66</t>
  </si>
  <si>
    <t>3d animator</t>
  </si>
  <si>
    <t>334f4695dec01d2bab772868c9695b86</t>
  </si>
  <si>
    <t>86796a0b4f7f6785e099cd08cd34b7fb</t>
  </si>
  <si>
    <t>Student generalist 3D, graphic design</t>
  </si>
  <si>
    <t>d836acab91fb250cad9902c3ec0e4ea3</t>
  </si>
  <si>
    <t>EMEA Project Manager</t>
  </si>
  <si>
    <t>83248d22a711c835b071fd6234e54661</t>
  </si>
  <si>
    <t>Live Video Engineer</t>
  </si>
  <si>
    <t>1bdda51e6c3f7ed9b0644befa03637f6</t>
  </si>
  <si>
    <t>67480be3f0eaf1c1d715a295ab9340b9</t>
  </si>
  <si>
    <t>1f5638b72126bf170eaaa3db0ebe0e2a</t>
  </si>
  <si>
    <t>e555a0f636b117618f9781c73a7c76cf</t>
  </si>
  <si>
    <t>Driver</t>
  </si>
  <si>
    <t>80d19a0e3f0f874e630ecf926f98dce6</t>
  </si>
  <si>
    <t>57d4128229977a4763010585881d45d4</t>
  </si>
  <si>
    <t>e9231d7865fdddc2cc938b4414ef8ec1</t>
  </si>
  <si>
    <t>Product Owner en Mede-eigenaar</t>
  </si>
  <si>
    <t>67bbc7ec35e337ae531fc4bab78c2418</t>
  </si>
  <si>
    <t>6ae0dbc00043e894acb5b0596356ab37</t>
  </si>
  <si>
    <t>cc0cd04c3cdc25117d15d8735481d8c9</t>
  </si>
  <si>
    <t>8109caa67dead6bacfaa57e592809ff2</t>
  </si>
  <si>
    <t>b015511744bf8b31e5569e6fbe13901f</t>
  </si>
  <si>
    <t>33d0b68ba8e5ae8df210f3d4f9e2b971</t>
  </si>
  <si>
    <t>45e6e25ca1f6dad948edede60fdebf78</t>
  </si>
  <si>
    <t>b8f51fe0819be2eb18948637913cc661</t>
  </si>
  <si>
    <t>f400cf377369a31551ef00d448bda349</t>
  </si>
  <si>
    <t>Konsulent</t>
  </si>
  <si>
    <t>22dccf634683384d1f7f3523b741c44b</t>
  </si>
  <si>
    <t>e15f4edc42bde747ef98fb11203ab533</t>
  </si>
  <si>
    <t>ef409b8f072fcd50a5341d16fd4b382e</t>
  </si>
  <si>
    <t>Colombia</t>
  </si>
  <si>
    <t>fd914d0456f341d7aded59149fdc6655</t>
  </si>
  <si>
    <t>a PM of sorts</t>
  </si>
  <si>
    <t>408bb6f8679ad3fa939c5fecd475d38b</t>
  </si>
  <si>
    <t>cda76477b23c7b91dce868c360b52dfb</t>
  </si>
  <si>
    <t>e2471fbaf1c9aa1eaf32d75ec63fdf31</t>
  </si>
  <si>
    <t>Research Technician</t>
  </si>
  <si>
    <t>765836ae74a0111feac984af39d46070</t>
  </si>
  <si>
    <t>Temporarily in Production</t>
  </si>
  <si>
    <t>d67fe89a674f6d024a2e0b4290307229</t>
  </si>
  <si>
    <t>ac06d190d2c0b86f6ac2dcdb6daa5350</t>
  </si>
  <si>
    <t>Pilot</t>
  </si>
  <si>
    <t>963bd18fc405c837450d0bde5a021919</t>
  </si>
  <si>
    <t>355ea83c3d68ff7fcef72229572aacaf</t>
  </si>
  <si>
    <t>f249013eb1aa4c72512cdfa50264b894</t>
  </si>
  <si>
    <t>Operations Research Analyst</t>
  </si>
  <si>
    <t>25de3b1499b09f9b6ea56ba12f29a095</t>
  </si>
  <si>
    <t>6a157bd822034c9410ed198b9d354f96</t>
  </si>
  <si>
    <t>d853ca61f980ce7c60d16670a29c9d38</t>
  </si>
  <si>
    <t>I deal with tourists</t>
  </si>
  <si>
    <t>55ce58f2b0fb4330518383326e1fe4e6</t>
  </si>
  <si>
    <t>ee4305caafe8987ec5ba8c8e64dda0b7</t>
  </si>
  <si>
    <t>9e5dfc398e335d742b0bd887ab9c968f</t>
  </si>
  <si>
    <t>464516b7548a3a00bdf87fd60394f23b</t>
  </si>
  <si>
    <t>3be0800c24bef7bbdef62f92ce69adfe</t>
  </si>
  <si>
    <t>660739f95eadceb0dccf0673ce8d47ff</t>
  </si>
  <si>
    <t>61423c124527258bafc22aaae1cc9ea4</t>
  </si>
  <si>
    <t>d15af37b3c358b49e03d8be2f5aefeb1</t>
  </si>
  <si>
    <t>PhD Chemist</t>
  </si>
  <si>
    <t>144a2f98a16f208f5a90cd0a5f253bcf</t>
  </si>
  <si>
    <t>Receptionist</t>
  </si>
  <si>
    <t>e5b8586a4a9b0315bbbf2b8df0e87ded</t>
  </si>
  <si>
    <t>7bbf9072ff1e977d146f64ea52e722c2</t>
  </si>
  <si>
    <t>0478b4b772a699fc676c7d62653fdcb5</t>
  </si>
  <si>
    <t>6bf5eaa5271795a2b96e82938a6135d5</t>
  </si>
  <si>
    <t>8c986a161338eccc297ea16d3aedf422</t>
  </si>
  <si>
    <t>Lyft</t>
  </si>
  <si>
    <t>0e955a18aa4bc96924c75cb55d5860ac</t>
  </si>
  <si>
    <t>450ed0684b2694c2d7032dff6adc56de</t>
  </si>
  <si>
    <t>9a655bfaf59c5924c2e67390b29e8a41</t>
  </si>
  <si>
    <t>bef284175fa2b84be59f32c74f70fa35</t>
  </si>
  <si>
    <t>03371ac20f88c9c8843ef140a8704923</t>
  </si>
  <si>
    <t>f2068f63cc53428803af352107d6aa3d</t>
  </si>
  <si>
    <t>0d10a0682b9ef7147fe1cc4ccbcd68d7</t>
  </si>
  <si>
    <t>2a484efec17903bc9ff3082fc52ec646</t>
  </si>
  <si>
    <t>95791a32eab7c55fc98b7b099462df98</t>
  </si>
  <si>
    <t>McDonald's</t>
  </si>
  <si>
    <t>012f31c934343673c067978eb027edb7</t>
  </si>
  <si>
    <t>19707c03dbf7a0e07f70fc65968b6dd4</t>
  </si>
  <si>
    <t>a607cd885b4f38e3d55bc5994333a97e</t>
  </si>
  <si>
    <t>5e71e64572c0eb04d45d5c25e057e3fa</t>
  </si>
  <si>
    <t>3fc0e9a0143e958f2b5bd6b0544601df</t>
  </si>
  <si>
    <t>6477f01d42f3c284d0686bf3e4ee1821</t>
  </si>
  <si>
    <t>8fd2d72a266b78d1d59146979f8a6c27</t>
  </si>
  <si>
    <t>Greece</t>
  </si>
  <si>
    <t>064837ad9fbfa930bacef38212c46b12</t>
  </si>
  <si>
    <t>Operations Manager</t>
  </si>
  <si>
    <t>6112e9d5e006dbdfa3fa5f7ee36bb3a1</t>
  </si>
  <si>
    <t>87df7995274194c92e313baca2244fb3</t>
  </si>
  <si>
    <t>de0486af63fea1e8603ba21b10e04277</t>
  </si>
  <si>
    <t>Business Manager</t>
  </si>
  <si>
    <t>Ukraine</t>
  </si>
  <si>
    <t>2dab501b6287a0cf4a8d851a10cae140</t>
  </si>
  <si>
    <t>Private Equity</t>
  </si>
  <si>
    <t>2073f1c2fe83c76776aa47778598c185</t>
  </si>
  <si>
    <t>Snake Charmer but not really</t>
  </si>
  <si>
    <t>c5b8a2fb43a89965c7f05676a3f4ed5c</t>
  </si>
  <si>
    <t>Electrician</t>
  </si>
  <si>
    <t>a169f1ced9108261c9c447925ee10545</t>
  </si>
  <si>
    <t>98d91be995b394335a2414fc6d6a0ea0</t>
  </si>
  <si>
    <t>099bb657cd2282bbafc98532bc284949</t>
  </si>
  <si>
    <t>048c5c3f3b4ca47ed938d2498c1b2ed4</t>
  </si>
  <si>
    <t>Japan</t>
  </si>
  <si>
    <t>7d729999389ad88a507431af3b718918</t>
  </si>
  <si>
    <t>Executive Director</t>
  </si>
  <si>
    <t>318ddef3a198beea03dcf926f51f5225</t>
  </si>
  <si>
    <t>Engineering Manager</t>
  </si>
  <si>
    <t>853c5b62aeb011174e96f35b54c59aab</t>
  </si>
  <si>
    <t>7e802ffc679ac9b03a337c85eb68a346</t>
  </si>
  <si>
    <t>Digital nomad</t>
  </si>
  <si>
    <t>7c20677e7046d3953bcd2f7bbc2e8ee5</t>
  </si>
  <si>
    <t>03846287ef12001853246f9433fbf143</t>
  </si>
  <si>
    <t>Technical Intern</t>
  </si>
  <si>
    <t>e6b8eeb65d25c1d487304d758b708f71</t>
  </si>
  <si>
    <t>2e4a173c5751c2e853c33717c8245daa</t>
  </si>
  <si>
    <t>830ef88a84077b8f3b1126c4ff1c34dc</t>
  </si>
  <si>
    <t>7c9430d4bab179ae11c228be13848e2d</t>
  </si>
  <si>
    <t>cfb3babf27280859fde11d20527bf3d9</t>
  </si>
  <si>
    <t>Apprentice Engineer</t>
  </si>
  <si>
    <t>2b0b77f40b9aba8bfeeae443872885e6</t>
  </si>
  <si>
    <t>3788180af7bc17e750105b703a7a145f</t>
  </si>
  <si>
    <t>Morocco</t>
  </si>
  <si>
    <t>96243cd8cfa2e97e94d6088a93d18b12</t>
  </si>
  <si>
    <t>8f8ab9dc2099704ad14eb98ca6384a37</t>
  </si>
  <si>
    <t>7ca757d0371542b0d4034ed179f380c4</t>
  </si>
  <si>
    <t>Speech pathologist</t>
  </si>
  <si>
    <t>a0c34ee01f3ed723eecf6b5b79accf11</t>
  </si>
  <si>
    <t>Website Owner</t>
  </si>
  <si>
    <t>19fbe8caeaa5cddb8ceb32dfb0ba4bfa</t>
  </si>
  <si>
    <t>Media Analyst</t>
  </si>
  <si>
    <t>cdc22e054cd83717a807d089a9013262</t>
  </si>
  <si>
    <t>3eea1b94bd5a16309f161d1f087e63a4</t>
  </si>
  <si>
    <t>a009fd4b706db1a5759cada90049df5b</t>
  </si>
  <si>
    <t>105cef742720596e6da33b3c17e51cea</t>
  </si>
  <si>
    <t>Security Officer</t>
  </si>
  <si>
    <t>b925497da364ff6a8e99f89e4a617b42</t>
  </si>
  <si>
    <t>Ethical Hacker</t>
  </si>
  <si>
    <t>24c9a152a0d39a615a389314c56bbf51</t>
  </si>
  <si>
    <t>25e0339088c8e6c2b848fcc20e1dbd0c</t>
  </si>
  <si>
    <t>Office Production Assistant</t>
  </si>
  <si>
    <t>7ca67bd425000db20d152142cef4a2e9</t>
  </si>
  <si>
    <t>6c02b88d05327486f59302f205515aa3</t>
  </si>
  <si>
    <t>4d453eac74cc1cc8d3af40a737a92210</t>
  </si>
  <si>
    <t>12f3fad3d3307e75c646ae12493d5b44</t>
  </si>
  <si>
    <t>Senior Innovation Manager</t>
  </si>
  <si>
    <t>6af598f272d2e28c05607331a5b04841</t>
  </si>
  <si>
    <t>f95b9e869a99e4771263439bbb57fc2c</t>
  </si>
  <si>
    <t>465c4a1e90b62492e66617b8d12f36f0</t>
  </si>
  <si>
    <t>Video Production</t>
  </si>
  <si>
    <t>f4e50f22d7da6fa73589d4b0c61078a8</t>
  </si>
  <si>
    <t>Metal Fabrication</t>
  </si>
  <si>
    <t>bad352e80a33fce8ae026367e03c5cf0</t>
  </si>
  <si>
    <t>b852b236e318f6278876b13b4ffcfe3f</t>
  </si>
  <si>
    <t>1ebb4860e500cd5c07deca307f059065</t>
  </si>
  <si>
    <t>9826b820af65e94b9b7b548bad39f20d</t>
  </si>
  <si>
    <t>IT Security Analyst</t>
  </si>
  <si>
    <t>e63cd357e29f6f3758cb9919de005ed2</t>
  </si>
  <si>
    <t>Dog Walker</t>
  </si>
  <si>
    <t>2e4ca9ffc7af0a2ea522635936f198d9</t>
  </si>
  <si>
    <t>262a31096b7d54772b4b18f685b5de53</t>
  </si>
  <si>
    <t>8fbf5a51e9a3da5877a4f7fcf8273e74</t>
  </si>
  <si>
    <t>Suisse</t>
  </si>
  <si>
    <t>81e78b9b9aedcd6793ebb6bb75354810</t>
  </si>
  <si>
    <t>Corporate Risk Management &amp; Legal Enforcement</t>
  </si>
  <si>
    <t>476a9a7baee665b179173e5418f21306</t>
  </si>
  <si>
    <t>98782b8096bd852d90b441126a557850</t>
  </si>
  <si>
    <t>7d791e31f18a4887936a450aa24a76da</t>
  </si>
  <si>
    <t>d11375c2cf1fa95ce2592bc3753d39da</t>
  </si>
  <si>
    <t>3e13dc811e8600964490b0514abedfda</t>
  </si>
  <si>
    <t>6ad875b72c41b18f68926ef8fc20bd8c</t>
  </si>
  <si>
    <t>bb067fbb95a92863396c916849a87632</t>
  </si>
  <si>
    <t>756ff18d84bd387082c2438a539f0c86</t>
  </si>
  <si>
    <t>c7fe44d056147151b80e07a4b01db8a7</t>
  </si>
  <si>
    <t>d8d4dee2580543df2cefe3f674542f7d</t>
  </si>
  <si>
    <t>ab0bec223378ace2adbe82404b4c206c</t>
  </si>
  <si>
    <t>d53076c97a06f050146564b5a0c27ce8</t>
  </si>
  <si>
    <t>adb26be3cdb95382c688c8519550faff</t>
  </si>
  <si>
    <t>414b329459461c8fa00fe0411c3ac711</t>
  </si>
  <si>
    <t>81dd31b1671eabeadf6e81dac069b6cb</t>
  </si>
  <si>
    <t>69e66b7860ea5b684558207a04753621</t>
  </si>
  <si>
    <t>518a6e149e8c8da3d0ef421dc9775b95</t>
  </si>
  <si>
    <t>c872048ac3c30830f23578016deb316d</t>
  </si>
  <si>
    <t>2bea87835d707033f570076ad6d1c465</t>
  </si>
  <si>
    <t>7d0bbc373433dd7c6a502abffb811fe1</t>
  </si>
  <si>
    <t>Commodity trading</t>
  </si>
  <si>
    <t>6a8c38e857582fde578b03a5d54960f1</t>
  </si>
  <si>
    <t>Robotics Engineer</t>
  </si>
  <si>
    <t>9e242c7752480dd0cbd000a74c03a270</t>
  </si>
  <si>
    <t>b586b962662e5fd0a48aa0aa7c6431ea</t>
  </si>
  <si>
    <t>ae82ca90c68b22112b705104b8e5293d</t>
  </si>
  <si>
    <t>Programmerare</t>
  </si>
  <si>
    <t>af08ca9b9a3511f2ba84004aafc525ca</t>
  </si>
  <si>
    <t>9e215ac08e7558dea7feb3372dc3d8c1</t>
  </si>
  <si>
    <t>accountant</t>
  </si>
  <si>
    <t>ab72cc27d7fa34dde8ee95b2cfe7343b</t>
  </si>
  <si>
    <t>c8a17da5af8f9602ae3927e23ac30ad2</t>
  </si>
  <si>
    <t>cca63c060603aa8c82aecc3f6bd64b41</t>
  </si>
  <si>
    <t>9d179a572c16a2c9391d3c04f8d4f022</t>
  </si>
  <si>
    <t>Marketing Manager</t>
  </si>
  <si>
    <t>b7e5c5e31b8025ea9c6f02522a089b3e</t>
  </si>
  <si>
    <t>d8204eecc557a9046853e00f1ad9d3d4</t>
  </si>
  <si>
    <t>6172f68defca7735755009347622a6b5</t>
  </si>
  <si>
    <t>7f54746815f8ad46be4f83d4ef673c31</t>
  </si>
  <si>
    <t>1ae2776de35aa8c8872684317ba0d310</t>
  </si>
  <si>
    <t>6a9cf10d38dab1d9b2c4c08a292210e1</t>
  </si>
  <si>
    <t>d43dc0db1f7667fb0b20aef783805d1a</t>
  </si>
  <si>
    <t>34671171b8f415e2d5cc94b054e62402</t>
  </si>
  <si>
    <t>Works</t>
  </si>
  <si>
    <t>99c264b55b963914bb713b20d1f6d7a1</t>
  </si>
  <si>
    <t>PhD student</t>
  </si>
  <si>
    <t>ab0af638d1d6c48d02d7ea99985a94a1</t>
  </si>
  <si>
    <t>3dc680c8016dbafc583343cdca1fcf10</t>
  </si>
  <si>
    <t>72aa125efc3f67323a317b51befe5374</t>
  </si>
  <si>
    <t>4883487027b8a0e879744f12050b9b6a</t>
  </si>
  <si>
    <t>IT Technician</t>
  </si>
  <si>
    <t>bcd34f6421d3087904953997be1975fa</t>
  </si>
  <si>
    <t>79547be32a2b7613f28fa253def8b3f2</t>
  </si>
  <si>
    <t>Engineering</t>
  </si>
  <si>
    <t>5dc7e7f4c0d54c4684650f1276d733ec</t>
  </si>
  <si>
    <t>Owner</t>
  </si>
  <si>
    <t>e7f678a84df851342f821d0140be1d80</t>
  </si>
  <si>
    <t>Moonshiner</t>
  </si>
  <si>
    <t>3c35cf3851b12ad359684dde6ab28ce4</t>
  </si>
  <si>
    <t>0d517ed76a1575a1e8f8074c295d45b2</t>
  </si>
  <si>
    <t>d860a42e5189de688cc289164329e0c8</t>
  </si>
  <si>
    <t>4082b3a9434f214f76ceca29ccfbdf00</t>
  </si>
  <si>
    <t>Director of Technology</t>
  </si>
  <si>
    <t>21936b10efa4faf19cfc7573d663293b</t>
  </si>
  <si>
    <t>953323c71418cbfb60647b4b705c2851</t>
  </si>
  <si>
    <t>2af82b077c354ebcdbcaea3d8eb85013</t>
  </si>
  <si>
    <t>781c99875091d59d7411de2458a35220</t>
  </si>
  <si>
    <t>82ff59c3bc2a29718ed481bc1ad99ad4</t>
  </si>
  <si>
    <t>Data Analyst &amp; Software developer</t>
  </si>
  <si>
    <t>54760c829616a6ad6d0a347e88e9aeb4</t>
  </si>
  <si>
    <t>UX Designer</t>
  </si>
  <si>
    <t>958c6bec7b46c6baf490eb531a0a0223</t>
  </si>
  <si>
    <t>53ade31c0fa69e530bd79d0c71dbe60b</t>
  </si>
  <si>
    <t>e2379c35029c6c397fb426b03a760fbb</t>
  </si>
  <si>
    <t>e44c5663205c908e4c90b2384aa86ba0</t>
  </si>
  <si>
    <t>Machine Learning Engineer</t>
  </si>
  <si>
    <t>dee7603ebbd52dc35f2be2870eadb69f</t>
  </si>
  <si>
    <t>a70debf460325bc0f4a9356af811ec73</t>
  </si>
  <si>
    <t>Automation Systems Analyst</t>
  </si>
  <si>
    <t>2ed9b8c1a0a87b0cd467564ba7b48674</t>
  </si>
  <si>
    <t>Hedge Fund Quant Trader</t>
  </si>
  <si>
    <t>57e97146f3178893f1d863213a054b98</t>
  </si>
  <si>
    <t>e4c11cb3d0b4916955620087422878a5</t>
  </si>
  <si>
    <t>87fc707a151200c21d2e4a93a308367b</t>
  </si>
  <si>
    <t>fc10fe553b2c2ca6b38a13be6aa31018</t>
  </si>
  <si>
    <t>Wage slave at late stage capitalism</t>
  </si>
  <si>
    <t>58e9fbb5513486c5e10db8315ebba9c6</t>
  </si>
  <si>
    <t>51784815e1d5d079eaf7d1990a6f95e7</t>
  </si>
  <si>
    <t>27e24f05a90cf4420e69591326f250e7</t>
  </si>
  <si>
    <t>b18696d43a18f9d1156d4a10c6d74acb</t>
  </si>
  <si>
    <t>9c8d0099403d29b1f2148f125c137caa</t>
  </si>
  <si>
    <t>Engineering Intern</t>
  </si>
  <si>
    <t>caf408a17632fb96bd3111da302b044e</t>
  </si>
  <si>
    <t>Project Engineer</t>
  </si>
  <si>
    <t>0de35388231ccfc92f5c5972c95ebeae</t>
  </si>
  <si>
    <t>41725ef546507180eb9ca538fe6035be</t>
  </si>
  <si>
    <t>fe5333e3252d3d51261aa58835ad7918</t>
  </si>
  <si>
    <t>9621a1584faba5aae6169514a71440e2</t>
  </si>
  <si>
    <t>af5520054e8eee06a3e53ca79c897cf8</t>
  </si>
  <si>
    <t>6f7c13cc245212978f219a4615cc1aad</t>
  </si>
  <si>
    <t>9d844294c324ef43cb445e3ec959349b</t>
  </si>
  <si>
    <t>46814a7241a41a3c75c62206153c98e6</t>
  </si>
  <si>
    <t>Team Leader</t>
  </si>
  <si>
    <t>c3ee437f7318063d50ab7d0c47af428b</t>
  </si>
  <si>
    <t>d19a6fc31fb19b3d73dcb302b89546cb</t>
  </si>
  <si>
    <t>Customer Service Analyst</t>
  </si>
  <si>
    <t>Data Scientist</t>
  </si>
  <si>
    <t>dcdd976dc6a9dc33592941d7b37c0fbc</t>
  </si>
  <si>
    <t>599fc7d0cab0f20d0e5e0bb909125e6e</t>
  </si>
  <si>
    <t>6b83141d06b457fb4e31acb4f1eb4f56</t>
  </si>
  <si>
    <t>Senior Designer</t>
  </si>
  <si>
    <t>beda992bff4d11db9827286b944bcd0a</t>
  </si>
  <si>
    <t>d24af740b55dfdf143caf890877c3b86</t>
  </si>
  <si>
    <t>Exhibit Designer</t>
  </si>
  <si>
    <t>657d14b57834421190dbfb86088f0239</t>
  </si>
  <si>
    <t>3d100f3cc6893537de89fe3db21aa471</t>
  </si>
  <si>
    <t>7a22fbd76f9e9231441be8db72366fe8</t>
  </si>
  <si>
    <t>Graphic Designer</t>
  </si>
  <si>
    <t>637502c2c33eaef7503f0f820a6d65fa</t>
  </si>
  <si>
    <t>8fb59e2fa03710c511fd4595be00ff29</t>
  </si>
  <si>
    <t>703bd2a713157be3ee868b6c70ca0b62</t>
  </si>
  <si>
    <t>Licensed Real Estate Salesperon</t>
  </si>
  <si>
    <t>ebed4cacf0216eec63abc9be955e953a</t>
  </si>
  <si>
    <t>0d7f434fbfe43edd5fcf70c055f05a55</t>
  </si>
  <si>
    <t>c6cdc68b68cfc870c1075b2a561abfea</t>
  </si>
  <si>
    <t>f387a2f3950ea4171b9b4c62037d36e4</t>
  </si>
  <si>
    <t>Rechtsreferendar</t>
  </si>
  <si>
    <t>bc9f2bd044e3dbb3e86f97cb1fd9e926</t>
  </si>
  <si>
    <t>e31025c2d843c2b89a5f2222becf6935</t>
  </si>
  <si>
    <t>graphic designer</t>
  </si>
  <si>
    <t>3eb3480f2bdf464f029e05c11ab5a231</t>
  </si>
  <si>
    <t>d3966b7912c2933c5bd55ec5330640e7</t>
  </si>
  <si>
    <t>CR Writer</t>
  </si>
  <si>
    <t>aa1bbf9805bf5aecb7e6c19c7dd63980</t>
  </si>
  <si>
    <t>Professional Model and Writer</t>
  </si>
  <si>
    <t>5f1202f11d8126949ae054d4a547d0cd</t>
  </si>
  <si>
    <t>student</t>
  </si>
  <si>
    <t>9cda2a7d567b3755720636d3b06e1be1</t>
  </si>
  <si>
    <t>Technology Consultant</t>
  </si>
  <si>
    <t>c2528830fa6ebc6001276b238f7fe766</t>
  </si>
  <si>
    <t>Digital Project Manager</t>
  </si>
  <si>
    <t>0d4390c088f1d009ebfde10e41732a39</t>
  </si>
  <si>
    <t>c220b395f92e88c1ae4797cc1914451d</t>
  </si>
  <si>
    <t>73c2478a689ccd5f0228550f2a08ff73</t>
  </si>
  <si>
    <t>e52ac0eabc2f91120e116e81dff31e9b</t>
  </si>
  <si>
    <t>adbfe79d8ddb02cc4557f33e73d05b5e</t>
  </si>
  <si>
    <t>a4b793d372df15fb545ca8cdaeda1e98</t>
  </si>
  <si>
    <t>5cf49f6384a8f0479553e17171bbdd53</t>
  </si>
  <si>
    <t>Application Development Analyst</t>
  </si>
  <si>
    <t>648d5473c13b88ae41332a0aec689aaf</t>
  </si>
  <si>
    <t>Surgery Dept</t>
  </si>
  <si>
    <t>1db86a4045ab07583415068ff877a330</t>
  </si>
  <si>
    <t>02a7ad3f6f810ea8f87e64ed0b01b69c</t>
  </si>
  <si>
    <t>Product Engineer</t>
  </si>
  <si>
    <t>2446057f2a235c475e11c837dd3432c3</t>
  </si>
  <si>
    <t>8bebf794232e8a02fae485efee6adf04</t>
  </si>
  <si>
    <t>f59c6dc819abce7773b3f1d16cf7a7df</t>
  </si>
  <si>
    <t>89ea0c4a5e213e9a3803baefcdead6d5</t>
  </si>
  <si>
    <t>Medicinal Chemist</t>
  </si>
  <si>
    <t>c9874e5aa8d3195e1c767c7755fa2dc6</t>
  </si>
  <si>
    <t>d09c4fe215a34895d092aa4469c6a3ad</t>
  </si>
  <si>
    <t>9457bc7cd447fe08232a8c9d4ede91c3</t>
  </si>
  <si>
    <t>034b3aa648f3c446751ed35583cba991</t>
  </si>
  <si>
    <t>a1a5de4adcc0da3cbf8af1aaf6305316</t>
  </si>
  <si>
    <t>410ebe2a89343d83d66dbc109c7e2af9</t>
  </si>
  <si>
    <t>ba956b6db9bc18dd7ac17c90c589d4b9</t>
  </si>
  <si>
    <t>916cbb0c80e0ca6b2b3d4b6576ac52c6</t>
  </si>
  <si>
    <t>c7c9e37c59cb4b612b5889351a3c64a4</t>
  </si>
  <si>
    <t>Singapore</t>
  </si>
  <si>
    <t>b3bd98372fa6b9072cc52860581742b8</t>
  </si>
  <si>
    <t>6f8d4b4d6a07344e0ba1f5020f110cf7</t>
  </si>
  <si>
    <t>IT Helpdesk Engineer</t>
  </si>
  <si>
    <t>a8ae6cb298c42a07f5196b23949830e8</t>
  </si>
  <si>
    <t>4bc492e5a9626a4ba3e2ee8dcf7c73b1</t>
  </si>
  <si>
    <t>9c7021c01442dee08246ee559a6a2ff0</t>
  </si>
  <si>
    <t>It Helpdesk</t>
  </si>
  <si>
    <t>30b3ec623d0c91c7bdeb1122924fd491</t>
  </si>
  <si>
    <t>6143957529bb461e538b73deef73b1fb</t>
  </si>
  <si>
    <t>c83a223af895fe72dbf7f9d590659f45</t>
  </si>
  <si>
    <t>07288cdd5b93614048f6775f65f07be5</t>
  </si>
  <si>
    <t>79480eaad4771acec2332cbdb049a57c</t>
  </si>
  <si>
    <t>Management consultant</t>
  </si>
  <si>
    <t>3344657a51768dadf01803d4523111e8</t>
  </si>
  <si>
    <t>3c9b565c476cfc08971a522b0e49a3d3</t>
  </si>
  <si>
    <t>Big boy job</t>
  </si>
  <si>
    <t>94400c76b2a67e2f4fd4c7c21c1b4b2e</t>
  </si>
  <si>
    <t>b4c2ededd2cd6ca934c51b41c09c9792</t>
  </si>
  <si>
    <t>d6fb98c2854a66bd9b9b8ee9216431ba</t>
  </si>
  <si>
    <t>cb293255b4c8bb7805e19aadbebdd0a0</t>
  </si>
  <si>
    <t>9b92791f6cf5fd6ac53f4c524f8d0462</t>
  </si>
  <si>
    <t>professional dick rider</t>
  </si>
  <si>
    <t>99afa3908fc379c493f9a519068ed34f</t>
  </si>
  <si>
    <t>f3d44e56cf41a729008608440be71071</t>
  </si>
  <si>
    <t>Uruguay</t>
  </si>
  <si>
    <t>927c25117389efc9ed400593fdfa4f39</t>
  </si>
  <si>
    <t>d2a15d6616403635512f4d6404feac57</t>
  </si>
  <si>
    <t>993197e249309565b267eb178d40d298</t>
  </si>
  <si>
    <t>926b5a771a5bb8e60e2b421df890cf4a</t>
  </si>
  <si>
    <t>Graduating Student</t>
  </si>
  <si>
    <t>a4a1099987cadebac7fa90670020c7bc</t>
  </si>
  <si>
    <t>5f7c8a61abe49b94678ff9c9e0be6a5a</t>
  </si>
  <si>
    <t>deecc407f52d71794d8892a89dfccfbe</t>
  </si>
  <si>
    <t>70d7c251c9169ae3b93891640d86d422</t>
  </si>
  <si>
    <t>Senior in Computer Engineering</t>
  </si>
  <si>
    <t>175725c8236a6514c4afb606b5fb50c2</t>
  </si>
  <si>
    <t>Cyber Security Technician</t>
  </si>
  <si>
    <t>0f9ecf65b113bb8bbff9b1e997913eba</t>
  </si>
  <si>
    <t>6ea6aaad5be271c433d83b1a1959cde6</t>
  </si>
  <si>
    <t>735f47cf6ca1c55946fe1602e5db2340</t>
  </si>
  <si>
    <t>98b0577ca2ce1ebdf600d356bcb36f6e</t>
  </si>
  <si>
    <t>e0fc55fe6b0aa36e0f8e3ba894cabdb0</t>
  </si>
  <si>
    <t>ab7ae42f881d89d8f1f842a926bcae77</t>
  </si>
  <si>
    <t>Law Student</t>
  </si>
  <si>
    <t>13686a2ede867585d527e8b53e1f9c44</t>
  </si>
  <si>
    <t>fb16effa478e8bdb7abd446aa535c49f</t>
  </si>
  <si>
    <t>Owner, Serial Social IT Entrepreneur</t>
  </si>
  <si>
    <t>17ba997d0f1e58349429c1084729dfc5</t>
  </si>
  <si>
    <t>b21ead088603b074a50b1f1da92bf548</t>
  </si>
  <si>
    <t>Latvia</t>
  </si>
  <si>
    <t>50e1134349bc4378cd7b2e904bc0d7b9</t>
  </si>
  <si>
    <t>f332772c283a67966ac34a3828d4e764</t>
  </si>
  <si>
    <t>36d04ce118eb834ec946e52bac926337</t>
  </si>
  <si>
    <t>7a1583a90f15a019bda42d8ff51676f6</t>
  </si>
  <si>
    <t>ec84081bb1c7633d2f82448d86876aaa</t>
  </si>
  <si>
    <t>f8f2f0d09208b776a16a7ff11bbacf8d</t>
  </si>
  <si>
    <t>carer</t>
  </si>
  <si>
    <t>60c3a94181598f70b635fe33ea2770f0</t>
  </si>
  <si>
    <t>eac80be180cbe0c7f37a3c68203a04b4</t>
  </si>
  <si>
    <t>d22a435c59f33741a8309c1b92c93977</t>
  </si>
  <si>
    <t>ae07095ee64c0423353ee5991fad5de1</t>
  </si>
  <si>
    <t>Etykiety wierszy</t>
  </si>
  <si>
    <t>Men</t>
  </si>
  <si>
    <t>Women</t>
  </si>
  <si>
    <t>Etykiety kolumn</t>
  </si>
  <si>
    <t>Engagement</t>
  </si>
  <si>
    <t>Conversations</t>
  </si>
  <si>
    <t>Texts Sent</t>
  </si>
  <si>
    <t>Texts Received</t>
  </si>
  <si>
    <t>Swipe Right (LIKE)</t>
  </si>
  <si>
    <t>Swipe Left (PASS)</t>
  </si>
  <si>
    <t>Tinder Opened</t>
  </si>
  <si>
    <t>Days on Tinder</t>
  </si>
  <si>
    <t>Norm Engagement</t>
  </si>
  <si>
    <t>Engagement Type</t>
  </si>
  <si>
    <t>Conversation Intensity</t>
  </si>
  <si>
    <t>Norm Conversations</t>
  </si>
  <si>
    <t>Overal Usage</t>
  </si>
  <si>
    <t>Overal Usage Type</t>
  </si>
  <si>
    <t>Norm Swipes</t>
  </si>
  <si>
    <t>All Swipes</t>
  </si>
  <si>
    <t>Country</t>
  </si>
  <si>
    <t>Gender</t>
  </si>
  <si>
    <t>Age</t>
  </si>
  <si>
    <t>Matches</t>
  </si>
  <si>
    <t>Gender:</t>
  </si>
  <si>
    <t>In the dataset</t>
  </si>
  <si>
    <t>Average</t>
  </si>
  <si>
    <t xml:space="preserve">Matches </t>
  </si>
  <si>
    <t xml:space="preserve">Swipe Right (LIKE) </t>
  </si>
  <si>
    <t xml:space="preserve">Swipe Left (PASS) </t>
  </si>
  <si>
    <t xml:space="preserve">Texts Sent </t>
  </si>
  <si>
    <t xml:space="preserve">Texts Received </t>
  </si>
  <si>
    <t>Groups &amp; Stats</t>
  </si>
  <si>
    <t>Avg Age</t>
  </si>
  <si>
    <t>Avg Days on Tinder</t>
  </si>
  <si>
    <t>Avg Conversations</t>
  </si>
  <si>
    <t>4) Power User</t>
  </si>
  <si>
    <t>3) High Usage</t>
  </si>
  <si>
    <t>2) Standard Usage</t>
  </si>
  <si>
    <t>1) Low Usage</t>
  </si>
  <si>
    <t>User Count</t>
  </si>
  <si>
    <t>Percentage of users</t>
  </si>
  <si>
    <t>Job</t>
  </si>
  <si>
    <t>Age Group</t>
  </si>
  <si>
    <r>
      <rPr>
        <sz val="16"/>
        <color theme="1"/>
        <rFont val="Calibri"/>
        <family val="2"/>
        <charset val="238"/>
        <scheme val="minor"/>
      </rPr>
      <t xml:space="preserve">Tinder dataset* analysis:
</t>
    </r>
    <r>
      <rPr>
        <sz val="16"/>
        <color theme="8" tint="-0.249977111117893"/>
        <rFont val="Calibri"/>
        <family val="2"/>
        <charset val="238"/>
        <scheme val="minor"/>
      </rPr>
      <t>Men</t>
    </r>
    <r>
      <rPr>
        <sz val="16"/>
        <color theme="1"/>
        <rFont val="Calibri"/>
        <family val="2"/>
        <charset val="238"/>
        <scheme val="minor"/>
      </rPr>
      <t xml:space="preserve"> vs </t>
    </r>
    <r>
      <rPr>
        <sz val="16"/>
        <color rgb="FFF339BE"/>
        <rFont val="Calibri"/>
        <family val="2"/>
        <charset val="238"/>
        <scheme val="minor"/>
      </rPr>
      <t>Women</t>
    </r>
  </si>
  <si>
    <t>*includes a subset of Tinder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</si>
</sst>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sz val="12"/>
      <color theme="1"/>
      <name val="Calibri"/>
      <scheme val="minor"/>
    </font>
    <font>
      <sz val="12"/>
      <color theme="0"/>
      <name val="Calibri"/>
      <scheme val="minor"/>
    </font>
    <font>
      <sz val="16"/>
      <color theme="1"/>
      <name val="Calibri"/>
      <family val="2"/>
      <charset val="238"/>
      <scheme val="minor"/>
    </font>
    <font>
      <sz val="16"/>
      <color theme="8" tint="-0.249977111117893"/>
      <name val="Calibri"/>
      <family val="2"/>
      <charset val="238"/>
      <scheme val="minor"/>
    </font>
    <font>
      <sz val="16"/>
      <color rgb="FFF339BE"/>
      <name val="Calibri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B9E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2" fillId="6" borderId="0" xfId="0" applyFont="1" applyFill="1"/>
    <xf numFmtId="0" fontId="1" fillId="8" borderId="0" xfId="0" applyFont="1" applyFill="1" applyAlignment="1">
      <alignment horizontal="right"/>
    </xf>
    <xf numFmtId="0" fontId="1" fillId="8" borderId="0" xfId="0" applyFont="1" applyFill="1"/>
    <xf numFmtId="9" fontId="0" fillId="0" borderId="0" xfId="0" applyNumberFormat="1"/>
    <xf numFmtId="0" fontId="3" fillId="0" borderId="0" xfId="0" applyFont="1" applyAlignment="1">
      <alignment horizontal="right"/>
    </xf>
    <xf numFmtId="0" fontId="3" fillId="0" borderId="0" xfId="0" pivotButton="1" applyFont="1"/>
    <xf numFmtId="0" fontId="3" fillId="0" borderId="0" xfId="0" applyFont="1"/>
    <xf numFmtId="0" fontId="3" fillId="7" borderId="0" xfId="0" applyFont="1" applyFill="1" applyAlignment="1">
      <alignment horizontal="left"/>
    </xf>
    <xf numFmtId="0" fontId="3" fillId="9" borderId="0" xfId="0" applyFont="1" applyFill="1"/>
    <xf numFmtId="0" fontId="3" fillId="5" borderId="0" xfId="0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3" fontId="3" fillId="0" borderId="0" xfId="0" applyNumberFormat="1" applyFont="1"/>
    <xf numFmtId="3" fontId="4" fillId="10" borderId="0" xfId="0" applyNumberFormat="1" applyFont="1" applyFill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ny" xfId="0" builtinId="0"/>
  </cellStyles>
  <dxfs count="1848"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3" formatCode="0%"/>
    </dxf>
    <dxf>
      <numFmt numFmtId="3" formatCode="#,##0"/>
    </dxf>
    <dxf>
      <font>
        <color theme="0"/>
      </font>
    </dxf>
    <dxf>
      <alignment horizontal="center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ont>
        <color theme="0"/>
      </font>
    </dxf>
    <dxf>
      <alignment vertical="center"/>
    </dxf>
    <dxf>
      <alignment horizontal="center"/>
    </dxf>
    <dxf>
      <fill>
        <patternFill patternType="solid">
          <bgColor theme="8" tint="-0.249977111117893"/>
        </patternFill>
      </fill>
    </dxf>
    <dxf>
      <alignment horizontal="righ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fill>
        <patternFill patternType="solid">
          <bgColor rgb="FFFFB9E8"/>
        </patternFill>
      </fill>
    </dxf>
    <dxf>
      <fill>
        <patternFill patternType="solid">
          <bgColor rgb="FFFFB9E8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3" formatCode="#,##0"/>
    </dxf>
    <dxf>
      <alignment horizontal="center"/>
    </dxf>
    <dxf>
      <fill>
        <patternFill patternType="solid">
          <bgColor rgb="FFFFB9E8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8" tint="-0.249977111117893"/>
        </patternFill>
      </fill>
    </dxf>
    <dxf>
      <fill>
        <patternFill>
          <bgColor theme="8" tint="0.39997558519241921"/>
        </patternFill>
      </fill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-1"/>
    </dxf>
    <dxf>
      <alignment relativeIndent="1"/>
    </dxf>
    <dxf>
      <alignment relativeIndent="-1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FF33CC"/>
      </font>
    </dxf>
    <dxf>
      <fill>
        <patternFill patternType="solid">
          <fgColor theme="8" tint="0.79998168889431442"/>
          <bgColor theme="8" tint="0.79998168889431442"/>
        </patternFill>
      </fill>
      <border>
        <bottom style="thin">
          <color theme="8" tint="0.39997558519241921"/>
        </bottom>
      </border>
    </dxf>
    <dxf>
      <fill>
        <patternFill patternType="solid">
          <fgColor theme="8" tint="0.79998168889431442"/>
          <bgColor theme="8" tint="0.79998168889431442"/>
        </patternFill>
      </fill>
      <border>
        <bottom style="thin">
          <color theme="8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8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8"/>
        </top>
        <bottom style="thin">
          <color theme="8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8" tint="0.79998168889431442"/>
          <bgColor theme="8" tint="0.79998168889431442"/>
        </patternFill>
      </fill>
      <border>
        <top style="thin">
          <color theme="8" tint="0.39997558519241921"/>
        </top>
      </border>
    </dxf>
    <dxf>
      <font>
        <b/>
        <color theme="1"/>
      </font>
      <fill>
        <patternFill patternType="solid">
          <fgColor rgb="FFFFB9E8"/>
          <bgColor theme="8" tint="0.79992065187536243"/>
        </patternFill>
      </fill>
      <border>
        <bottom style="thin">
          <color theme="8" tint="0.39997558519241921"/>
        </bottom>
      </border>
    </dxf>
    <dxf>
      <fill>
        <patternFill>
          <fgColor rgb="FFFFB9E8"/>
        </patternFill>
      </fill>
    </dxf>
    <dxf>
      <font>
        <b/>
        <color theme="0"/>
      </font>
    </dxf>
    <dxf>
      <font>
        <b/>
        <color theme="0"/>
      </font>
    </dxf>
    <dxf>
      <font>
        <b/>
        <color theme="0"/>
      </font>
      <fill>
        <patternFill patternType="solid">
          <fgColor theme="7" tint="-0.249977111117893"/>
          <bgColor theme="7" tint="-0.249977111117893"/>
        </patternFill>
      </fill>
    </dxf>
    <dxf>
      <border>
        <bottom style="thin">
          <color theme="7" tint="0.39997558519241921"/>
        </bottom>
      </border>
    </dxf>
    <dxf>
      <font>
        <b/>
        <color theme="0"/>
      </font>
    </dxf>
    <dxf>
      <fill>
        <patternFill patternType="solid">
          <fgColor theme="7" tint="-0.249977111117893"/>
          <bgColor theme="7" tint="-0.249977111117893"/>
        </patternFill>
      </fill>
      <border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border>
        <left style="thin">
          <color theme="7" tint="0.39997558519241921"/>
        </left>
        <right style="thin">
          <color theme="7" tint="0.39997558519241921"/>
        </right>
      </border>
    </dxf>
    <dxf>
      <border>
        <top style="thin">
          <color theme="7" tint="0.39997558519241921"/>
        </top>
        <bottom style="thin">
          <color theme="7" tint="0.39997558519241921"/>
        </bottom>
      </border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b/>
        <color theme="0"/>
      </font>
      <fill>
        <patternFill patternType="solid">
          <fgColor theme="1"/>
          <bgColor theme="1"/>
        </patternFill>
      </fill>
    </dxf>
    <dxf>
      <font>
        <color auto="1"/>
      </font>
      <fill>
        <patternFill patternType="solid">
          <fgColor rgb="FFF339BE"/>
          <bgColor rgb="FFF339BE"/>
        </patternFill>
      </fill>
    </dxf>
  </dxfs>
  <tableStyles count="3" defaultTableStyle="TableStyleMedium2" defaultPivotStyle="PivotStyleLight16">
    <tableStyle name="Głęboki różowy" table="0" count="11" xr9:uid="{C13DD093-9874-4A7F-93F4-6889C568E328}">
      <tableStyleElement type="wholeTable" dxfId="1847"/>
      <tableStyleElement type="headerRow" dxfId="1846"/>
      <tableStyleElement type="totalRow" dxfId="1845"/>
      <tableStyleElement type="firstRowStripe" dxfId="1844"/>
      <tableStyleElement type="firstColumnStripe" dxfId="1843"/>
      <tableStyleElement type="firstSubtotalColumn" dxfId="1842"/>
      <tableStyleElement type="firstSubtotalRow" dxfId="1841"/>
      <tableStyleElement type="firstColumnSubheading" dxfId="1840"/>
      <tableStyleElement type="firstRowSubheading" dxfId="1839"/>
      <tableStyleElement type="secondRowSubheading" dxfId="1838"/>
      <tableStyleElement type="pageFieldLabels" dxfId="1837"/>
    </tableStyle>
    <tableStyle name="PivotStyleLight20 2" table="0" count="12" xr9:uid="{F99044F3-D076-45DE-A132-6A031F4CFA31}">
      <tableStyleElement type="wholeTable" dxfId="1836"/>
      <tableStyleElement type="headerRow" dxfId="1835"/>
      <tableStyleElement type="totalRow" dxfId="1834"/>
      <tableStyleElement type="firstRowStripe" dxfId="1833"/>
      <tableStyleElement type="firstColumnStripe" dxfId="1832"/>
      <tableStyleElement type="firstSubtotalColumn" dxfId="1831"/>
      <tableStyleElement type="firstSubtotalRow" dxfId="1830"/>
      <tableStyleElement type="secondSubtotalRow" dxfId="1829"/>
      <tableStyleElement type="firstRowSubheading" dxfId="1828"/>
      <tableStyleElement type="secondRowSubheading" dxfId="1827"/>
      <tableStyleElement type="pageFieldLabels" dxfId="1826"/>
      <tableStyleElement type="pageFieldValues" dxfId="1825"/>
    </tableStyle>
    <tableStyle name="Styl tabeli przestawnej 1" table="0" count="1" xr9:uid="{8478E20A-4EDA-4515-9313-E89AC410004E}">
      <tableStyleElement type="wholeTable" dxfId="1824"/>
    </tableStyle>
  </tableStyles>
  <colors>
    <mruColors>
      <color rgb="FFF16F78"/>
      <color rgb="FFED517E"/>
      <color rgb="FFCA1E3B"/>
      <color rgb="FFF339BE"/>
      <color rgb="FFFFB9E8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[Tinder Analysis.xlsx]summary!Tabela przestawna8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solidFill>
                  <a:schemeClr val="tx1"/>
                </a:solidFill>
              </a:rPr>
              <a:t>Distribution of Usage Types by Gender</a:t>
            </a:r>
            <a:endParaRPr lang="pl-PL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B9E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summary!$T$11:$T$12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summary!$S$13:$S$16</c:f>
              <c:strCache>
                <c:ptCount val="4"/>
                <c:pt idx="0">
                  <c:v>1) Low Usage</c:v>
                </c:pt>
                <c:pt idx="1">
                  <c:v>2) Standard Usage</c:v>
                </c:pt>
                <c:pt idx="2">
                  <c:v>3) High Usage</c:v>
                </c:pt>
                <c:pt idx="3">
                  <c:v>4) Power User</c:v>
                </c:pt>
              </c:strCache>
            </c:strRef>
          </c:cat>
          <c:val>
            <c:numRef>
              <c:f>summary!$T$13:$T$16</c:f>
              <c:numCache>
                <c:formatCode>0%</c:formatCode>
                <c:ptCount val="4"/>
                <c:pt idx="0">
                  <c:v>0.10588235294117647</c:v>
                </c:pt>
                <c:pt idx="1">
                  <c:v>0.21058823529411766</c:v>
                </c:pt>
                <c:pt idx="2">
                  <c:v>0.5894117647058823</c:v>
                </c:pt>
                <c:pt idx="3">
                  <c:v>9.4117647058823528E-2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919-4A97-92CF-8218974B07C2}"/>
            </c:ext>
          </c:extLst>
        </c:ser>
        <c:ser>
          <c:idx val="1"/>
          <c:order val="1"/>
          <c:tx>
            <c:strRef>
              <c:f>summary!$U$11:$U$12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rgbClr val="FFB9E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summary!$S$13:$S$16</c:f>
              <c:strCache>
                <c:ptCount val="4"/>
                <c:pt idx="0">
                  <c:v>1) Low Usage</c:v>
                </c:pt>
                <c:pt idx="1">
                  <c:v>2) Standard Usage</c:v>
                </c:pt>
                <c:pt idx="2">
                  <c:v>3) High Usage</c:v>
                </c:pt>
                <c:pt idx="3">
                  <c:v>4) Power User</c:v>
                </c:pt>
              </c:strCache>
            </c:strRef>
          </c:cat>
          <c:val>
            <c:numRef>
              <c:f>summary!$U$13:$U$16</c:f>
              <c:numCache>
                <c:formatCode>0%</c:formatCode>
                <c:ptCount val="4"/>
                <c:pt idx="0">
                  <c:v>6.1538461538461542E-2</c:v>
                </c:pt>
                <c:pt idx="1">
                  <c:v>0.13076923076923078</c:v>
                </c:pt>
                <c:pt idx="2">
                  <c:v>0.66923076923076918</c:v>
                </c:pt>
                <c:pt idx="3">
                  <c:v>0.13846153846153847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FC-4A97-A405-866DBD9AE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9834928"/>
        <c:axId val="669831568"/>
      </c:barChart>
      <c:catAx>
        <c:axId val="6698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9831568"/>
        <c:crosses val="autoZero"/>
        <c:auto val="1"/>
        <c:lblAlgn val="ctr"/>
        <c:lblOffset val="100"/>
        <c:noMultiLvlLbl val="0"/>
      </c:catAx>
      <c:valAx>
        <c:axId val="66983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698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</a:defRPr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88605</xdr:rowOff>
    </xdr:from>
    <xdr:to>
      <xdr:col>2</xdr:col>
      <xdr:colOff>378876</xdr:colOff>
      <xdr:row>12</xdr:row>
      <xdr:rowOff>62233</xdr:rowOff>
    </xdr:to>
    <xdr:pic>
      <xdr:nvPicPr>
        <xdr:cNvPr id="4" name="Obraz 3" descr="Logotipo do aplicativo Tinder PNG transparente - StickPNG">
          <a:extLst>
            <a:ext uri="{FF2B5EF4-FFF2-40B4-BE49-F238E27FC236}">
              <a16:creationId xmlns:a16="http://schemas.microsoft.com/office/drawing/2014/main" id="{737CAC04-3A23-BA09-058F-821B57C226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2627" t="17938" r="14322" b="17890"/>
        <a:stretch>
          <a:fillRect/>
        </a:stretch>
      </xdr:blipFill>
      <xdr:spPr bwMode="auto">
        <a:xfrm>
          <a:off x="0" y="88605"/>
          <a:ext cx="2726899" cy="16925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448235</xdr:colOff>
      <xdr:row>15</xdr:row>
      <xdr:rowOff>17930</xdr:rowOff>
    </xdr:from>
    <xdr:to>
      <xdr:col>15</xdr:col>
      <xdr:colOff>349623</xdr:colOff>
      <xdr:row>36</xdr:row>
      <xdr:rowOff>8965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51A717E0-6134-0BC7-2487-1377B2EBA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155425</xdr:colOff>
      <xdr:row>13</xdr:row>
      <xdr:rowOff>17721</xdr:rowOff>
    </xdr:from>
    <xdr:to>
      <xdr:col>2</xdr:col>
      <xdr:colOff>540489</xdr:colOff>
      <xdr:row>36</xdr:row>
      <xdr:rowOff>106325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Job">
              <a:extLst>
                <a:ext uri="{FF2B5EF4-FFF2-40B4-BE49-F238E27FC236}">
                  <a16:creationId xmlns:a16="http://schemas.microsoft.com/office/drawing/2014/main" id="{E0BD218C-2CC6-0131-6ACB-F8FA2C4C27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Job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425" y="1931188"/>
              <a:ext cx="2738797" cy="43727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724538</xdr:colOff>
      <xdr:row>16</xdr:row>
      <xdr:rowOff>66346</xdr:rowOff>
    </xdr:from>
    <xdr:to>
      <xdr:col>4</xdr:col>
      <xdr:colOff>805219</xdr:colOff>
      <xdr:row>25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ge Group">
              <a:extLst>
                <a:ext uri="{FF2B5EF4-FFF2-40B4-BE49-F238E27FC236}">
                  <a16:creationId xmlns:a16="http://schemas.microsoft.com/office/drawing/2014/main" id="{5D1FC43E-B83B-DEFE-D866-6A858092E8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8271" y="2369279"/>
              <a:ext cx="2493681" cy="18672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11</xdr:col>
      <xdr:colOff>26582</xdr:colOff>
      <xdr:row>0</xdr:row>
      <xdr:rowOff>180976</xdr:rowOff>
    </xdr:from>
    <xdr:to>
      <xdr:col>15</xdr:col>
      <xdr:colOff>354418</xdr:colOff>
      <xdr:row>12</xdr:row>
      <xdr:rowOff>150629</xdr:rowOff>
    </xdr:to>
    <xdr:sp macro="" textlink="">
      <xdr:nvSpPr>
        <xdr:cNvPr id="8" name="Prostokąt 7">
          <a:extLst>
            <a:ext uri="{FF2B5EF4-FFF2-40B4-BE49-F238E27FC236}">
              <a16:creationId xmlns:a16="http://schemas.microsoft.com/office/drawing/2014/main" id="{4B222F7A-DB77-FDD9-DF8A-67F8F7C56913}"/>
            </a:ext>
          </a:extLst>
        </xdr:cNvPr>
        <xdr:cNvSpPr/>
      </xdr:nvSpPr>
      <xdr:spPr>
        <a:xfrm>
          <a:off x="11542307" y="180976"/>
          <a:ext cx="3899711" cy="1731778"/>
        </a:xfrm>
        <a:prstGeom prst="rect">
          <a:avLst/>
        </a:prstGeom>
        <a:solidFill>
          <a:schemeClr val="bg1"/>
        </a:solidFill>
        <a:ln w="19050">
          <a:solidFill>
            <a:srgbClr val="ED517E"/>
          </a:solidFill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l-PL" sz="1200"/>
        </a:p>
        <a:p>
          <a:pPr algn="l"/>
          <a:endParaRPr lang="pl-PL" sz="1200"/>
        </a:p>
        <a:p>
          <a:pPr algn="l"/>
          <a:r>
            <a:rPr lang="pl-P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 Segment Distribution:</a:t>
          </a:r>
          <a:r>
            <a:rPr lang="pl-PL" sz="1200"/>
            <a:t> Women clearly dominate the High and Power User groups (</a:t>
          </a:r>
          <a:r>
            <a:rPr lang="pl-PL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81</a:t>
          </a:r>
          <a:r>
            <a:rPr lang="pl-PL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%</a:t>
          </a:r>
          <a:r>
            <a:rPr lang="pl-PL" sz="1200"/>
            <a:t> vs</a:t>
          </a:r>
          <a:r>
            <a:rPr lang="pl-PL" sz="1200" baseline="0"/>
            <a:t> 68%</a:t>
          </a:r>
          <a:r>
            <a:rPr lang="pl-PL" sz="1200"/>
            <a:t> for men).</a:t>
          </a:r>
        </a:p>
        <a:p>
          <a:pPr algn="l"/>
          <a:r>
            <a:rPr lang="pl-PL" sz="1200" b="1"/>
            <a:t>--&gt; Match Efficiency:</a:t>
          </a:r>
          <a:r>
            <a:rPr lang="pl-PL" sz="1200"/>
            <a:t> Women secure way more matches despite swiping "Right" exponentially less than men.</a:t>
          </a:r>
        </a:p>
        <a:p>
          <a:pPr algn="l"/>
          <a:r>
            <a:rPr lang="pl-PL" sz="1200" b="1"/>
            <a:t>--&gt; Texting Dynamics:</a:t>
          </a:r>
          <a:r>
            <a:rPr lang="pl-PL" sz="1200"/>
            <a:t> Men send more messages than they receive, while women receive significantly more than they send.</a:t>
          </a:r>
        </a:p>
      </xdr:txBody>
    </xdr:sp>
    <xdr:clientData/>
  </xdr:twoCellAnchor>
  <xdr:twoCellAnchor>
    <xdr:from>
      <xdr:col>11</xdr:col>
      <xdr:colOff>45085</xdr:colOff>
      <xdr:row>0</xdr:row>
      <xdr:rowOff>190500</xdr:rowOff>
    </xdr:from>
    <xdr:to>
      <xdr:col>15</xdr:col>
      <xdr:colOff>347134</xdr:colOff>
      <xdr:row>4</xdr:row>
      <xdr:rowOff>165144</xdr:rowOff>
    </xdr:to>
    <xdr:sp macro="" textlink="">
      <xdr:nvSpPr>
        <xdr:cNvPr id="9" name="Prostokąt 8">
          <a:extLst>
            <a:ext uri="{FF2B5EF4-FFF2-40B4-BE49-F238E27FC236}">
              <a16:creationId xmlns:a16="http://schemas.microsoft.com/office/drawing/2014/main" id="{1B4FE65A-7E8D-9E90-C17F-C78EAE5E1207}"/>
            </a:ext>
          </a:extLst>
        </xdr:cNvPr>
        <xdr:cNvSpPr/>
      </xdr:nvSpPr>
      <xdr:spPr>
        <a:xfrm>
          <a:off x="11585152" y="190500"/>
          <a:ext cx="3866515" cy="330244"/>
        </a:xfrm>
        <a:prstGeom prst="rect">
          <a:avLst/>
        </a:prstGeom>
        <a:solidFill>
          <a:srgbClr val="ED517E"/>
        </a:solidFill>
        <a:ln w="19050">
          <a:solidFill>
            <a:srgbClr val="ED517E"/>
          </a:solidFill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l-PL" sz="1300" b="1">
              <a:solidFill>
                <a:schemeClr val="tx1"/>
              </a:solidFill>
            </a:rPr>
            <a:t>Key findings discovered within the analyzed dataset: </a:t>
          </a:r>
        </a:p>
      </xdr:txBody>
    </xdr:sp>
    <xdr:clientData/>
  </xdr:twoCellAnchor>
  <xdr:twoCellAnchor editAs="oneCell">
    <xdr:from>
      <xdr:col>3</xdr:col>
      <xdr:colOff>19050</xdr:colOff>
      <xdr:row>28</xdr:row>
      <xdr:rowOff>47625</xdr:rowOff>
    </xdr:from>
    <xdr:to>
      <xdr:col>3</xdr:col>
      <xdr:colOff>1200150</xdr:colOff>
      <xdr:row>34</xdr:row>
      <xdr:rowOff>28575</xdr:rowOff>
    </xdr:to>
    <xdr:pic>
      <xdr:nvPicPr>
        <xdr:cNvPr id="11" name="Grafika 10" descr="Żarówka">
          <a:extLst>
            <a:ext uri="{FF2B5EF4-FFF2-40B4-BE49-F238E27FC236}">
              <a16:creationId xmlns:a16="http://schemas.microsoft.com/office/drawing/2014/main" id="{5D441AD1-D8A2-D7F9-CA3E-E9108258F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524250" y="4810125"/>
          <a:ext cx="1181100" cy="11811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nremGorka" refreshedDate="46177.62240266204" createdVersion="8" refreshedVersion="8" minRefreshableVersion="3" recordCount="980" xr:uid="{52881C31-37E6-4F14-B99E-DFABE386520D}">
  <cacheSource type="worksheet">
    <worksheetSource name="tinder"/>
  </cacheSource>
  <cacheFields count="27">
    <cacheField name="_id" numFmtId="0">
      <sharedItems/>
    </cacheField>
    <cacheField name="Tinder Opened" numFmtId="0">
      <sharedItems containsSemiMixedTypes="0" containsString="0" containsNumber="1" containsInteger="1" minValue="2" maxValue="92628"/>
    </cacheField>
    <cacheField name="Days on Tinder" numFmtId="0">
      <sharedItems containsSemiMixedTypes="0" containsString="0" containsNumber="1" containsInteger="1" minValue="1" maxValue="2319"/>
    </cacheField>
    <cacheField name="Engagement" numFmtId="0">
      <sharedItems containsSemiMixedTypes="0" containsString="0" containsNumber="1" minValue="1.5" maxValue="199"/>
    </cacheField>
    <cacheField name="Norm Engagement" numFmtId="0">
      <sharedItems containsSemiMixedTypes="0" containsString="0" containsNumber="1" minValue="7.537688442211055E-3" maxValue="1"/>
    </cacheField>
    <cacheField name="Engagement Type" numFmtId="0">
      <sharedItems/>
    </cacheField>
    <cacheField name="Conversations" numFmtId="0">
      <sharedItems containsSemiMixedTypes="0" containsString="0" containsNumber="1" containsInteger="1" minValue="0" maxValue="12642"/>
    </cacheField>
    <cacheField name="Conversation Intensity" numFmtId="0">
      <sharedItems containsSemiMixedTypes="0" containsString="0" containsNumber="1" minValue="0" maxValue="60.5"/>
    </cacheField>
    <cacheField name="Norm Conversations" numFmtId="0">
      <sharedItems containsSemiMixedTypes="0" containsString="0" containsNumber="1" minValue="0" maxValue="1"/>
    </cacheField>
    <cacheField name="Overal Usage" numFmtId="0">
      <sharedItems containsSemiMixedTypes="0" containsString="0" containsNumber="1" minValue="1.6751596872097447E-2" maxValue="2.5129796941754461"/>
    </cacheField>
    <cacheField name="Overal Usage Type" numFmtId="0">
      <sharedItems count="8">
        <s v="4) Power User"/>
        <s v="3) High Usage"/>
        <s v="2) Standard Usage"/>
        <s v="1) Low Usage"/>
        <s v="Power User" u="1"/>
        <s v="High Usage" u="1"/>
        <s v="Standard Usage" u="1"/>
        <s v="Low Usage" u="1"/>
      </sharedItems>
    </cacheField>
    <cacheField name="nrOfOneMessageConversations" numFmtId="0">
      <sharedItems containsSemiMixedTypes="0" containsString="0" containsNumber="1" containsInteger="1" minValue="0" maxValue="4807"/>
    </cacheField>
    <cacheField name="nrOfGhostingsAfterInitialMessage" numFmtId="0">
      <sharedItems containsSemiMixedTypes="0" containsString="0" containsNumber="1" containsInteger="1" minValue="0" maxValue="4408"/>
    </cacheField>
    <cacheField name="Matches" numFmtId="0">
      <sharedItems containsSemiMixedTypes="0" containsString="0" containsNumber="1" containsInteger="1" minValue="0" maxValue="23758"/>
    </cacheField>
    <cacheField name="Texts Sent" numFmtId="0">
      <sharedItems containsSemiMixedTypes="0" containsString="0" containsNumber="1" containsInteger="1" minValue="0" maxValue="61881"/>
    </cacheField>
    <cacheField name="Texts Received" numFmtId="0">
      <sharedItems containsSemiMixedTypes="0" containsString="0" containsNumber="1" containsInteger="1" minValue="0" maxValue="56173"/>
    </cacheField>
    <cacheField name="Norm Swipes" numFmtId="0">
      <sharedItems containsSemiMixedTypes="0" containsString="0" containsNumber="1" minValue="0" maxValue="1"/>
    </cacheField>
    <cacheField name="All Swipes" numFmtId="0">
      <sharedItems containsSemiMixedTypes="0" containsString="0" containsNumber="1" containsInteger="1" minValue="0" maxValue="848816"/>
    </cacheField>
    <cacheField name="Swipe Right (LIKE)" numFmtId="0">
      <sharedItems containsSemiMixedTypes="0" containsString="0" containsNumber="1" containsInteger="1" minValue="0" maxValue="705781"/>
    </cacheField>
    <cacheField name="Swipe Left (PASS)" numFmtId="0">
      <sharedItems containsSemiMixedTypes="0" containsString="0" containsNumber="1" containsInteger="1" minValue="0" maxValue="550653"/>
    </cacheField>
    <cacheField name="Country" numFmtId="0">
      <sharedItems/>
    </cacheField>
    <cacheField name="createDate" numFmtId="14">
      <sharedItems containsSemiMixedTypes="0" containsNonDate="0" containsDate="1" containsString="0" minDate="2013-02-19T00:00:00" maxDate="2021-04-15T00:00:00"/>
    </cacheField>
    <cacheField name="education" numFmtId="0">
      <sharedItems/>
    </cacheField>
    <cacheField name="Gender" numFmtId="0">
      <sharedItems count="2">
        <s v="Men"/>
        <s v="Women"/>
      </sharedItems>
    </cacheField>
    <cacheField name="Job" numFmtId="0">
      <sharedItems count="247">
        <s v="Plant Engineer"/>
        <s v="False"/>
        <s v="unknown"/>
        <s v="Software Engineer"/>
        <s v="Writer"/>
        <s v="Entrepreneur"/>
        <s v="Professor"/>
        <s v="30 euros away from collecting bottles"/>
        <s v="App Developer"/>
        <s v="Paralegal"/>
        <s v="PhD Student"/>
        <s v="IT-tech"/>
        <s v="Prediction Market Trader"/>
        <s v="Biomedical Engineering Student"/>
        <s v="Manufacturing"/>
        <s v="Lifeguard"/>
        <s v="Developer"/>
        <s v="Software developer"/>
        <s v="Cadet"/>
        <s v="co-founder, product developer"/>
        <s v="Pilot"/>
        <s v="Hardware Developer"/>
        <s v="Barista"/>
        <s v="Dental Student"/>
        <s v="Sales"/>
        <s v="Digital nomad"/>
        <s v="Investor"/>
        <s v="Student"/>
        <s v="Engineering Manager"/>
        <s v="System Developer"/>
        <s v="Med Student"/>
        <s v="IT Marketeer"/>
        <s v="Property Management"/>
        <s v="Self-Employed"/>
        <s v="Web Developer"/>
        <s v="Professional Model and Writer"/>
        <s v="Software Engineer Intern"/>
        <s v="History Student"/>
        <s v="Accountant"/>
        <s v="philosophie, design, theater"/>
        <s v="Product Owner en Mede-eigenaar"/>
        <s v="Engineer"/>
        <s v="Pharmaceutical Analyst"/>
        <s v="Dog Walker"/>
        <s v="Manager"/>
        <s v="Technical Software Architect"/>
        <s v="Brow Waxing Expert"/>
        <s v="Worker (Wage Earner)"/>
        <s v="Senior TPM"/>
        <s v="Research Technician"/>
        <s v="Clinical Social Worker"/>
        <s v="Private Equity"/>
        <s v="Architecte IT"/>
        <s v="Sidi"/>
        <s v="Management consultant"/>
        <s v="Chemical Engineer"/>
        <s v="Wage slave at late stage capitalism"/>
        <s v="IT Engineer"/>
        <s v="Civil Engineer"/>
        <s v="In the army"/>
        <s v="Grad Student"/>
        <s v="Retail worker"/>
        <s v="Owner, Serial Social IT Entrepreneur"/>
        <s v="professional dick rider"/>
        <s v="PhD Chemist"/>
        <s v="carer"/>
        <s v="Servicedesk"/>
        <s v="System Engineer"/>
        <s v="Marketing &amp; Business Development Manager"/>
        <s v="Robotics Engineer"/>
        <s v="Full Stack Web Developer"/>
        <s v="Operations Manager"/>
        <s v="a PM of sorts"/>
        <s v="Android Developer"/>
        <s v="Medical Care Technician"/>
        <s v="Programmerare"/>
        <s v="Senior in Computer Engineering"/>
        <s v="Engineering"/>
        <s v="Ethical Hacker"/>
        <s v="Research Assistant"/>
        <s v="Mechanical Engineer"/>
        <s v="Computer Science Student"/>
        <s v="Works"/>
        <s v="Engineering Intern"/>
        <s v="Office Manager"/>
        <s v="Surgery Dept"/>
        <s v="concept artist"/>
        <s v="Plant Mechanic"/>
        <s v="Ski Instructor - Entrepreneur"/>
        <s v="It Helpdesk"/>
        <s v="Student generalist 3D, graphic design"/>
        <s v="Financial Markets"/>
        <s v="Audit Associate"/>
        <s v="Graduate Student"/>
        <s v="Producer"/>
        <s v="IT Helpdesk Engineer"/>
        <s v="Analyst"/>
        <s v="Senior Designer"/>
        <s v="Project Development Officer"/>
        <s v="Marketing Intern"/>
        <s v="Business Manager"/>
        <s v="Engineer, Axe throwing instructor"/>
        <s v="Product designer"/>
        <s v="Software Engineering Manager"/>
        <s v="Website Owner"/>
        <s v="Commodity trading"/>
        <s v="Data Analyst &amp; Developer"/>
        <s v="Technical Artist"/>
        <s v="Senior Software Engineer"/>
        <s v="Licensed Real Estate Salesperon"/>
        <s v="Paraeducator"/>
        <s v="Fusion Engineer"/>
        <s v="Etudiant"/>
        <s v="Executive Director"/>
        <s v="Marketing Manager"/>
        <s v="Temporarily in Production"/>
        <s v="Server"/>
        <s v="Web Designer, CRO"/>
        <s v="Astronaut"/>
        <s v="DevOps Engineer"/>
        <s v="Physician"/>
        <s v="Management"/>
        <s v="Corporate Risk Management &amp; Legal Enforcement"/>
        <s v="Financial Tech"/>
        <s v="Editor"/>
        <s v="Exhibit Designer"/>
        <s v="Pfizer Vaccine Distributor"/>
        <s v="Environmental Science student"/>
        <s v="Konsulent"/>
        <s v="Founding Designer"/>
        <s v="Biologielaborant"/>
        <s v="Electromancer"/>
        <s v="Swim instructor"/>
        <s v="Video Engineer"/>
        <s v="Software engeneer"/>
        <s v="Photographer"/>
        <s v="Energy Trader"/>
        <s v="Product Engineer"/>
        <s v="CR Writer"/>
        <s v="Property Manager"/>
        <s v="Admin"/>
        <s v="Digital Project Manager"/>
        <s v="very tall"/>
        <s v="IT Technician"/>
        <s v="Interior architect"/>
        <s v="I deal with tourists"/>
        <s v="World Class Nap Taker"/>
        <s v="Metal Fabrication"/>
        <s v="Statistic Processing Officer"/>
        <s v="systems engineer"/>
        <s v="Graduating Student"/>
        <s v="Systemvetare"/>
        <s v="Music Project Manager"/>
        <s v="Web Dev"/>
        <s v="Owner"/>
        <s v="Lyft"/>
        <s v="Researcher"/>
        <s v="3d animator"/>
        <s v="Industrial Engineering Student"/>
        <s v="Specialty Service"/>
        <s v="Robot"/>
        <s v="Law Student"/>
        <s v="Truss Designer"/>
        <s v="Sound Engineer"/>
        <s v="Product Manager"/>
        <s v="Big boy job"/>
        <s v="Trust Me, i am a Engineer"/>
        <s v="Associate Program Manager"/>
        <s v="Customer Service Analyst"/>
        <s v="Marketing"/>
        <s v="Teacher"/>
        <s v="EMEA Project Manager"/>
        <s v="Snake Charmer but not really"/>
        <s v="Medicinal Chemist"/>
        <s v="Sr. Director"/>
        <s v="Game Developer"/>
        <s v="Graphic Designer"/>
        <s v="Graphiste Motion Designer"/>
        <s v="Consultant"/>
        <s v="ig. okkedries"/>
        <s v="Student, Research Assistant"/>
        <s v="Data Analyst"/>
        <s v="Content marketing consultant"/>
        <s v="woke bae"/>
        <s v="Front-End Developer, Future Psychologist"/>
        <s v="Intern"/>
        <s v="CEO"/>
        <s v="Service Coordinator"/>
        <s v="Technology Analyst"/>
        <s v="Speech pathologist"/>
        <s v="Automation Systems Analyst"/>
        <s v="Team Leader"/>
        <s v="Therapist"/>
        <s v="Apprentice Engineer"/>
        <s v="Planarkitekt, Stadsplanerare"/>
        <s v="Project Engineer"/>
        <s v="Trucker"/>
        <s v="Machine Learning Engineer"/>
        <s v="Security Officer"/>
        <s v="Partner"/>
        <s v="Electrician"/>
        <s v="PhD in Computational Biology"/>
        <s v="Village Idiot"/>
        <s v="Scientist"/>
        <s v="Home Theater Agent"/>
        <s v="Ingenieur"/>
        <s v="IT Specialist for System Integration"/>
        <s v="Master International Business"/>
        <s v="Media Analyst"/>
        <s v="Application Development Analyst"/>
        <s v="IT Security Analyst"/>
        <s v="Racing Mechanic"/>
        <s v="Cyber Security Technician"/>
        <s v="Senior Innovation Manager"/>
        <s v="Softwaredeveloper"/>
        <s v="Technical Intern"/>
        <s v="Director of Technology"/>
        <s v="UX Designer"/>
        <s v="Website Programmeur"/>
        <s v="Materials Engineer"/>
        <s v="Receptionist"/>
        <s v="Office Production Assistant"/>
        <s v="Computer Engineer"/>
        <s v="poker player"/>
        <s v="McDonald's"/>
        <s v="Video Production"/>
        <s v="Master's Student in Computer Science"/>
        <s v="Hedge Fund Quant Trader"/>
        <s v="Moonshiner"/>
        <s v="Operations Research Analyst"/>
        <s v="Driver"/>
        <s v="Mycologist"/>
        <s v="Public Service"/>
        <s v="Technology Consultant"/>
        <s v="Computer Science"/>
        <s v="Finance"/>
        <s v="Research &amp; Development Engineer"/>
        <s v="Live Video Engineer"/>
        <s v="Scrummaster- TECDP Lead Analyst"/>
        <s v="Chemist"/>
        <s v="Rechtsreferendar"/>
        <s v="Data Scientist"/>
        <s v="Macgyver"/>
        <s v="Webdev"/>
        <s v="Webdesigner &amp; Developer"/>
        <s v="Peasant Manager"/>
        <s v="Data Analyst &amp; Software developer"/>
      </sharedItems>
    </cacheField>
    <cacheField name="Age" numFmtId="0">
      <sharedItems containsSemiMixedTypes="0" containsString="0" containsNumber="1" containsInteger="1" minValue="14" maxValue="51"/>
    </cacheField>
    <cacheField name="Age Group" numFmtId="0">
      <sharedItems count="5">
        <s v="Young Adult"/>
        <s v="Teen"/>
        <s v="Middle-Aged"/>
        <s v="Adult"/>
        <s v="Senior"/>
      </sharedItems>
    </cacheField>
  </cacheFields>
  <extLst>
    <ext xmlns:x14="http://schemas.microsoft.com/office/spreadsheetml/2009/9/main" uri="{725AE2AE-9491-48be-B2B4-4EB974FC3084}">
      <x14:pivotCacheDefinition pivotCacheId="11597119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">
  <r>
    <s v="c121b78531e2db61d9c11bcc2764da9d"/>
    <n v="199"/>
    <n v="1"/>
    <n v="199"/>
    <n v="1"/>
    <s v="Power User"/>
    <n v="4"/>
    <n v="2.0100502512562814E-2"/>
    <n v="3.1640563202024995E-4"/>
    <n v="2.0020088456460501"/>
    <x v="0"/>
    <n v="1"/>
    <n v="1"/>
    <n v="4"/>
    <n v="9"/>
    <n v="9"/>
    <n v="1.3760343820097643E-3"/>
    <n v="1168"/>
    <n v="364"/>
    <n v="804"/>
    <s v="unknown"/>
    <d v="2021-03-08T00:00:00"/>
    <s v="Has no high school or college education"/>
    <x v="0"/>
    <x v="0"/>
    <n v="24"/>
    <x v="0"/>
  </r>
  <r>
    <s v="4445fd218f39e2cf4d195ba2c314ef05"/>
    <n v="313"/>
    <n v="2"/>
    <n v="156.5"/>
    <n v="0.78643216080402012"/>
    <s v="Power User"/>
    <n v="4"/>
    <n v="1.2779552715654952E-2"/>
    <n v="3.1640563202024995E-4"/>
    <n v="1.576266873310527"/>
    <x v="0"/>
    <n v="0"/>
    <n v="0"/>
    <n v="12"/>
    <n v="59"/>
    <n v="71"/>
    <n v="2.7697404384460235E-3"/>
    <n v="2351"/>
    <n v="108"/>
    <n v="2243"/>
    <s v="unknown"/>
    <d v="2020-11-20T00:00:00"/>
    <s v="Has no high school or college education"/>
    <x v="0"/>
    <x v="1"/>
    <n v="19"/>
    <x v="1"/>
  </r>
  <r>
    <s v="86869e7eeb58107a44cbb4f38e65bc28"/>
    <n v="1243"/>
    <n v="8"/>
    <n v="155.375"/>
    <n v="0.78077889447236182"/>
    <s v="Power User"/>
    <n v="21"/>
    <n v="1.6894609814963796E-2"/>
    <n v="1.6611295681063123E-3"/>
    <n v="1.5727356964193275"/>
    <x v="0"/>
    <n v="7"/>
    <n v="0"/>
    <n v="63"/>
    <n v="322"/>
    <n v="405"/>
    <n v="7.8556483383913599E-3"/>
    <n v="6668"/>
    <n v="1275"/>
    <n v="5393"/>
    <s v="Finland"/>
    <d v="2020-11-16T00:00:00"/>
    <s v="Has no high school or college education"/>
    <x v="0"/>
    <x v="2"/>
    <n v="30"/>
    <x v="0"/>
  </r>
  <r>
    <s v="e1fc751c4721214058caa7d5288b1df8"/>
    <n v="1508"/>
    <n v="10"/>
    <n v="150.80000000000001"/>
    <n v="0.75778894472361813"/>
    <s v="Power User"/>
    <n v="122"/>
    <n v="8.0901856763925736E-2"/>
    <n v="9.650371776617624E-3"/>
    <n v="1.5583890286574809"/>
    <x v="0"/>
    <n v="21"/>
    <n v="5"/>
    <n v="108"/>
    <n v="25216"/>
    <n v="20204"/>
    <n v="2.3510395657009294E-2"/>
    <n v="19956"/>
    <n v="5792"/>
    <n v="14164"/>
    <s v="unknown"/>
    <d v="2021-04-05T00:00:00"/>
    <s v="Has no high school or college education"/>
    <x v="0"/>
    <x v="2"/>
    <n v="21"/>
    <x v="0"/>
  </r>
  <r>
    <s v="f53192d066ece7af652a69a17532f061"/>
    <n v="447"/>
    <n v="3"/>
    <n v="149"/>
    <n v="0.74874371859296485"/>
    <s v="Power User"/>
    <n v="12"/>
    <n v="2.6845637583892617E-2"/>
    <n v="9.4921689606074992E-4"/>
    <n v="1.5010599676020546"/>
    <x v="0"/>
    <n v="6"/>
    <n v="0"/>
    <n v="13"/>
    <n v="43"/>
    <n v="36"/>
    <n v="1.6740966240033175E-3"/>
    <n v="1421"/>
    <n v="385"/>
    <n v="1036"/>
    <s v="unknown"/>
    <d v="2020-05-17T00:00:00"/>
    <s v="Has no high school or college education"/>
    <x v="0"/>
    <x v="2"/>
    <n v="23"/>
    <x v="0"/>
  </r>
  <r>
    <s v="c8dff30e781713f08386e1069a5fa1f1"/>
    <n v="27188"/>
    <n v="208"/>
    <n v="130.71153846153845"/>
    <n v="0.65684190181677615"/>
    <s v="Power User"/>
    <n v="1048"/>
    <n v="3.8546417537148742E-2"/>
    <n v="8.2898275589305487E-2"/>
    <n v="1.5012106237986103"/>
    <x v="0"/>
    <n v="291"/>
    <n v="5"/>
    <n v="1701"/>
    <n v="9515"/>
    <n v="9244"/>
    <n v="2.1730268986447004E-2"/>
    <n v="18445"/>
    <n v="5181"/>
    <n v="13264"/>
    <s v="unknown"/>
    <d v="2020-07-03T00:00:00"/>
    <s v="Has no high school or college education"/>
    <x v="0"/>
    <x v="3"/>
    <n v="23"/>
    <x v="0"/>
  </r>
  <r>
    <s v="b6ca4b71845786832136b05fc58a6add"/>
    <n v="2188"/>
    <n v="19"/>
    <n v="115.15789473684211"/>
    <n v="0.5786828881248347"/>
    <s v="Power User"/>
    <n v="29"/>
    <n v="1.3254113345521023E-2"/>
    <n v="2.2939408321468123E-3"/>
    <n v="1.1977022771671346"/>
    <x v="0"/>
    <n v="9"/>
    <n v="1"/>
    <n v="108"/>
    <n v="463"/>
    <n v="341"/>
    <n v="3.5748619253171479E-2"/>
    <n v="30344"/>
    <n v="7291"/>
    <n v="23053"/>
    <s v="unknown"/>
    <d v="2021-02-26T00:00:00"/>
    <s v="Has no high school or college education"/>
    <x v="0"/>
    <x v="2"/>
    <n v="22"/>
    <x v="0"/>
  </r>
  <r>
    <s v="8babd832a00e7c1c80b7069c08c37648"/>
    <n v="64884"/>
    <n v="631"/>
    <n v="102.82725832012679"/>
    <n v="0.51671989105591354"/>
    <s v="Power User"/>
    <n v="387"/>
    <n v="5.964490475309784E-3"/>
    <n v="3.0612244897959183E-2"/>
    <n v="1.2987603304174815"/>
    <x v="0"/>
    <n v="110"/>
    <n v="2"/>
    <n v="2656"/>
    <n v="23964"/>
    <n v="24980"/>
    <n v="0.20409605850973592"/>
    <n v="173240"/>
    <n v="111080"/>
    <n v="62160"/>
    <s v="unknown"/>
    <d v="2019-07-15T00:00:00"/>
    <s v="Has no high school or college education"/>
    <x v="0"/>
    <x v="2"/>
    <n v="18"/>
    <x v="1"/>
  </r>
  <r>
    <s v="9bca32cc2ad2e09eb4a5e90655e6549d"/>
    <n v="298"/>
    <n v="3"/>
    <n v="99.333333333333329"/>
    <n v="0.49916247906197653"/>
    <s v="Power User"/>
    <n v="14"/>
    <n v="4.6979865771812082E-2"/>
    <n v="1.1074197120708748E-3"/>
    <n v="1.0049117698012098"/>
    <x v="0"/>
    <n v="5"/>
    <n v="1"/>
    <n v="64"/>
    <n v="141"/>
    <n v="182"/>
    <n v="4.3719722531149275E-3"/>
    <n v="3711"/>
    <n v="217"/>
    <n v="3494"/>
    <s v="Denmark"/>
    <d v="2021-03-09T00:00:00"/>
    <s v="Has no high school or college education"/>
    <x v="1"/>
    <x v="4"/>
    <n v="21"/>
    <x v="0"/>
  </r>
  <r>
    <s v="07458e73c4b554e03bd95cecd4e1aa21"/>
    <n v="4437"/>
    <n v="45"/>
    <n v="98.6"/>
    <n v="0.49547738693467336"/>
    <s v="Power User"/>
    <n v="2399"/>
    <n v="0.5406806400721208"/>
    <n v="0.18976427780414493"/>
    <n v="1.4076586419128405"/>
    <x v="0"/>
    <n v="1502"/>
    <n v="26"/>
    <n v="2302"/>
    <n v="9982"/>
    <n v="8137"/>
    <n v="3.7175312435203861E-2"/>
    <n v="31555"/>
    <n v="31247"/>
    <n v="308"/>
    <s v="unknown"/>
    <d v="2021-01-11T00:00:00"/>
    <s v="Has no high school or college education"/>
    <x v="0"/>
    <x v="5"/>
    <n v="26"/>
    <x v="0"/>
  </r>
  <r>
    <s v="099bb657cd2282bbafc98532bc284949"/>
    <n v="7189"/>
    <n v="76"/>
    <n v="94.59210526315789"/>
    <n v="0.47533721237767784"/>
    <s v="Power User"/>
    <n v="490"/>
    <n v="6.815968841285297E-2"/>
    <n v="3.875968992248062E-2"/>
    <n v="1.0898019740975931"/>
    <x v="0"/>
    <n v="136"/>
    <n v="37"/>
    <n v="309"/>
    <n v="11353"/>
    <n v="13386"/>
    <n v="6.1608169497276204E-2"/>
    <n v="52294"/>
    <n v="911"/>
    <n v="51383"/>
    <s v="unknown"/>
    <d v="2021-01-27T00:00:00"/>
    <s v="Has no high school or college education"/>
    <x v="1"/>
    <x v="2"/>
    <n v="20"/>
    <x v="1"/>
  </r>
  <r>
    <s v="2760326312b334a80234ec5b6ded7b2f"/>
    <n v="6121"/>
    <n v="66"/>
    <n v="92.742424242424249"/>
    <n v="0.46604233287650376"/>
    <s v="Power User"/>
    <n v="288"/>
    <n v="4.7051135435386374E-2"/>
    <n v="2.2781205505457997E-2"/>
    <n v="0.99852557104301343"/>
    <x v="0"/>
    <n v="75"/>
    <n v="52"/>
    <n v="854"/>
    <n v="3609"/>
    <n v="3363"/>
    <n v="2.0878494279089933E-2"/>
    <n v="17722"/>
    <n v="16438"/>
    <n v="1284"/>
    <s v="Switzerland"/>
    <d v="2020-12-12T00:00:00"/>
    <s v="Has no high school or college education"/>
    <x v="0"/>
    <x v="2"/>
    <n v="30"/>
    <x v="0"/>
  </r>
  <r>
    <s v="380391c66f76c2f858d393314171b154"/>
    <n v="2463"/>
    <n v="27"/>
    <n v="91.222222222222229"/>
    <n v="0.4584031267448353"/>
    <s v="Power User"/>
    <n v="44"/>
    <n v="1.7864393016646368E-2"/>
    <n v="3.4804619522227497E-3"/>
    <n v="0.94618428545993949"/>
    <x v="0"/>
    <n v="9"/>
    <n v="1"/>
    <n v="68"/>
    <n v="842"/>
    <n v="695"/>
    <n v="2.2417108065823452E-2"/>
    <n v="19028"/>
    <n v="2826"/>
    <n v="16202"/>
    <s v="unknown"/>
    <d v="2020-05-08T00:00:00"/>
    <s v="Has no high school or college education"/>
    <x v="0"/>
    <x v="2"/>
    <n v="28"/>
    <x v="0"/>
  </r>
  <r>
    <s v="77a5101ebe7404af04715cd81422b5d3"/>
    <n v="63693"/>
    <n v="711"/>
    <n v="89.582278481012665"/>
    <n v="0.45016220342217422"/>
    <s v="Power User"/>
    <n v="110"/>
    <n v="1.727034367983923E-3"/>
    <n v="8.7011548805568731E-3"/>
    <n v="0.9446112239663037"/>
    <x v="0"/>
    <n v="17"/>
    <n v="1"/>
    <n v="112"/>
    <n v="4117"/>
    <n v="3851"/>
    <n v="2.6884507360841456E-2"/>
    <n v="22820"/>
    <n v="2386"/>
    <n v="20434"/>
    <s v="USA"/>
    <d v="2018-08-30T00:00:00"/>
    <s v="Has no high school or college education"/>
    <x v="0"/>
    <x v="6"/>
    <n v="45"/>
    <x v="2"/>
  </r>
  <r>
    <s v="10b2097badb646a0e1147c24fccfedfb"/>
    <n v="7312"/>
    <n v="82"/>
    <n v="89.170731707317074"/>
    <n v="0.44809412918249786"/>
    <s v="Power User"/>
    <n v="403"/>
    <n v="5.5114879649890591E-2"/>
    <n v="3.1877867426040186E-2"/>
    <n v="1.0810444437269628"/>
    <x v="0"/>
    <n v="99"/>
    <n v="15"/>
    <n v="1368"/>
    <n v="14452"/>
    <n v="8228"/>
    <n v="0.12110045050988671"/>
    <n v="102792"/>
    <n v="89848"/>
    <n v="12944"/>
    <s v="Taiwan"/>
    <d v="2021-01-20T00:00:00"/>
    <s v="Has no high school or college education"/>
    <x v="0"/>
    <x v="2"/>
    <n v="21"/>
    <x v="0"/>
  </r>
  <r>
    <s v="e5b8586a4a9b0315bbbf2b8df0e87ded"/>
    <n v="21221"/>
    <n v="255"/>
    <n v="83.219607843137254"/>
    <n v="0.41818898413636812"/>
    <s v="Power User"/>
    <n v="2420"/>
    <n v="0.11403798124499316"/>
    <n v="0.19142540737225122"/>
    <n v="1.7613627672965171"/>
    <x v="0"/>
    <n v="571"/>
    <n v="659"/>
    <n v="8597"/>
    <n v="21580"/>
    <n v="18924"/>
    <n v="0.54213398427927839"/>
    <n v="460172"/>
    <n v="455451"/>
    <n v="4721"/>
    <s v="unknown"/>
    <d v="2020-06-23T00:00:00"/>
    <s v="Has no high school or college education"/>
    <x v="0"/>
    <x v="2"/>
    <n v="21"/>
    <x v="0"/>
  </r>
  <r>
    <s v="53f6bdb7eeb0c0eedf8dbf5c271ff887"/>
    <n v="87103"/>
    <n v="1051"/>
    <n v="82.876308277830631"/>
    <n v="0.41646386069261626"/>
    <s v="Power User"/>
    <n v="1387"/>
    <n v="1.5923676566823187E-2"/>
    <n v="0.10971365290302168"/>
    <n v="1.24185192640147"/>
    <x v="0"/>
    <n v="492"/>
    <n v="163"/>
    <n v="6711"/>
    <n v="6934"/>
    <n v="7594"/>
    <n v="0.18949689921019397"/>
    <n v="160848"/>
    <n v="46099"/>
    <n v="114749"/>
    <s v="unknown"/>
    <d v="2017-12-12T00:00:00"/>
    <s v="Has high school and/or college education"/>
    <x v="0"/>
    <x v="2"/>
    <n v="18"/>
    <x v="1"/>
  </r>
  <r>
    <s v="991c1db658fff09f3505a1399e07185a"/>
    <n v="1645"/>
    <n v="20"/>
    <n v="82.25"/>
    <n v="0.41331658291457285"/>
    <s v="Power User"/>
    <n v="37"/>
    <n v="2.2492401215805473E-2"/>
    <n v="2.9267520961873119E-3"/>
    <n v="0.84513369835274876"/>
    <x v="0"/>
    <n v="10"/>
    <n v="14"/>
    <n v="370"/>
    <n v="52"/>
    <n v="66"/>
    <n v="1.264702833122844E-2"/>
    <n v="10735"/>
    <n v="2186"/>
    <n v="8549"/>
    <s v="unknown"/>
    <d v="2020-08-15T00:00:00"/>
    <s v="Has no high school or college education"/>
    <x v="0"/>
    <x v="2"/>
    <n v="25"/>
    <x v="0"/>
  </r>
  <r>
    <s v="55f280bebc177d0fd6ec6d218dc65657"/>
    <n v="1256"/>
    <n v="16"/>
    <n v="78.5"/>
    <n v="0.39447236180904521"/>
    <s v="Power User"/>
    <n v="17"/>
    <n v="1.3535031847133758E-2"/>
    <n v="1.3447239360860623E-3"/>
    <n v="0.79883950220975897"/>
    <x v="0"/>
    <n v="2"/>
    <n v="2"/>
    <n v="152"/>
    <n v="402"/>
    <n v="277"/>
    <n v="7.2053307194963334E-3"/>
    <n v="6116"/>
    <n v="1877"/>
    <n v="4239"/>
    <s v="Poland"/>
    <d v="2021-03-26T00:00:00"/>
    <s v="Has no high school or college education"/>
    <x v="0"/>
    <x v="2"/>
    <n v="25"/>
    <x v="0"/>
  </r>
  <r>
    <s v="3c311f41d91cc091a225a1d448f74ee9"/>
    <n v="4124"/>
    <n v="60"/>
    <n v="68.733333333333334"/>
    <n v="0.34539363484087104"/>
    <s v="Power User"/>
    <n v="81"/>
    <n v="1.9641125121241512E-2"/>
    <n v="6.407214048410062E-3"/>
    <n v="0.71451218956948037"/>
    <x v="0"/>
    <n v="23"/>
    <n v="1"/>
    <n v="151"/>
    <n v="2877"/>
    <n v="2627"/>
    <n v="1.0910491790918173E-2"/>
    <n v="9261"/>
    <n v="9064"/>
    <n v="197"/>
    <s v="Germany"/>
    <d v="2020-11-28T00:00:00"/>
    <s v="Has no high school or college education"/>
    <x v="0"/>
    <x v="2"/>
    <n v="30"/>
    <x v="0"/>
  </r>
  <r>
    <s v="4dbc8b132172365fba91dfeb04cba415"/>
    <n v="19030"/>
    <n v="281"/>
    <n v="67.722419928825616"/>
    <n v="0.34031366798404833"/>
    <s v="Power User"/>
    <n v="205"/>
    <n v="1.0772464529689963E-2"/>
    <n v="1.6215788641037811E-2"/>
    <n v="0.83731552481263094"/>
    <x v="0"/>
    <n v="53"/>
    <n v="13"/>
    <n v="1524"/>
    <n v="4453"/>
    <n v="4594"/>
    <n v="0.12425661156245876"/>
    <n v="105471"/>
    <n v="22603"/>
    <n v="82868"/>
    <s v="unknown"/>
    <d v="2020-04-08T00:00:00"/>
    <s v="Has no high school or college education"/>
    <x v="0"/>
    <x v="2"/>
    <n v="22"/>
    <x v="0"/>
  </r>
  <r>
    <s v="c3b7e9c90818013e7ce447efd042dc15"/>
    <n v="917"/>
    <n v="14"/>
    <n v="65.5"/>
    <n v="0.32914572864321606"/>
    <s v="Power User"/>
    <n v="32"/>
    <n v="3.4896401308615051E-2"/>
    <n v="2.5312450561619996E-3"/>
    <n v="0.66589042173477242"/>
    <x v="0"/>
    <n v="4"/>
    <n v="1"/>
    <n v="83"/>
    <n v="1092"/>
    <n v="756"/>
    <n v="2.5364743360162863E-3"/>
    <n v="2153"/>
    <n v="405"/>
    <n v="1748"/>
    <s v="Lithuania"/>
    <d v="2021-03-31T00:00:00"/>
    <s v="Has no high school or college education"/>
    <x v="0"/>
    <x v="2"/>
    <n v="30"/>
    <x v="0"/>
  </r>
  <r>
    <s v="615be0069495f92f668428ba1de1cda1"/>
    <n v="720"/>
    <n v="11"/>
    <n v="65.454545454545453"/>
    <n v="0.32891731384193695"/>
    <s v="Power User"/>
    <n v="145"/>
    <n v="0.2013888888888889"/>
    <n v="1.146970416073406E-2"/>
    <n v="0.70514680937436425"/>
    <x v="0"/>
    <n v="32"/>
    <n v="49"/>
    <n v="400"/>
    <n v="2204"/>
    <n v="3808"/>
    <n v="2.4372773369022261E-2"/>
    <n v="20688"/>
    <n v="864"/>
    <n v="19824"/>
    <s v="Austria"/>
    <d v="2021-04-02T00:00:00"/>
    <s v="Has no high school or college education"/>
    <x v="1"/>
    <x v="2"/>
    <n v="21"/>
    <x v="0"/>
  </r>
  <r>
    <s v="2328d490260d54aa6d781595eb18bab8"/>
    <n v="11796"/>
    <n v="181"/>
    <n v="65.171270718232037"/>
    <n v="0.32749382270468358"/>
    <s v="Power User"/>
    <n v="5"/>
    <n v="4.2387249915225501E-4"/>
    <n v="3.9550704002531246E-4"/>
    <n v="0.77202529009016052"/>
    <x v="0"/>
    <n v="1"/>
    <n v="0"/>
    <n v="56"/>
    <n v="444"/>
    <n v="324"/>
    <n v="0.11624663060074268"/>
    <n v="98672"/>
    <n v="1624"/>
    <n v="97048"/>
    <s v="Germany"/>
    <d v="2020-07-30T00:00:00"/>
    <s v="Has no high school or college education"/>
    <x v="0"/>
    <x v="2"/>
    <n v="20"/>
    <x v="1"/>
  </r>
  <r>
    <s v="15ff101ff43e45213ce5095bbf2eb0ae"/>
    <n v="17262"/>
    <n v="265"/>
    <n v="65.139622641509433"/>
    <n v="0.32733478714326347"/>
    <s v="Power User"/>
    <n v="79"/>
    <n v="4.5765264743366932E-3"/>
    <n v="6.2490112323999366E-3"/>
    <n v="0.70152840050620424"/>
    <x v="0"/>
    <n v="37"/>
    <n v="1"/>
    <n v="930"/>
    <n v="3102"/>
    <n v="3012"/>
    <n v="3.4360803754877385E-2"/>
    <n v="29166"/>
    <n v="20028"/>
    <n v="9138"/>
    <s v="unknown"/>
    <d v="2019-07-06T00:00:00"/>
    <s v="Has no high school or college education"/>
    <x v="0"/>
    <x v="2"/>
    <n v="30"/>
    <x v="0"/>
  </r>
  <r>
    <s v="df8f8689fb3a2ad08173b79f6c0d1fc6"/>
    <n v="706"/>
    <n v="11"/>
    <n v="64.181818181818187"/>
    <n v="0.32252169940612152"/>
    <s v="Power User"/>
    <n v="2"/>
    <n v="2.8328611898016999E-3"/>
    <n v="1.5820281601012498E-4"/>
    <n v="0.65018888400921027"/>
    <x v="0"/>
    <n v="0"/>
    <n v="0"/>
    <n v="6"/>
    <n v="70"/>
    <n v="45"/>
    <n v="4.8290795649469382E-3"/>
    <n v="4099"/>
    <n v="718"/>
    <n v="3381"/>
    <s v="unknown"/>
    <d v="2020-04-28T00:00:00"/>
    <s v="Has no high school or college education"/>
    <x v="0"/>
    <x v="2"/>
    <n v="24"/>
    <x v="0"/>
  </r>
  <r>
    <s v="771ff787187ee8e81613638378bc7952"/>
    <n v="7153"/>
    <n v="114"/>
    <n v="62.745614035087719"/>
    <n v="0.31530459314114434"/>
    <s v="Power User"/>
    <n v="6817"/>
    <n v="0.95302670208304208"/>
    <n v="0.53923429837051096"/>
    <n v="1.8285276991417625"/>
    <x v="0"/>
    <n v="4807"/>
    <n v="57"/>
    <n v="6829"/>
    <n v="18967"/>
    <n v="16969"/>
    <n v="0.11944991611845206"/>
    <n v="101391"/>
    <n v="101244"/>
    <n v="147"/>
    <s v="unknown"/>
    <d v="2020-06-09T00:00:00"/>
    <s v="Has no high school or college education"/>
    <x v="0"/>
    <x v="2"/>
    <n v="26"/>
    <x v="0"/>
  </r>
  <r>
    <s v="1f88e513e2b81c827a93ca422453d933"/>
    <n v="246"/>
    <n v="4"/>
    <n v="61.5"/>
    <n v="0.30904522613065327"/>
    <s v="Power User"/>
    <n v="4"/>
    <n v="1.6260162601626018E-2"/>
    <n v="3.1640563202024995E-4"/>
    <n v="0.62430633453249107"/>
    <x v="0"/>
    <n v="3"/>
    <n v="0"/>
    <n v="11"/>
    <n v="51"/>
    <n v="37"/>
    <n v="5.5830710071440685E-3"/>
    <n v="4739"/>
    <n v="541"/>
    <n v="4198"/>
    <s v="Germany"/>
    <d v="2020-12-25T00:00:00"/>
    <s v="Has no high school or college education"/>
    <x v="0"/>
    <x v="7"/>
    <n v="20"/>
    <x v="1"/>
  </r>
  <r>
    <s v="5e58115781c0a822be3f185f73294004"/>
    <n v="1351"/>
    <n v="22"/>
    <n v="61.409090909090907"/>
    <n v="0.308588396528095"/>
    <s v="Power User"/>
    <n v="28"/>
    <n v="2.072538860103627E-2"/>
    <n v="2.2148394241417496E-3"/>
    <n v="0.62820625324695523"/>
    <x v="0"/>
    <n v="9"/>
    <n v="2"/>
    <n v="101"/>
    <n v="116"/>
    <n v="71"/>
    <n v="6.5997813424817624E-3"/>
    <n v="5602"/>
    <n v="787"/>
    <n v="4815"/>
    <s v="Canada"/>
    <d v="2020-11-07T00:00:00"/>
    <s v="Has no high school or college education"/>
    <x v="0"/>
    <x v="1"/>
    <n v="21"/>
    <x v="0"/>
  </r>
  <r>
    <s v="d3df6e3102a21581b029c639d397feaf"/>
    <n v="13039"/>
    <n v="217"/>
    <n v="60.087557603686633"/>
    <n v="0.30194752564666649"/>
    <s v="Power User"/>
    <n v="2"/>
    <n v="1.5338599585857811E-4"/>
    <n v="1.5820281601012498E-4"/>
    <n v="0.66051105542491029"/>
    <x v="0"/>
    <n v="0"/>
    <n v="0"/>
    <n v="15"/>
    <n v="23"/>
    <n v="16"/>
    <n v="5.6299598499557027E-2"/>
    <n v="47788"/>
    <n v="285"/>
    <n v="47503"/>
    <s v="unknown"/>
    <d v="2020-09-08T00:00:00"/>
    <s v="Has no high school or college education"/>
    <x v="0"/>
    <x v="2"/>
    <n v="29"/>
    <x v="0"/>
  </r>
  <r>
    <s v="3edd8bbdbaf42f86a299edd10aa46412"/>
    <n v="6995"/>
    <n v="117"/>
    <n v="59.786324786324784"/>
    <n v="0.30043379289610445"/>
    <s v="Power User"/>
    <n v="1129"/>
    <n v="0.16140100071479629"/>
    <n v="8.9305489637715549E-2"/>
    <n v="0.88313825103020438"/>
    <x v="0"/>
    <n v="233"/>
    <n v="443"/>
    <n v="1195"/>
    <n v="4808"/>
    <n v="8290"/>
    <n v="0.10365968596256432"/>
    <n v="87988"/>
    <n v="2816"/>
    <n v="85172"/>
    <s v="unknown"/>
    <d v="2020-04-25T00:00:00"/>
    <s v="Has no high school or college education"/>
    <x v="1"/>
    <x v="2"/>
    <n v="19"/>
    <x v="1"/>
  </r>
  <r>
    <s v="c3ee437f7318063d50ab7d0c47af428b"/>
    <n v="6864"/>
    <n v="115"/>
    <n v="59.686956521739127"/>
    <n v="0.29993445488311121"/>
    <s v="Power User"/>
    <n v="1849"/>
    <n v="0.26937645687645689"/>
    <n v="0.14625850340136054"/>
    <n v="0.94463987973646157"/>
    <x v="0"/>
    <n v="928"/>
    <n v="516"/>
    <n v="783"/>
    <n v="2620"/>
    <n v="2709"/>
    <n v="5.2253963167518049E-2"/>
    <n v="44354"/>
    <n v="39952"/>
    <n v="4402"/>
    <s v="unknown"/>
    <d v="2020-11-12T00:00:00"/>
    <s v="Has no high school or college education"/>
    <x v="0"/>
    <x v="2"/>
    <n v="20"/>
    <x v="1"/>
  </r>
  <r>
    <s v="a89268f6a1fae754a687a2105a9427a5"/>
    <n v="1789"/>
    <n v="30"/>
    <n v="59.633333333333333"/>
    <n v="0.2996649916247906"/>
    <s v="Power User"/>
    <n v="24"/>
    <n v="1.3415315818893237E-2"/>
    <n v="1.8984337921214998E-3"/>
    <n v="0.6075247415427647"/>
    <x v="0"/>
    <n v="3"/>
    <n v="0"/>
    <n v="146"/>
    <n v="601"/>
    <n v="531"/>
    <n v="4.3978907089404539E-3"/>
    <n v="3733"/>
    <n v="1469"/>
    <n v="2264"/>
    <s v="Ireland"/>
    <d v="2020-01-04T00:00:00"/>
    <s v="Has no high school or college education"/>
    <x v="0"/>
    <x v="2"/>
    <n v="29"/>
    <x v="0"/>
  </r>
  <r>
    <s v="a6da6da01b344f257a360643de319f3b"/>
    <n v="10053"/>
    <n v="169"/>
    <n v="59.485207100591715"/>
    <n v="0.29892063869644075"/>
    <s v="Power User"/>
    <n v="458"/>
    <n v="4.555853973938128E-2"/>
    <n v="3.622844486631862E-2"/>
    <n v="0.75397118931171692"/>
    <x v="0"/>
    <n v="98"/>
    <n v="104"/>
    <n v="1221"/>
    <n v="8121"/>
    <n v="8291"/>
    <n v="8.3673022186198182E-2"/>
    <n v="71023"/>
    <n v="2540"/>
    <n v="68483"/>
    <s v="unknown"/>
    <d v="2019-06-25T00:00:00"/>
    <s v="Has no high school or college education"/>
    <x v="1"/>
    <x v="2"/>
    <n v="19"/>
    <x v="1"/>
  </r>
  <r>
    <s v="6c52e08c0a920a57a084c86d87a9066f"/>
    <n v="13561"/>
    <n v="229"/>
    <n v="59.21834061135371"/>
    <n v="0.29757960106207892"/>
    <s v="Power User"/>
    <n v="130"/>
    <n v="9.5863136936804073E-3"/>
    <n v="1.0283183040658124E-2"/>
    <n v="0.72401641097940861"/>
    <x v="0"/>
    <n v="36"/>
    <n v="15"/>
    <n v="626"/>
    <n v="2066"/>
    <n v="1657"/>
    <n v="0.10829084277393451"/>
    <n v="91919"/>
    <n v="54683"/>
    <n v="37236"/>
    <s v="Denmark"/>
    <d v="2020-03-20T00:00:00"/>
    <s v="Has no high school or college education"/>
    <x v="0"/>
    <x v="8"/>
    <n v="27"/>
    <x v="0"/>
  </r>
  <r>
    <s v="a67bb6b827ab3679b64d22cc3b2e0d9d"/>
    <n v="2122"/>
    <n v="36"/>
    <n v="58.944444444444443"/>
    <n v="0.29620323841429369"/>
    <s v="Power User"/>
    <n v="24"/>
    <n v="1.1310084825636193E-2"/>
    <n v="1.8984337921214998E-3"/>
    <n v="0.60028196687046553"/>
    <x v="0"/>
    <n v="8"/>
    <n v="2"/>
    <n v="35"/>
    <n v="152"/>
    <n v="158"/>
    <n v="4.0786224576351057E-3"/>
    <n v="3462"/>
    <n v="1474"/>
    <n v="1988"/>
    <s v="unknown"/>
    <d v="2020-11-13T00:00:00"/>
    <s v="Has no high school or college education"/>
    <x v="0"/>
    <x v="2"/>
    <n v="21"/>
    <x v="0"/>
  </r>
  <r>
    <s v="13686a2ede867585d527e8b53e1f9c44"/>
    <n v="15651"/>
    <n v="269"/>
    <n v="58.182156133828997"/>
    <n v="0.29237264388858791"/>
    <s v="Power User"/>
    <n v="570"/>
    <n v="3.6419398121525781E-2"/>
    <n v="4.5087802562885616E-2"/>
    <n v="0.72710888181927291"/>
    <x v="0"/>
    <n v="221"/>
    <n v="2"/>
    <n v="408"/>
    <n v="9385"/>
    <n v="8799"/>
    <n v="5.2187988916325798E-2"/>
    <n v="44298"/>
    <n v="10186"/>
    <n v="34112"/>
    <s v="United Kingdom"/>
    <d v="2020-07-15T00:00:00"/>
    <s v="Has no high school or college education"/>
    <x v="0"/>
    <x v="2"/>
    <n v="21"/>
    <x v="0"/>
  </r>
  <r>
    <s v="a022123af129155207465c3f2c3bd969"/>
    <n v="1509"/>
    <n v="26"/>
    <n v="58.03846153846154"/>
    <n v="0.29165056049478161"/>
    <s v="Power User"/>
    <n v="34"/>
    <n v="2.2531477799867462E-2"/>
    <n v="2.6894478721721246E-3"/>
    <n v="0.61154716344179227"/>
    <x v="0"/>
    <n v="6"/>
    <n v="11"/>
    <n v="149"/>
    <n v="65"/>
    <n v="111"/>
    <n v="2.2867146707884867E-2"/>
    <n v="19410"/>
    <n v="719"/>
    <n v="18691"/>
    <s v="unknown"/>
    <d v="2020-09-15T00:00:00"/>
    <s v="Has no high school or college education"/>
    <x v="1"/>
    <x v="9"/>
    <n v="33"/>
    <x v="3"/>
  </r>
  <r>
    <s v="f0ef170586e904224550c33f67c2c54f"/>
    <n v="1354"/>
    <n v="24"/>
    <n v="56.416666666666664"/>
    <n v="0.28350083752093802"/>
    <s v="Power User"/>
    <n v="13"/>
    <n v="9.6011816838995571E-3"/>
    <n v="1.0283183040658123E-3"/>
    <n v="0.58975891107320422"/>
    <x v="0"/>
    <n v="0"/>
    <n v="5"/>
    <n v="33"/>
    <n v="83"/>
    <n v="51"/>
    <n v="2.0700599423196547E-2"/>
    <n v="17571"/>
    <n v="3146"/>
    <n v="14425"/>
    <s v="USA"/>
    <d v="2021-02-12T00:00:00"/>
    <s v="Has no high school or college education"/>
    <x v="0"/>
    <x v="10"/>
    <n v="25"/>
    <x v="0"/>
  </r>
  <r>
    <s v="3096f060eb13462bad9a6a8a5c95ce9a"/>
    <n v="3888"/>
    <n v="69"/>
    <n v="56.347826086956523"/>
    <n v="0.28315490495958051"/>
    <s v="Power User"/>
    <n v="86"/>
    <n v="2.2119341563786008E-2"/>
    <n v="6.8027210884353739E-3"/>
    <n v="0.62735662926140101"/>
    <x v="0"/>
    <n v="26"/>
    <n v="0"/>
    <n v="93"/>
    <n v="827"/>
    <n v="512"/>
    <n v="4.744137716536917E-2"/>
    <n v="40269"/>
    <n v="3243"/>
    <n v="37026"/>
    <s v="unknown"/>
    <d v="2020-11-18T00:00:00"/>
    <s v="Has no high school or college education"/>
    <x v="0"/>
    <x v="1"/>
    <n v="24"/>
    <x v="0"/>
  </r>
  <r>
    <s v="d40e4b59c07b4771cf3a4ccaba56556a"/>
    <n v="55"/>
    <n v="1"/>
    <n v="55"/>
    <n v="0.27638190954773867"/>
    <s v="Power User"/>
    <n v="0"/>
    <n v="0"/>
    <n v="0"/>
    <n v="0.55672109605538389"/>
    <x v="0"/>
    <n v="0"/>
    <n v="0"/>
    <n v="2"/>
    <n v="0"/>
    <n v="0"/>
    <n v="3.957276959906505E-3"/>
    <n v="3359"/>
    <n v="30"/>
    <n v="3329"/>
    <s v="unknown"/>
    <d v="2021-03-01T00:00:00"/>
    <s v="Has no high school or college education"/>
    <x v="0"/>
    <x v="2"/>
    <n v="21"/>
    <x v="0"/>
  </r>
  <r>
    <s v="47af3745a19f31c658e0883f885da91a"/>
    <n v="4429"/>
    <n v="82"/>
    <n v="54.012195121951223"/>
    <n v="0.27141806593945339"/>
    <s v="Power User"/>
    <n v="169"/>
    <n v="3.8157597651840146E-2"/>
    <n v="1.3368137952855561E-2"/>
    <n v="0.6021907844410429"/>
    <x v="0"/>
    <n v="69"/>
    <n v="3"/>
    <n v="322"/>
    <n v="909"/>
    <n v="691"/>
    <n v="3.2618376656424947E-2"/>
    <n v="27687"/>
    <n v="7170"/>
    <n v="20517"/>
    <s v="unknown"/>
    <d v="2021-01-21T00:00:00"/>
    <s v="Has no high school or college education"/>
    <x v="0"/>
    <x v="2"/>
    <n v="19"/>
    <x v="1"/>
  </r>
  <r>
    <s v="a6ae45052f3ed7cf800a8eef9fc5b708"/>
    <n v="2456"/>
    <n v="46"/>
    <n v="53.391304347826086"/>
    <n v="0.26829801179812102"/>
    <s v="Power User"/>
    <n v="26"/>
    <n v="1.0586319218241042E-2"/>
    <n v="2.0566366081316246E-3"/>
    <n v="0.55315015560875791"/>
    <x v="0"/>
    <n v="7"/>
    <n v="0"/>
    <n v="124"/>
    <n v="404"/>
    <n v="404"/>
    <n v="1.2440858796252662E-2"/>
    <n v="10560"/>
    <n v="7188"/>
    <n v="3372"/>
    <s v="Austria"/>
    <d v="2021-01-12T00:00:00"/>
    <s v="Has no high school or college education"/>
    <x v="0"/>
    <x v="11"/>
    <n v="19"/>
    <x v="1"/>
  </r>
  <r>
    <s v="8464cd2dd814568e9b3adbacdb9fa074"/>
    <n v="5631"/>
    <n v="107"/>
    <n v="52.626168224299064"/>
    <n v="0.26445310665476918"/>
    <s v="Power User"/>
    <n v="216"/>
    <n v="3.8359083644112946E-2"/>
    <n v="1.7085904129093499E-2"/>
    <n v="0.60366278905561432"/>
    <x v="0"/>
    <n v="81"/>
    <n v="38"/>
    <n v="489"/>
    <n v="812"/>
    <n v="719"/>
    <n v="4.0584767487889015E-2"/>
    <n v="34449"/>
    <n v="18039"/>
    <n v="16410"/>
    <s v="Australia"/>
    <d v="2020-11-06T00:00:00"/>
    <s v="Has no high school or college education"/>
    <x v="0"/>
    <x v="2"/>
    <n v="26"/>
    <x v="0"/>
  </r>
  <r>
    <s v="4d7fd840744000363cb6dc8d12721279"/>
    <n v="2000"/>
    <n v="39"/>
    <n v="51.282051282051285"/>
    <n v="0.25769875016106175"/>
    <s v="Power User"/>
    <n v="8"/>
    <n v="4.0000000000000001E-3"/>
    <n v="6.3281126404049991E-4"/>
    <n v="0.52080300711251815"/>
    <x v="1"/>
    <n v="1"/>
    <n v="0"/>
    <n v="28"/>
    <n v="171"/>
    <n v="185"/>
    <n v="4.139884262313623E-3"/>
    <n v="3514"/>
    <n v="477"/>
    <n v="3037"/>
    <s v="Switzerland"/>
    <d v="2020-12-23T00:00:00"/>
    <s v="Has no high school or college education"/>
    <x v="0"/>
    <x v="2"/>
    <n v="22"/>
    <x v="0"/>
  </r>
  <r>
    <s v="52f8372596a7db0db14ac879e4141fe7"/>
    <n v="553"/>
    <n v="11"/>
    <n v="50.272727272727273"/>
    <n v="0.25262677021470992"/>
    <s v="Power User"/>
    <n v="14"/>
    <n v="2.5316455696202531E-2"/>
    <n v="1.1074197120708748E-3"/>
    <n v="0.50874074041226924"/>
    <x v="1"/>
    <n v="4"/>
    <n v="0"/>
    <n v="16"/>
    <n v="116"/>
    <n v="108"/>
    <n v="1.2723605587076586E-3"/>
    <n v="1080"/>
    <n v="257"/>
    <n v="823"/>
    <s v="USA"/>
    <d v="2021-03-06T00:00:00"/>
    <s v="Has no high school or college education"/>
    <x v="0"/>
    <x v="12"/>
    <n v="25"/>
    <x v="0"/>
  </r>
  <r>
    <s v="64762212f3f8897c359f19cb3012860d"/>
    <n v="450"/>
    <n v="9"/>
    <n v="50"/>
    <n v="0.25125628140703515"/>
    <s v="Power User"/>
    <n v="15"/>
    <n v="3.3333333333333333E-2"/>
    <n v="1.1865211200759373E-3"/>
    <n v="0.51652770416639726"/>
    <x v="1"/>
    <n v="1"/>
    <n v="7"/>
    <n v="54"/>
    <n v="91"/>
    <n v="139"/>
    <n v="1.1642099112175076E-2"/>
    <n v="9882"/>
    <n v="147"/>
    <n v="9735"/>
    <s v="unknown"/>
    <d v="2020-06-25T00:00:00"/>
    <s v="Has no high school or college education"/>
    <x v="1"/>
    <x v="2"/>
    <n v="28"/>
    <x v="0"/>
  </r>
  <r>
    <s v="2baa63ddfcbc269a7898c38f7e62d4ac"/>
    <n v="2570"/>
    <n v="52"/>
    <n v="49.42307692307692"/>
    <n v="0.24835717046772321"/>
    <s v="Power User"/>
    <n v="87"/>
    <n v="3.3852140077821009E-2"/>
    <n v="6.8818224964404366E-3"/>
    <n v="0.51924549266712583"/>
    <x v="1"/>
    <n v="13"/>
    <n v="22"/>
    <n v="374"/>
    <n v="978"/>
    <n v="1070"/>
    <n v="8.767506738798515E-3"/>
    <n v="7442"/>
    <n v="1629"/>
    <n v="5813"/>
    <s v="Sweden"/>
    <d v="2020-11-03T00:00:00"/>
    <s v="Has no high school or college education"/>
    <x v="0"/>
    <x v="2"/>
    <n v="22"/>
    <x v="0"/>
  </r>
  <r>
    <s v="940774cfdb824c4a07253a72adeda51c"/>
    <n v="3845"/>
    <n v="78"/>
    <n v="49.294871794871796"/>
    <n v="0.24771292359232058"/>
    <s v="Power User"/>
    <n v="66"/>
    <n v="1.7165149544863458E-2"/>
    <n v="5.2206929283341247E-3"/>
    <n v="0.52473233454740731"/>
    <x v="1"/>
    <n v="34"/>
    <n v="1"/>
    <n v="56"/>
    <n v="352"/>
    <n v="272"/>
    <n v="1.8865101506097905E-2"/>
    <n v="16013"/>
    <n v="3604"/>
    <n v="12409"/>
    <s v="USA"/>
    <d v="2020-10-05T00:00:00"/>
    <s v="Has no high school or college education"/>
    <x v="0"/>
    <x v="1"/>
    <n v="23"/>
    <x v="0"/>
  </r>
  <r>
    <s v="26c484be043596d15f4908e363b9df3a"/>
    <n v="831"/>
    <n v="17"/>
    <n v="48.882352941176471"/>
    <n v="0.24563996452852499"/>
    <s v="Power User"/>
    <n v="2"/>
    <n v="2.4067388688327317E-3"/>
    <n v="1.5820281601012498E-4"/>
    <n v="0.49436843135077313"/>
    <x v="1"/>
    <n v="0"/>
    <n v="0"/>
    <n v="2"/>
    <n v="98"/>
    <n v="59"/>
    <n v="2.7720966617028895E-3"/>
    <n v="2353"/>
    <n v="592"/>
    <n v="1761"/>
    <s v="Italy"/>
    <d v="2021-03-09T00:00:00"/>
    <s v="Has no high school or college education"/>
    <x v="0"/>
    <x v="13"/>
    <n v="19"/>
    <x v="1"/>
  </r>
  <r>
    <s v="89629a6c4a3d945c113e948418b8653b"/>
    <n v="1106"/>
    <n v="23"/>
    <n v="48.086956521739133"/>
    <n v="0.24164299759667907"/>
    <s v="Power User"/>
    <n v="10"/>
    <n v="9.0415913200723331E-3"/>
    <n v="7.9101408005062491E-4"/>
    <n v="0.48935662865778917"/>
    <x v="1"/>
    <n v="5"/>
    <n v="0"/>
    <n v="18"/>
    <n v="36"/>
    <n v="20"/>
    <n v="4.4886053043297963E-3"/>
    <n v="3810"/>
    <n v="2347"/>
    <n v="1463"/>
    <s v="Sweden"/>
    <d v="2021-01-24T00:00:00"/>
    <s v="Has no high school or college education"/>
    <x v="0"/>
    <x v="1"/>
    <n v="20"/>
    <x v="1"/>
  </r>
  <r>
    <s v="3873770b8dad6de571ae9355a5a38106"/>
    <n v="2252"/>
    <n v="47"/>
    <n v="47.914893617021278"/>
    <n v="0.24077835988452903"/>
    <s v="Power User"/>
    <n v="52"/>
    <n v="2.3090586145648313E-2"/>
    <n v="4.1132732162632493E-3"/>
    <n v="0.50581972168781475"/>
    <x v="1"/>
    <n v="15"/>
    <n v="1"/>
    <n v="75"/>
    <n v="555"/>
    <n v="640"/>
    <n v="1.6036455486230231E-2"/>
    <n v="13612"/>
    <n v="1946"/>
    <n v="11666"/>
    <s v="United Kingdom"/>
    <d v="2021-02-20T00:00:00"/>
    <s v="Has no high school or college education"/>
    <x v="0"/>
    <x v="14"/>
    <n v="28"/>
    <x v="0"/>
  </r>
  <r>
    <s v="afe1ef897ae224083e53f690433cc829"/>
    <n v="1101"/>
    <n v="23"/>
    <n v="47.869565217391305"/>
    <n v="0.24055057898186585"/>
    <s v="Power User"/>
    <n v="34"/>
    <n v="3.0881017257039057E-2"/>
    <n v="2.6894478721721246E-3"/>
    <n v="0.501112200133214"/>
    <x v="1"/>
    <n v="12"/>
    <n v="0"/>
    <n v="40"/>
    <n v="507"/>
    <n v="646"/>
    <n v="1.4632146425138074E-2"/>
    <n v="12420"/>
    <n v="2837"/>
    <n v="9583"/>
    <s v="Poland"/>
    <d v="2020-11-30T00:00:00"/>
    <s v="Has no high school or college education"/>
    <x v="0"/>
    <x v="2"/>
    <n v="27"/>
    <x v="0"/>
  </r>
  <r>
    <s v="7bc591f7af5995931c8fdce56df6cbae"/>
    <n v="12873"/>
    <n v="270"/>
    <n v="47.677777777777777"/>
    <n v="0.23958682300390843"/>
    <s v="Power User"/>
    <n v="378"/>
    <n v="2.936378466557912E-2"/>
    <n v="2.9900332225913623E-2"/>
    <n v="0.58552150089903265"/>
    <x v="0"/>
    <n v="136"/>
    <n v="12"/>
    <n v="442"/>
    <n v="1364"/>
    <n v="975"/>
    <n v="4.6547190439388514E-2"/>
    <n v="39510"/>
    <n v="20042"/>
    <n v="19468"/>
    <s v="USA"/>
    <d v="2020-07-12T00:00:00"/>
    <s v="Has no high school or college education"/>
    <x v="0"/>
    <x v="15"/>
    <n v="18"/>
    <x v="1"/>
  </r>
  <r>
    <s v="d5364695c40e3057a0cd377cbf21d915"/>
    <n v="4420"/>
    <n v="94"/>
    <n v="47.021276595744681"/>
    <n v="0.23628782208916924"/>
    <s v="Power User"/>
    <n v="267"/>
    <n v="6.0407239819004525E-2"/>
    <n v="2.1120075937351684E-2"/>
    <n v="0.57199544393903823"/>
    <x v="0"/>
    <n v="66"/>
    <n v="84"/>
    <n v="1172"/>
    <n v="1488"/>
    <n v="1523"/>
    <n v="5.7179647885996492E-2"/>
    <n v="48535"/>
    <n v="5977"/>
    <n v="42558"/>
    <s v="unknown"/>
    <d v="2020-02-23T00:00:00"/>
    <s v="Has no high school or college education"/>
    <x v="1"/>
    <x v="2"/>
    <n v="19"/>
    <x v="1"/>
  </r>
  <r>
    <s v="0573c4647e45ca04cc6b6e75d9d8242f"/>
    <n v="93"/>
    <n v="2"/>
    <n v="46.5"/>
    <n v="0.23366834170854273"/>
    <s v="Power User"/>
    <n v="4"/>
    <n v="4.3010752688172046E-2"/>
    <n v="3.1640563202024995E-4"/>
    <n v="0.46847961701623747"/>
    <x v="1"/>
    <n v="1"/>
    <n v="0"/>
    <n v="4"/>
    <n v="71"/>
    <n v="55"/>
    <n v="5.101223351114965E-4"/>
    <n v="433"/>
    <n v="182"/>
    <n v="251"/>
    <s v="Romania"/>
    <d v="2021-03-23T00:00:00"/>
    <s v="Has no high school or college education"/>
    <x v="0"/>
    <x v="16"/>
    <n v="28"/>
    <x v="0"/>
  </r>
  <r>
    <s v="2db8f3512addaf8fa83df76ad09d931e"/>
    <n v="9975"/>
    <n v="216"/>
    <n v="46.180555555555557"/>
    <n v="0.23206309324399776"/>
    <s v="Power User"/>
    <n v="307"/>
    <n v="3.0776942355889726E-2"/>
    <n v="2.4284132257554183E-2"/>
    <n v="0.53111776064853944"/>
    <x v="1"/>
    <n v="124"/>
    <n v="8"/>
    <n v="478"/>
    <n v="1196"/>
    <n v="1224"/>
    <n v="1.8423309645435523E-2"/>
    <n v="15638"/>
    <n v="8972"/>
    <n v="6666"/>
    <s v="USA"/>
    <d v="2018-12-06T00:00:00"/>
    <s v="Has no high school or college education"/>
    <x v="0"/>
    <x v="17"/>
    <n v="24"/>
    <x v="0"/>
  </r>
  <r>
    <s v="1a1ec35c46befb52573881b099e61fbc"/>
    <n v="5844"/>
    <n v="127"/>
    <n v="46.015748031496067"/>
    <n v="0.23123491473113603"/>
    <s v="Power User"/>
    <n v="125"/>
    <n v="2.138945927446954E-2"/>
    <n v="9.8876760006328113E-3"/>
    <n v="0.91612484442936304"/>
    <x v="0"/>
    <n v="2"/>
    <n v="112"/>
    <n v="1012"/>
    <n v="1132"/>
    <n v="2544"/>
    <n v="0.43387966296582536"/>
    <n v="368284"/>
    <n v="1984"/>
    <n v="366300"/>
    <s v="Malaysia"/>
    <d v="2020-08-28T00:00:00"/>
    <s v="Has no high school or college education"/>
    <x v="1"/>
    <x v="2"/>
    <n v="21"/>
    <x v="0"/>
  </r>
  <r>
    <s v="4727ef423c21b58c1e039e9625b5955d"/>
    <n v="3388"/>
    <n v="74"/>
    <n v="45.783783783783782"/>
    <n v="0.23006926524514462"/>
    <s v="Power User"/>
    <n v="9"/>
    <n v="2.6564344746162929E-3"/>
    <n v="7.1191267204556241E-4"/>
    <n v="0.517060838426603"/>
    <x v="1"/>
    <n v="3"/>
    <n v="0"/>
    <n v="52"/>
    <n v="400"/>
    <n v="428"/>
    <n v="5.5498482592222578E-2"/>
    <n v="47108"/>
    <n v="1952"/>
    <n v="45156"/>
    <s v="unknown"/>
    <d v="2020-03-14T00:00:00"/>
    <s v="Has no high school or college education"/>
    <x v="0"/>
    <x v="2"/>
    <n v="25"/>
    <x v="0"/>
  </r>
  <r>
    <s v="638329c39e06a8212422ee925ea9244e"/>
    <n v="2119"/>
    <n v="47"/>
    <n v="45.085106382978722"/>
    <n v="0.22655832353255639"/>
    <s v="Power User"/>
    <n v="19"/>
    <n v="8.9664936290703157E-3"/>
    <n v="1.5029267520961873E-3"/>
    <n v="0.46215561021851065"/>
    <x v="1"/>
    <n v="2"/>
    <n v="9"/>
    <n v="59"/>
    <n v="221"/>
    <n v="186"/>
    <n v="6.0331096492054819E-3"/>
    <n v="5121"/>
    <n v="251"/>
    <n v="4870"/>
    <s v="unknown"/>
    <d v="2020-11-16T00:00:00"/>
    <s v="Has no high school or college education"/>
    <x v="1"/>
    <x v="2"/>
    <n v="21"/>
    <x v="0"/>
  </r>
  <r>
    <s v="cd630e28bf494750991619a5f00cb900"/>
    <n v="2042"/>
    <n v="46"/>
    <n v="44.391304347826086"/>
    <n v="0.22307188114485471"/>
    <s v="Power User"/>
    <n v="284"/>
    <n v="0.13907933398628794"/>
    <n v="2.2464799873437746E-2"/>
    <n v="0.5618578430077259"/>
    <x v="0"/>
    <n v="19"/>
    <n v="207"/>
    <n v="974"/>
    <n v="2875"/>
    <n v="2740"/>
    <n v="7.0784480971140984E-2"/>
    <n v="60083"/>
    <n v="7311"/>
    <n v="52772"/>
    <s v="unknown"/>
    <d v="2020-04-05T00:00:00"/>
    <s v="Has no high school or college education"/>
    <x v="0"/>
    <x v="2"/>
    <n v="23"/>
    <x v="0"/>
  </r>
  <r>
    <s v="e600890ecb46e64bfb0382511b332a6b"/>
    <n v="219"/>
    <n v="5"/>
    <n v="43.8"/>
    <n v="0.2201005025125628"/>
    <s v="Power User"/>
    <n v="18"/>
    <n v="8.2191780821917804E-2"/>
    <n v="1.4238253440911248E-3"/>
    <n v="0.44680211936149544"/>
    <x v="1"/>
    <n v="6"/>
    <n v="0"/>
    <n v="23"/>
    <n v="94"/>
    <n v="50"/>
    <n v="3.7534636481875929E-3"/>
    <n v="3186"/>
    <n v="1915"/>
    <n v="1271"/>
    <s v="USA"/>
    <d v="2021-02-14T00:00:00"/>
    <s v="Has no high school or college education"/>
    <x v="0"/>
    <x v="18"/>
    <n v="21"/>
    <x v="0"/>
  </r>
  <r>
    <s v="89b05942b33bdb2a9c5c4939dcc1313f"/>
    <n v="2033"/>
    <n v="47"/>
    <n v="43.255319148936174"/>
    <n v="0.21736341280872448"/>
    <s v="Power User"/>
    <n v="51"/>
    <n v="2.5086079685194294E-2"/>
    <n v="4.0341718082581874E-3"/>
    <n v="0.46436403692731704"/>
    <x v="1"/>
    <n v="9"/>
    <n v="0"/>
    <n v="50"/>
    <n v="861"/>
    <n v="833"/>
    <n v="2.156886769335168E-2"/>
    <n v="18308"/>
    <n v="2519"/>
    <n v="15789"/>
    <s v="Finland"/>
    <d v="2021-01-30T00:00:00"/>
    <s v="Has no high school or college education"/>
    <x v="0"/>
    <x v="2"/>
    <n v="19"/>
    <x v="1"/>
  </r>
  <r>
    <s v="16a22fdad3de24d72d8509711c454ffb"/>
    <n v="48824"/>
    <n v="1133"/>
    <n v="43.092674315975287"/>
    <n v="0.21654610209032807"/>
    <s v="Power User"/>
    <n v="473"/>
    <n v="9.6878584302801905E-3"/>
    <n v="3.7414965986394558E-2"/>
    <n v="0.9841337061521257"/>
    <x v="0"/>
    <n v="104"/>
    <n v="4"/>
    <n v="13104"/>
    <n v="39360"/>
    <n v="41552"/>
    <n v="0.47621156999868053"/>
    <n v="404216"/>
    <n v="208304"/>
    <n v="195912"/>
    <s v="Finland"/>
    <d v="2017-08-23T00:00:00"/>
    <s v="Has no high school or college education"/>
    <x v="0"/>
    <x v="17"/>
    <n v="19"/>
    <x v="1"/>
  </r>
  <r>
    <s v="63f8a7720b76ead4114b8c9fdfe2648a"/>
    <n v="8344"/>
    <n v="194"/>
    <n v="43.010309278350519"/>
    <n v="0.21613220742889708"/>
    <s v="Power User"/>
    <n v="540"/>
    <n v="6.471716203259828E-2"/>
    <n v="4.2714760322733747E-2"/>
    <n v="0.62691313024040141"/>
    <x v="0"/>
    <n v="93"/>
    <n v="325"/>
    <n v="1374"/>
    <n v="694"/>
    <n v="1568"/>
    <n v="0.10921919473713973"/>
    <n v="92707"/>
    <n v="2989"/>
    <n v="89718"/>
    <s v="USA"/>
    <d v="2019-04-29T00:00:00"/>
    <s v="Has no high school or college education"/>
    <x v="1"/>
    <x v="2"/>
    <n v="22"/>
    <x v="0"/>
  </r>
  <r>
    <s v="4d9460bae7861e7b07e2e2fe2f121d26"/>
    <n v="16144"/>
    <n v="376"/>
    <n v="42.936170212765958"/>
    <n v="0.21575964931038169"/>
    <s v="Power User"/>
    <n v="1933"/>
    <n v="0.11973488602576808"/>
    <n v="0.15290302167378581"/>
    <n v="0.82460574196079506"/>
    <x v="0"/>
    <n v="412"/>
    <n v="50"/>
    <n v="1833"/>
    <n v="51989"/>
    <n v="56173"/>
    <n v="8.7280399992460081E-2"/>
    <n v="74085"/>
    <n v="70969"/>
    <n v="3116"/>
    <s v="unknown"/>
    <d v="2020-03-21T00:00:00"/>
    <s v="Has no high school or college education"/>
    <x v="0"/>
    <x v="2"/>
    <n v="34"/>
    <x v="3"/>
  </r>
  <r>
    <s v="2162e598a02dd9bc38b546d67a9cb2cd"/>
    <n v="10753"/>
    <n v="251"/>
    <n v="42.840637450199203"/>
    <n v="0.21527958517688042"/>
    <s v="Power User"/>
    <n v="662"/>
    <n v="6.1564214637775505E-2"/>
    <n v="5.2365132099351369E-2"/>
    <n v="0.61121048222357244"/>
    <x v="0"/>
    <n v="239"/>
    <n v="38"/>
    <n v="1673"/>
    <n v="2220"/>
    <n v="2465"/>
    <n v="7.5921047671108938E-2"/>
    <n v="64443"/>
    <n v="16877"/>
    <n v="47566"/>
    <s v="unknown"/>
    <d v="2020-03-18T00:00:00"/>
    <s v="Has no high school or college education"/>
    <x v="0"/>
    <x v="2"/>
    <n v="18"/>
    <x v="1"/>
  </r>
  <r>
    <s v="cef50ce50692bb1260ae383c8e2a029c"/>
    <n v="90517"/>
    <n v="2123"/>
    <n v="42.636363636363633"/>
    <n v="0.21425308359981726"/>
    <s v="Power User"/>
    <n v="3715"/>
    <n v="4.1042014207275983E-2"/>
    <n v="0.29386173073880717"/>
    <n v="1.7148698522357115"/>
    <x v="0"/>
    <n v="760"/>
    <n v="1295"/>
    <n v="22120"/>
    <n v="22066"/>
    <n v="24472"/>
    <n v="0.69864022355846256"/>
    <n v="593017"/>
    <n v="229162"/>
    <n v="363855"/>
    <s v="unknown"/>
    <d v="2014-05-06T00:00:00"/>
    <s v="Has no high school or college education"/>
    <x v="0"/>
    <x v="2"/>
    <n v="26"/>
    <x v="0"/>
  </r>
  <r>
    <s v="f84cce3e7f6be05254c688354ea21105"/>
    <n v="92628"/>
    <n v="2176"/>
    <n v="42.568014705882355"/>
    <n v="0.21390962163759977"/>
    <s v="Power User"/>
    <n v="1569"/>
    <n v="1.6938722632465344E-2"/>
    <n v="0.12411010915994304"/>
    <n v="1.1200249661096093"/>
    <x v="0"/>
    <n v="675"/>
    <n v="107"/>
    <n v="2322"/>
    <n v="4020"/>
    <n v="3548"/>
    <n v="0.44398550451452379"/>
    <n v="376862"/>
    <n v="138244"/>
    <n v="238618"/>
    <s v="unknown"/>
    <d v="2013-03-15T00:00:00"/>
    <s v="Has high school and/or college education"/>
    <x v="0"/>
    <x v="1"/>
    <n v="20"/>
    <x v="1"/>
  </r>
  <r>
    <s v="62aa91300651616a8ad151833d2575ff"/>
    <n v="24155"/>
    <n v="570"/>
    <n v="42.377192982456137"/>
    <n v="0.21295071850480471"/>
    <s v="Power User"/>
    <n v="540"/>
    <n v="2.2355619954460774E-2"/>
    <n v="4.2714760322733747E-2"/>
    <n v="0.58061099007670891"/>
    <x v="0"/>
    <n v="225"/>
    <n v="3"/>
    <n v="925"/>
    <n v="2417"/>
    <n v="1886"/>
    <n v="6.9280032421632012E-2"/>
    <n v="58806"/>
    <n v="37295"/>
    <n v="21511"/>
    <s v="United Kingdom"/>
    <d v="2019-09-06T00:00:00"/>
    <s v="Has no high school or college education"/>
    <x v="0"/>
    <x v="2"/>
    <n v="19"/>
    <x v="1"/>
  </r>
  <r>
    <s v="3be0800c24bef7bbdef62f92ce69adfe"/>
    <n v="31353"/>
    <n v="742"/>
    <n v="42.254716981132077"/>
    <n v="0.21233526121171897"/>
    <s v="Power User"/>
    <n v="161"/>
    <n v="5.1350747934806873E-3"/>
    <n v="1.273532668881506E-2"/>
    <n v="0.6158272608890023"/>
    <x v="0"/>
    <n v="20"/>
    <n v="1"/>
    <n v="165"/>
    <n v="1453"/>
    <n v="1370"/>
    <n v="0.16568608508793425"/>
    <n v="140637"/>
    <n v="2714"/>
    <n v="137923"/>
    <s v="unknown"/>
    <d v="2018-12-23T00:00:00"/>
    <s v="Has no high school or college education"/>
    <x v="0"/>
    <x v="2"/>
    <n v="23"/>
    <x v="0"/>
  </r>
  <r>
    <s v="781c99875091d59d7411de2458a35220"/>
    <n v="42"/>
    <n v="1"/>
    <n v="42"/>
    <n v="0.21105527638190955"/>
    <s v="Power User"/>
    <n v="176"/>
    <n v="4.1904761904761907"/>
    <n v="1.3921847808890999E-2"/>
    <n v="0.45134088576826675"/>
    <x v="1"/>
    <n v="27"/>
    <n v="12"/>
    <n v="3"/>
    <n v="3912"/>
    <n v="2406"/>
    <n v="1.3866373866656613E-3"/>
    <n v="1177"/>
    <n v="115"/>
    <n v="1062"/>
    <s v="Czechia"/>
    <d v="2021-04-14T00:00:00"/>
    <s v="Has no high school or college education"/>
    <x v="0"/>
    <x v="17"/>
    <n v="29"/>
    <x v="0"/>
  </r>
  <r>
    <s v="837357a86c027d481d25d201945de076"/>
    <n v="42"/>
    <n v="1"/>
    <n v="42"/>
    <n v="0.21105527638190955"/>
    <s v="Power User"/>
    <n v="0"/>
    <n v="0"/>
    <n v="0"/>
    <n v="0.42222365148014868"/>
    <x v="1"/>
    <n v="0"/>
    <n v="0"/>
    <n v="1"/>
    <n v="0"/>
    <n v="0"/>
    <n v="1.1309871632956966E-4"/>
    <n v="96"/>
    <n v="31"/>
    <n v="65"/>
    <s v="unknown"/>
    <d v="2020-05-28T00:00:00"/>
    <s v="Has no high school or college education"/>
    <x v="0"/>
    <x v="2"/>
    <n v="23"/>
    <x v="0"/>
  </r>
  <r>
    <s v="fb2ad771b6ae6198c8619c7ce4d28940"/>
    <n v="6262"/>
    <n v="151"/>
    <n v="41.47019867549669"/>
    <n v="0.20839295816832507"/>
    <s v="Power User"/>
    <n v="92"/>
    <n v="1.4691791759821143E-2"/>
    <n v="7.2773295364657493E-3"/>
    <n v="0.4548450805084488"/>
    <x v="1"/>
    <n v="24"/>
    <n v="13"/>
    <n v="243"/>
    <n v="884"/>
    <n v="854"/>
    <n v="2.3504505098867128E-2"/>
    <n v="19951"/>
    <n v="15364"/>
    <n v="4587"/>
    <s v="unknown"/>
    <d v="2020-11-13T00:00:00"/>
    <s v="Has no high school or college education"/>
    <x v="0"/>
    <x v="19"/>
    <n v="28"/>
    <x v="0"/>
  </r>
  <r>
    <s v="cd1869f24bd6023e427c58757cc1df31"/>
    <n v="1718"/>
    <n v="42"/>
    <n v="40.904761904761905"/>
    <n v="0.20555156736061259"/>
    <s v="Power User"/>
    <n v="97"/>
    <n v="5.6461001164144355E-2"/>
    <n v="7.6728365764910612E-3"/>
    <n v="0.43102694966229799"/>
    <x v="1"/>
    <n v="52"/>
    <n v="7"/>
    <n v="141"/>
    <n v="264"/>
    <n v="263"/>
    <n v="4.5781417880907055E-3"/>
    <n v="3886"/>
    <n v="2856"/>
    <n v="1030"/>
    <s v="USA"/>
    <d v="2020-10-18T00:00:00"/>
    <s v="Has no high school or college education"/>
    <x v="0"/>
    <x v="2"/>
    <n v="24"/>
    <x v="0"/>
  </r>
  <r>
    <s v="ac06d190d2c0b86f6ac2dcdb6daa5350"/>
    <n v="2821"/>
    <n v="69"/>
    <n v="40.884057971014492"/>
    <n v="0.20544752749253514"/>
    <s v="Power User"/>
    <n v="138"/>
    <n v="4.8918823112371501E-2"/>
    <n v="1.0915994304698624E-2"/>
    <n v="0.4511161880026785"/>
    <x v="1"/>
    <n v="59"/>
    <n v="0"/>
    <n v="171"/>
    <n v="1890"/>
    <n v="1568"/>
    <n v="1.8389144408210968E-2"/>
    <n v="15609"/>
    <n v="3570"/>
    <n v="12039"/>
    <s v="Sweden"/>
    <d v="2019-09-20T00:00:00"/>
    <s v="Has no high school or college education"/>
    <x v="0"/>
    <x v="20"/>
    <n v="33"/>
    <x v="3"/>
  </r>
  <r>
    <s v="b86ebcdc4f5b55b8107ffa7f3ab22643"/>
    <n v="13751"/>
    <n v="337"/>
    <n v="40.804154302670625"/>
    <n v="0.20504600152095792"/>
    <s v="Power User"/>
    <n v="378"/>
    <n v="2.7488909897462003E-2"/>
    <n v="2.9900332225913623E-2"/>
    <n v="0.56049769850164122"/>
    <x v="0"/>
    <n v="51"/>
    <n v="25"/>
    <n v="1211"/>
    <n v="5522"/>
    <n v="5981"/>
    <n v="9.060503100789806E-2"/>
    <n v="76907"/>
    <n v="61889"/>
    <n v="15018"/>
    <s v="Finland"/>
    <d v="2019-12-26T00:00:00"/>
    <s v="Has no high school or college education"/>
    <x v="0"/>
    <x v="2"/>
    <n v="20"/>
    <x v="1"/>
  </r>
  <r>
    <s v="e4742116046c34c56433697cf2d7cd92"/>
    <n v="9964"/>
    <n v="249"/>
    <n v="40.016064257028113"/>
    <n v="0.20108575003531715"/>
    <s v="Power User"/>
    <n v="147"/>
    <n v="1.4753111200321157E-2"/>
    <n v="1.1627906976744186E-2"/>
    <n v="0.46513085401394377"/>
    <x v="1"/>
    <n v="24"/>
    <n v="1"/>
    <n v="125"/>
    <n v="5497"/>
    <n v="5458"/>
    <n v="3.9703539989821117E-2"/>
    <n v="33701"/>
    <n v="19463"/>
    <n v="14238"/>
    <s v="Italy"/>
    <d v="2020-07-30T00:00:00"/>
    <s v="Has no high school or college education"/>
    <x v="0"/>
    <x v="10"/>
    <n v="25"/>
    <x v="0"/>
  </r>
  <r>
    <s v="74275841b2f5e3dd4eefd1de11f46486"/>
    <n v="12937"/>
    <n v="325"/>
    <n v="39.806153846153848"/>
    <n v="0.20003092385001933"/>
    <s v="Power User"/>
    <n v="118"/>
    <n v="9.1211254541238313E-3"/>
    <n v="9.3339661445973731E-3"/>
    <n v="0.50138609184009386"/>
    <x v="1"/>
    <n v="69"/>
    <n v="2"/>
    <n v="288"/>
    <n v="406"/>
    <n v="346"/>
    <n v="8.2656311850860489E-2"/>
    <n v="70160"/>
    <n v="11808"/>
    <n v="58352"/>
    <s v="unknown"/>
    <d v="2020-02-27T00:00:00"/>
    <s v="Has no high school or college education"/>
    <x v="0"/>
    <x v="21"/>
    <n v="21"/>
    <x v="0"/>
  </r>
  <r>
    <s v="99afa3908fc379c493f9a519068ed34f"/>
    <n v="16042"/>
    <n v="404"/>
    <n v="39.707920792079207"/>
    <n v="0.19953729041245832"/>
    <s v="Power User"/>
    <n v="347"/>
    <n v="2.1630719361675602E-2"/>
    <n v="2.7448188577756685E-2"/>
    <n v="0.4946158091613691"/>
    <x v="1"/>
    <n v="87"/>
    <n v="70"/>
    <n v="1776"/>
    <n v="4557"/>
    <n v="4540"/>
    <n v="4.06448511809391E-2"/>
    <n v="34500"/>
    <n v="32096"/>
    <n v="2404"/>
    <s v="Belgium"/>
    <d v="2020-02-23T00:00:00"/>
    <s v="Has no high school or college education"/>
    <x v="0"/>
    <x v="2"/>
    <n v="22"/>
    <x v="0"/>
  </r>
  <r>
    <s v="7326d844ed769b1d987634d2a3ca18b9"/>
    <n v="44167"/>
    <n v="1123"/>
    <n v="39.329474621549423"/>
    <n v="0.19763555086205739"/>
    <s v="Power User"/>
    <n v="917"/>
    <n v="2.0762107455792787E-2"/>
    <n v="7.2535991140642297E-2"/>
    <n v="0.66098053664531187"/>
    <x v="0"/>
    <n v="429"/>
    <n v="33"/>
    <n v="1500"/>
    <n v="5872"/>
    <n v="5602"/>
    <n v="0.12063745263991253"/>
    <n v="102399"/>
    <n v="36215"/>
    <n v="66184"/>
    <s v="unknown"/>
    <d v="2014-09-15T00:00:00"/>
    <s v="Has high school and/or college education"/>
    <x v="0"/>
    <x v="2"/>
    <n v="20"/>
    <x v="1"/>
  </r>
  <r>
    <s v="7e29bf29d8ef02ecd97bdc5cf250b2a5"/>
    <n v="7693"/>
    <n v="196"/>
    <n v="39.25"/>
    <n v="0.19723618090452261"/>
    <s v="Power User"/>
    <n v="419"/>
    <n v="5.4465098141167297E-2"/>
    <n v="3.3143489954121183E-2"/>
    <n v="0.57491718040081852"/>
    <x v="0"/>
    <n v="75"/>
    <n v="101"/>
    <n v="965"/>
    <n v="3295"/>
    <n v="3748"/>
    <n v="0.11415783868353094"/>
    <n v="96899"/>
    <n v="1837"/>
    <n v="95062"/>
    <s v="USA"/>
    <d v="2019-10-19T00:00:00"/>
    <s v="Has no high school or college education"/>
    <x v="1"/>
    <x v="22"/>
    <n v="18"/>
    <x v="1"/>
  </r>
  <r>
    <s v="bf0031b8e010f9e2df28551e09dc02ed"/>
    <n v="13272"/>
    <n v="340"/>
    <n v="39.035294117647062"/>
    <n v="0.1961572568725983"/>
    <s v="Power User"/>
    <n v="232"/>
    <n v="1.7480409885473176E-2"/>
    <n v="1.8351526657174499E-2"/>
    <n v="0.67744360992395902"/>
    <x v="0"/>
    <n v="100"/>
    <n v="5"/>
    <n v="932"/>
    <n v="4684"/>
    <n v="3752"/>
    <n v="0.2484260428644135"/>
    <n v="210868"/>
    <n v="34256"/>
    <n v="176612"/>
    <s v="USA"/>
    <d v="2018-10-01T00:00:00"/>
    <s v="Has no high school or college education"/>
    <x v="0"/>
    <x v="23"/>
    <n v="18"/>
    <x v="1"/>
  </r>
  <r>
    <s v="0d517ed76a1575a1e8f8074c295d45b2"/>
    <n v="7235"/>
    <n v="188"/>
    <n v="38.484042553191486"/>
    <n v="0.19338714850849992"/>
    <s v="Power User"/>
    <n v="350"/>
    <n v="4.8375950241879753E-2"/>
    <n v="2.768549280177187E-2"/>
    <n v="0.49763551843136716"/>
    <x v="1"/>
    <n v="113"/>
    <n v="60"/>
    <n v="216"/>
    <n v="1464"/>
    <n v="1298"/>
    <n v="5.5490235810823546E-2"/>
    <n v="47101"/>
    <n v="8659"/>
    <n v="38442"/>
    <s v="USA"/>
    <d v="2020-10-03T00:00:00"/>
    <s v="Has no high school or college education"/>
    <x v="0"/>
    <x v="2"/>
    <n v="24"/>
    <x v="0"/>
  </r>
  <r>
    <s v="5709abc8f96b3fb4bf2067ca321544b3"/>
    <n v="21476"/>
    <n v="561"/>
    <n v="38.281639928698752"/>
    <n v="0.19237004989295856"/>
    <s v="Power User"/>
    <n v="109"/>
    <n v="5.0754330415347364E-3"/>
    <n v="8.6220534725518112E-3"/>
    <n v="0.51967755841147911"/>
    <x v="1"/>
    <n v="42"/>
    <n v="0"/>
    <n v="712"/>
    <n v="5200"/>
    <n v="4868"/>
    <n v="0.11769335168045843"/>
    <n v="99900"/>
    <n v="35476"/>
    <n v="64424"/>
    <s v="Poland"/>
    <d v="2017-01-18T00:00:00"/>
    <s v="Has high school and/or college education"/>
    <x v="0"/>
    <x v="2"/>
    <n v="23"/>
    <x v="0"/>
  </r>
  <r>
    <s v="72983c8b1a776df2254aae4009f163c3"/>
    <n v="8913"/>
    <n v="233"/>
    <n v="38.253218884120173"/>
    <n v="0.19222723057346822"/>
    <s v="Power User"/>
    <n v="269"/>
    <n v="3.018063502748794E-2"/>
    <n v="2.1278278753361808E-2"/>
    <n v="0.47136692146416315"/>
    <x v="1"/>
    <n v="51"/>
    <n v="1"/>
    <n v="276"/>
    <n v="3718"/>
    <n v="3252"/>
    <n v="4.4355902810503098E-2"/>
    <n v="37650"/>
    <n v="24024"/>
    <n v="13626"/>
    <s v="unknown"/>
    <d v="2020-02-08T00:00:00"/>
    <s v="Has no high school or college education"/>
    <x v="0"/>
    <x v="2"/>
    <n v="22"/>
    <x v="0"/>
  </r>
  <r>
    <s v="6172f68defca7735755009347622a6b5"/>
    <n v="28099"/>
    <n v="745"/>
    <n v="37.716778523489936"/>
    <n v="0.18953155036929617"/>
    <s v="Power User"/>
    <n v="1705"/>
    <n v="6.0678315954304424E-2"/>
    <n v="0.13486790064863155"/>
    <n v="0.72180765776147804"/>
    <x v="0"/>
    <n v="1012"/>
    <n v="15"/>
    <n v="1684"/>
    <n v="5970"/>
    <n v="5279"/>
    <n v="7.3008755725622515E-2"/>
    <n v="61971"/>
    <n v="31714"/>
    <n v="30257"/>
    <s v="USA"/>
    <d v="2018-10-19T00:00:00"/>
    <s v="Has no high school or college education"/>
    <x v="0"/>
    <x v="2"/>
    <n v="28"/>
    <x v="0"/>
  </r>
  <r>
    <s v="3c159947bd2b43b5983d9e5b01b136be"/>
    <n v="87051"/>
    <n v="2319"/>
    <n v="37.538163001293661"/>
    <n v="0.18863398493112393"/>
    <s v="Power User"/>
    <n v="9366"/>
    <n v="0.10759210118206569"/>
    <n v="0.74086378737541525"/>
    <n v="2.4229387313579087"/>
    <x v="0"/>
    <n v="3102"/>
    <n v="643"/>
    <n v="16048"/>
    <n v="43759"/>
    <n v="46393"/>
    <n v="0.56394318674483046"/>
    <n v="478684"/>
    <n v="290148"/>
    <n v="188536"/>
    <s v="Switzerland"/>
    <d v="2014-02-28T00:00:00"/>
    <s v="Has no high school or college education"/>
    <x v="0"/>
    <x v="2"/>
    <n v="32"/>
    <x v="3"/>
  </r>
  <r>
    <s v="1ac53ffae85b2a82cc85cc5fbe07e0dc"/>
    <n v="2093"/>
    <n v="57"/>
    <n v="36.719298245614034"/>
    <n v="0.18451908666137706"/>
    <s v="Power User"/>
    <n v="77"/>
    <n v="3.678929765886288E-2"/>
    <n v="6.090808416389812E-3"/>
    <n v="0.3917403269974406"/>
    <x v="1"/>
    <n v="22"/>
    <n v="0"/>
    <n v="99"/>
    <n v="885"/>
    <n v="720"/>
    <n v="1.0520536841906845E-2"/>
    <n v="8930"/>
    <n v="2189"/>
    <n v="6741"/>
    <s v="unknown"/>
    <d v="2020-07-07T00:00:00"/>
    <s v="Has no high school or college education"/>
    <x v="0"/>
    <x v="2"/>
    <n v="21"/>
    <x v="0"/>
  </r>
  <r>
    <s v="7c135f11a272156b4c3bc01427388f3d"/>
    <n v="12849"/>
    <n v="351"/>
    <n v="36.606837606837608"/>
    <n v="0.18395395782330456"/>
    <s v="Power User"/>
    <n v="1068"/>
    <n v="8.3119308895633903E-2"/>
    <n v="8.4480303749406738E-2"/>
    <n v="0.5748084300274795"/>
    <x v="0"/>
    <n v="385"/>
    <n v="21"/>
    <n v="2996"/>
    <n v="9745"/>
    <n v="10780"/>
    <n v="3.7939906882056888E-2"/>
    <n v="32204"/>
    <n v="7553"/>
    <n v="24651"/>
    <s v="USA"/>
    <d v="2019-05-21T00:00:00"/>
    <s v="Has no high school or college education"/>
    <x v="1"/>
    <x v="24"/>
    <n v="25"/>
    <x v="0"/>
  </r>
  <r>
    <s v="c23f98daaea45303ed4e69401bd88d4f"/>
    <n v="291"/>
    <n v="8"/>
    <n v="36.375"/>
    <n v="0.18278894472361809"/>
    <s v="Power User"/>
    <n v="11"/>
    <n v="3.7800687285223365E-2"/>
    <n v="8.7011548805568742E-4"/>
    <n v="0.36848562904712467"/>
    <x v="1"/>
    <n v="5"/>
    <n v="0"/>
    <n v="26"/>
    <n v="87"/>
    <n v="117"/>
    <n v="1.1675086237771201E-3"/>
    <n v="991"/>
    <n v="366"/>
    <n v="625"/>
    <s v="unknown"/>
    <d v="2020-11-22T00:00:00"/>
    <s v="Has no high school or college education"/>
    <x v="0"/>
    <x v="2"/>
    <n v="22"/>
    <x v="0"/>
  </r>
  <r>
    <s v="286881d4be7f6f2f142859907d9d0690"/>
    <n v="1270"/>
    <n v="35"/>
    <n v="36.285714285714285"/>
    <n v="0.18234027279253409"/>
    <s v="Power User"/>
    <n v="43"/>
    <n v="3.3858267716535433E-2"/>
    <n v="3.4013605442176869E-3"/>
    <n v="0.39229460858977283"/>
    <x v="1"/>
    <n v="24"/>
    <n v="3"/>
    <n v="55"/>
    <n v="82"/>
    <n v="55"/>
    <n v="2.0811341916269252E-2"/>
    <n v="17665"/>
    <n v="3393"/>
    <n v="14272"/>
    <s v="USA"/>
    <d v="2021-02-20T00:00:00"/>
    <s v="Has no high school or college education"/>
    <x v="0"/>
    <x v="2"/>
    <n v="27"/>
    <x v="0"/>
  </r>
  <r>
    <s v="c91d9d2f4e0c5669a12c350577a54a4d"/>
    <n v="1191"/>
    <n v="33"/>
    <n v="36.090909090909093"/>
    <n v="0.18136135221562358"/>
    <s v="Power User"/>
    <n v="45"/>
    <n v="3.7783375314861464E-2"/>
    <n v="3.559563360227812E-3"/>
    <n v="0.37430451800020703"/>
    <x v="1"/>
    <n v="24"/>
    <n v="0"/>
    <n v="92"/>
    <n v="162"/>
    <n v="128"/>
    <n v="4.4626868485042699E-3"/>
    <n v="3788"/>
    <n v="2122"/>
    <n v="1666"/>
    <s v="United Kingdom"/>
    <d v="2020-12-22T00:00:00"/>
    <s v="Has no high school or college education"/>
    <x v="0"/>
    <x v="2"/>
    <n v="24"/>
    <x v="0"/>
  </r>
  <r>
    <s v="2bcdaf372d5d58aae7344dba7cb4fcb5"/>
    <n v="3185"/>
    <n v="89"/>
    <n v="35.786516853932582"/>
    <n v="0.17983174298458585"/>
    <s v="Power User"/>
    <n v="23"/>
    <n v="7.2213500784929358E-3"/>
    <n v="1.8193323841164373E-3"/>
    <n v="0.37045917888013513"/>
    <x v="1"/>
    <n v="7"/>
    <n v="0"/>
    <n v="60"/>
    <n v="1843"/>
    <n v="2170"/>
    <n v="7.1570281427305801E-3"/>
    <n v="6075"/>
    <n v="481"/>
    <n v="5594"/>
    <s v="Finland"/>
    <d v="2020-11-04T00:00:00"/>
    <s v="Has no high school or college education"/>
    <x v="0"/>
    <x v="2"/>
    <n v="22"/>
    <x v="0"/>
  </r>
  <r>
    <s v="7e802ffc679ac9b03a337c85eb68a346"/>
    <n v="27286"/>
    <n v="764"/>
    <n v="35.714659685863872"/>
    <n v="0.17947065168775814"/>
    <s v="Power User"/>
    <n v="831"/>
    <n v="3.0455178479806493E-2"/>
    <n v="6.573327005220693E-2"/>
    <n v="0.5755087369597891"/>
    <x v="0"/>
    <n v="204"/>
    <n v="50"/>
    <n v="1341"/>
    <n v="10943"/>
    <n v="9089"/>
    <n v="8.5100893479858997E-2"/>
    <n v="72235"/>
    <n v="35039"/>
    <n v="37196"/>
    <s v="unknown"/>
    <d v="2018-04-14T00:00:00"/>
    <s v="Has no high school or college education"/>
    <x v="0"/>
    <x v="25"/>
    <n v="22"/>
    <x v="0"/>
  </r>
  <r>
    <s v="0f0b1b4709811a1653dc050ed8192984"/>
    <n v="107"/>
    <n v="3"/>
    <n v="35.666666666666664"/>
    <n v="0.17922948073701842"/>
    <s v="Power User"/>
    <n v="4"/>
    <n v="3.7383177570093455E-2"/>
    <n v="3.1640563202024995E-4"/>
    <n v="0.35992234143612262"/>
    <x v="1"/>
    <n v="2"/>
    <n v="0"/>
    <n v="8"/>
    <n v="19"/>
    <n v="11"/>
    <n v="8.3056869804527713E-4"/>
    <n v="705"/>
    <n v="292"/>
    <n v="413"/>
    <s v="unknown"/>
    <d v="2020-12-14T00:00:00"/>
    <s v="Has no high school or college education"/>
    <x v="0"/>
    <x v="2"/>
    <n v="30"/>
    <x v="0"/>
  </r>
  <r>
    <s v="561db49881acc5a8bded1bef6f494e08"/>
    <n v="2310"/>
    <n v="65"/>
    <n v="35.53846153846154"/>
    <n v="0.17858523386161579"/>
    <s v="Power User"/>
    <n v="87"/>
    <n v="3.7662337662337661E-2"/>
    <n v="6.8818224964404366E-3"/>
    <n v="0.40143895711112854"/>
    <x v="1"/>
    <n v="20"/>
    <n v="1"/>
    <n v="52"/>
    <n v="922"/>
    <n v="743"/>
    <n v="3.0504844395016117E-2"/>
    <n v="25893"/>
    <n v="7756"/>
    <n v="18137"/>
    <s v="Turkey"/>
    <d v="2021-01-04T00:00:00"/>
    <s v="Has no high school or college education"/>
    <x v="0"/>
    <x v="2"/>
    <n v="41"/>
    <x v="2"/>
  </r>
  <r>
    <s v="146bf047cfbbd7e6ad3b734350ae3b1f"/>
    <n v="12789"/>
    <n v="360"/>
    <n v="35.524999999999999"/>
    <n v="0.17851758793969849"/>
    <s v="Power User"/>
    <n v="250"/>
    <n v="1.9548049104699351E-2"/>
    <n v="1.9775352001265623E-2"/>
    <n v="0.81620921403208568"/>
    <x v="0"/>
    <n v="7"/>
    <n v="23"/>
    <n v="683"/>
    <n v="4995"/>
    <n v="4407"/>
    <n v="0.4196233341501574"/>
    <n v="356183"/>
    <n v="6348"/>
    <n v="349835"/>
    <s v="unknown"/>
    <d v="2020-03-29T00:00:00"/>
    <s v="Has no high school or college education"/>
    <x v="0"/>
    <x v="2"/>
    <n v="21"/>
    <x v="0"/>
  </r>
  <r>
    <s v="98dbfdbe60e16880422a8a0a9328580b"/>
    <n v="1958"/>
    <n v="56"/>
    <n v="34.964285714285715"/>
    <n v="0.17569992821249103"/>
    <s v="Power User"/>
    <n v="59"/>
    <n v="3.0132788559754851E-2"/>
    <n v="4.6669830722986866E-3"/>
    <n v="0.38902735143802675"/>
    <x v="1"/>
    <n v="18"/>
    <n v="15"/>
    <n v="205"/>
    <n v="497"/>
    <n v="658"/>
    <n v="2.8293528868447344E-2"/>
    <n v="24016"/>
    <n v="624"/>
    <n v="23392"/>
    <s v="unknown"/>
    <d v="2019-10-30T00:00:00"/>
    <s v="Has no high school or college education"/>
    <x v="1"/>
    <x v="2"/>
    <n v="23"/>
    <x v="0"/>
  </r>
  <r>
    <s v="7c82a9424b075c5cae4a48486eda0e77"/>
    <n v="18657"/>
    <n v="541"/>
    <n v="34.486136783733826"/>
    <n v="0.17329716976750667"/>
    <s v="Power User"/>
    <n v="59"/>
    <n v="3.1623519322506299E-3"/>
    <n v="4.6669830722986866E-3"/>
    <n v="0.50940090751557987"/>
    <x v="1"/>
    <n v="21"/>
    <n v="1"/>
    <n v="99"/>
    <n v="18145"/>
    <n v="18055"/>
    <n v="0.15347260183596917"/>
    <n v="130270"/>
    <n v="4802"/>
    <n v="125468"/>
    <s v="unknown"/>
    <d v="2019-10-05T00:00:00"/>
    <s v="Has no high school or college education"/>
    <x v="0"/>
    <x v="2"/>
    <n v="28"/>
    <x v="0"/>
  </r>
  <r>
    <s v="8562d2d7953439cdd053be1375a0a20c"/>
    <n v="15961"/>
    <n v="467"/>
    <n v="34.177730192719487"/>
    <n v="0.171747387903113"/>
    <s v="Power User"/>
    <n v="1305"/>
    <n v="8.1761794373786098E-2"/>
    <n v="0.10322733744660655"/>
    <n v="0.68363213340099049"/>
    <x v="0"/>
    <n v="248"/>
    <n v="6"/>
    <n v="1496"/>
    <n v="11650"/>
    <n v="9030"/>
    <n v="0.13368268270155134"/>
    <n v="113472"/>
    <n v="25673"/>
    <n v="87799"/>
    <s v="USA"/>
    <d v="2018-06-17T00:00:00"/>
    <s v="Has no high school or college education"/>
    <x v="0"/>
    <x v="2"/>
    <n v="18"/>
    <x v="1"/>
  </r>
  <r>
    <s v="0c40d224a9fb85e31f68546a7576232c"/>
    <n v="1227"/>
    <n v="36"/>
    <n v="34.083333333333336"/>
    <n v="0.17127303182579565"/>
    <s v="Power User"/>
    <n v="53"/>
    <n v="4.3194784026079867E-2"/>
    <n v="4.192374624268312E-3"/>
    <n v="0.35871341831755643"/>
    <x v="1"/>
    <n v="14"/>
    <n v="1"/>
    <n v="49"/>
    <n v="986"/>
    <n v="772"/>
    <n v="7.7826054174285125E-3"/>
    <n v="6606"/>
    <n v="844"/>
    <n v="5762"/>
    <s v="Germany"/>
    <d v="2021-03-08T00:00:00"/>
    <s v="Has no high school or college education"/>
    <x v="0"/>
    <x v="2"/>
    <n v="29"/>
    <x v="0"/>
  </r>
  <r>
    <s v="90f14cc2a84923e4cefec06b5e98929b"/>
    <n v="1667"/>
    <n v="49"/>
    <n v="34.020408163265309"/>
    <n v="0.1709568249410317"/>
    <s v="Power User"/>
    <n v="157"/>
    <n v="9.4181163767246556E-2"/>
    <n v="1.2418921056794811E-2"/>
    <n v="0.3819255697698703"/>
    <x v="1"/>
    <n v="95"/>
    <n v="8"/>
    <n v="320"/>
    <n v="381"/>
    <n v="284"/>
    <n v="1.5174077774217263E-2"/>
    <n v="12880"/>
    <n v="5085"/>
    <n v="7795"/>
    <s v="unknown"/>
    <d v="2019-10-27T00:00:00"/>
    <s v="Has no high school or college education"/>
    <x v="0"/>
    <x v="2"/>
    <n v="19"/>
    <x v="1"/>
  </r>
  <r>
    <s v="bef284175fa2b84be59f32c74f70fa35"/>
    <n v="3318"/>
    <n v="98"/>
    <n v="33.857142857142854"/>
    <n v="0.17013639626704952"/>
    <s v="Power User"/>
    <n v="144"/>
    <n v="4.3399638336347197E-2"/>
    <n v="1.1390602752728999E-2"/>
    <n v="0.39289792181102223"/>
    <x v="1"/>
    <n v="23"/>
    <n v="39"/>
    <n v="498"/>
    <n v="1356"/>
    <n v="1142"/>
    <n v="2.9843923771465195E-2"/>
    <n v="25332"/>
    <n v="24075"/>
    <n v="1257"/>
    <s v="Poland"/>
    <d v="2021-01-05T00:00:00"/>
    <s v="Has no high school or college education"/>
    <x v="0"/>
    <x v="2"/>
    <n v="22"/>
    <x v="0"/>
  </r>
  <r>
    <s v="62292fba3e9dd9af3827c98c3500912b"/>
    <n v="13772"/>
    <n v="407"/>
    <n v="33.837837837837839"/>
    <n v="0.17003938611978814"/>
    <s v="Power User"/>
    <n v="101"/>
    <n v="7.3337205925065353E-3"/>
    <n v="7.9892422085113112E-3"/>
    <n v="0.41592182094379421"/>
    <x v="1"/>
    <n v="26"/>
    <n v="32"/>
    <n v="753"/>
    <n v="305"/>
    <n v="313"/>
    <n v="5.9864564287195339E-2"/>
    <n v="50814"/>
    <n v="15205"/>
    <n v="35609"/>
    <s v="USA"/>
    <d v="2020-02-29T00:00:00"/>
    <s v="Has no high school or college education"/>
    <x v="0"/>
    <x v="2"/>
    <n v="22"/>
    <x v="0"/>
  </r>
  <r>
    <s v="9fd428e515ede3a5a3bb4dfd00b9f1ba"/>
    <n v="1183"/>
    <n v="35"/>
    <n v="33.799999999999997"/>
    <n v="0.16984924623115577"/>
    <s v="Power User"/>
    <n v="20"/>
    <n v="1.69061707523246E-2"/>
    <n v="1.5820281601012498E-3"/>
    <n v="0.36260887778667983"/>
    <x v="1"/>
    <n v="1"/>
    <n v="0"/>
    <n v="36"/>
    <n v="200"/>
    <n v="157"/>
    <n v="1.9746329004165803E-2"/>
    <n v="16761"/>
    <n v="399"/>
    <n v="16362"/>
    <s v="unknown"/>
    <d v="2021-01-13T00:00:00"/>
    <s v="Has no high school or college education"/>
    <x v="0"/>
    <x v="2"/>
    <n v="18"/>
    <x v="1"/>
  </r>
  <r>
    <s v="e33a8d4fe34f9a7769b2b7db9d655655"/>
    <n v="4531"/>
    <n v="135"/>
    <n v="33.562962962962963"/>
    <n v="0.16865810534152242"/>
    <s v="Power User"/>
    <n v="91"/>
    <n v="2.0083866696093577E-2"/>
    <n v="7.1982281284606866E-3"/>
    <n v="0.35942694188294561"/>
    <x v="1"/>
    <n v="9"/>
    <n v="4"/>
    <n v="132"/>
    <n v="1750"/>
    <n v="865"/>
    <n v="7.714274942979397E-3"/>
    <n v="6548"/>
    <n v="2836"/>
    <n v="3712"/>
    <s v="Switzerland"/>
    <d v="2019-11-24T00:00:00"/>
    <s v="Has no high school or college education"/>
    <x v="0"/>
    <x v="2"/>
    <n v="32"/>
    <x v="3"/>
  </r>
  <r>
    <s v="6bb73fcf408f271bb69e38c782a0c6e4"/>
    <n v="45085"/>
    <n v="1370"/>
    <n v="32.908759124087588"/>
    <n v="0.16537064886476174"/>
    <s v="Power User"/>
    <n v="121"/>
    <n v="2.6838194521459466E-3"/>
    <n v="9.5712703686125621E-3"/>
    <n v="0.66562128922168251"/>
    <x v="0"/>
    <n v="29"/>
    <n v="5"/>
    <n v="1258"/>
    <n v="1694"/>
    <n v="1954"/>
    <n v="0.31573745075493392"/>
    <n v="268003"/>
    <n v="35008"/>
    <n v="232995"/>
    <s v="unknown"/>
    <d v="2017-01-13T00:00:00"/>
    <s v="Has high school and/or college education"/>
    <x v="0"/>
    <x v="2"/>
    <n v="24"/>
    <x v="0"/>
  </r>
  <r>
    <s v="bd448444483c741ab5871f301bb2e412"/>
    <n v="10801"/>
    <n v="329"/>
    <n v="32.829787234042556"/>
    <n v="0.16497380519619376"/>
    <s v="Power User"/>
    <n v="1105"/>
    <n v="0.10230534209795389"/>
    <n v="8.7407055845594051E-2"/>
    <n v="0.73302438442735807"/>
    <x v="0"/>
    <n v="234"/>
    <n v="8"/>
    <n v="744"/>
    <n v="5214"/>
    <n v="3711"/>
    <n v="0.2282626623437824"/>
    <n v="193753"/>
    <n v="8919"/>
    <n v="184834"/>
    <s v="USA"/>
    <d v="2020-05-19T00:00:00"/>
    <s v="Has no high school or college education"/>
    <x v="0"/>
    <x v="26"/>
    <n v="28"/>
    <x v="0"/>
  </r>
  <r>
    <s v="1429e542fc9135be6f100bac9766c698"/>
    <n v="1050"/>
    <n v="32"/>
    <n v="32.8125"/>
    <n v="0.16488693467336685"/>
    <s v="Power User"/>
    <n v="14"/>
    <n v="1.3333333333333334E-2"/>
    <n v="1.1074197120708748E-3"/>
    <n v="0.3366198655822456"/>
    <x v="1"/>
    <n v="0"/>
    <n v="1"/>
    <n v="17"/>
    <n v="557"/>
    <n v="496"/>
    <n v="4.6311568113701906E-3"/>
    <n v="3931"/>
    <n v="2485"/>
    <n v="1446"/>
    <s v="Hungary"/>
    <d v="2020-07-26T00:00:00"/>
    <s v="Has no high school or college education"/>
    <x v="0"/>
    <x v="2"/>
    <n v="27"/>
    <x v="0"/>
  </r>
  <r>
    <s v="6bd87fe2095b62f211da610ef579a5d0"/>
    <n v="3737"/>
    <n v="114"/>
    <n v="32.780701754385966"/>
    <n v="0.16472714449440184"/>
    <s v="Power User"/>
    <n v="163"/>
    <n v="4.3617875301043621E-2"/>
    <n v="1.2893529504825186E-2"/>
    <n v="0.37242174987589277"/>
    <x v="1"/>
    <n v="57"/>
    <n v="4"/>
    <n v="109"/>
    <n v="1233"/>
    <n v="884"/>
    <n v="1.7180401877438693E-2"/>
    <n v="14583"/>
    <n v="6407"/>
    <n v="8176"/>
    <s v="USA"/>
    <d v="2020-12-20T00:00:00"/>
    <s v="Has no high school or college education"/>
    <x v="0"/>
    <x v="3"/>
    <n v="22"/>
    <x v="0"/>
  </r>
  <r>
    <s v="75a4334c1dc5493750a3479684bba6c0"/>
    <n v="1204"/>
    <n v="37"/>
    <n v="32.54054054054054"/>
    <n v="0.1635203042238218"/>
    <s v="Power User"/>
    <n v="167"/>
    <n v="0.13870431893687707"/>
    <n v="1.3209935136845435E-2"/>
    <n v="0.38205206983177536"/>
    <x v="1"/>
    <n v="18"/>
    <n v="76"/>
    <n v="235"/>
    <n v="630"/>
    <n v="865"/>
    <n v="2.8591591110440896E-2"/>
    <n v="24269"/>
    <n v="444"/>
    <n v="23825"/>
    <s v="unknown"/>
    <d v="2021-03-07T00:00:00"/>
    <s v="Has no high school or college education"/>
    <x v="1"/>
    <x v="27"/>
    <n v="18"/>
    <x v="1"/>
  </r>
  <r>
    <s v="7c9430d4bab179ae11c228be13848e2d"/>
    <n v="2405"/>
    <n v="74"/>
    <n v="32.5"/>
    <n v="0.16331658291457288"/>
    <s v="Power User"/>
    <n v="87"/>
    <n v="3.6174636174636177E-2"/>
    <n v="6.8818224964404366E-3"/>
    <n v="0.36989554788636092"/>
    <x v="1"/>
    <n v="18"/>
    <n v="0"/>
    <n v="86"/>
    <n v="816"/>
    <n v="549"/>
    <n v="2.949873706433432E-2"/>
    <n v="25039"/>
    <n v="4369"/>
    <n v="20670"/>
    <s v="Austria"/>
    <d v="2021-01-29T00:00:00"/>
    <s v="Has no high school or college education"/>
    <x v="0"/>
    <x v="2"/>
    <n v="24"/>
    <x v="0"/>
  </r>
  <r>
    <s v="79c23942848aa68a34f5e361da66ade5"/>
    <n v="3079"/>
    <n v="95"/>
    <n v="32.410526315789475"/>
    <n v="0.1628669664110024"/>
    <s v="Power User"/>
    <n v="112"/>
    <n v="3.6375446573562842E-2"/>
    <n v="8.8593576965669985E-3"/>
    <n v="0.39539912424763585"/>
    <x v="1"/>
    <n v="28"/>
    <n v="6"/>
    <n v="132"/>
    <n v="886"/>
    <n v="720"/>
    <n v="5.1946476032497031E-2"/>
    <n v="44093"/>
    <n v="1753"/>
    <n v="42340"/>
    <s v="unknown"/>
    <d v="2020-10-30T00:00:00"/>
    <s v="Has no high school or college education"/>
    <x v="0"/>
    <x v="2"/>
    <n v="29"/>
    <x v="0"/>
  </r>
  <r>
    <s v="f30885481cdab503cbc9a2780d22e948"/>
    <n v="419"/>
    <n v="13"/>
    <n v="32.230769230769234"/>
    <n v="0.16196366447622731"/>
    <s v="Power User"/>
    <n v="2"/>
    <n v="4.7732696897374704E-3"/>
    <n v="1.5820281601012498E-4"/>
    <n v="0.33321505463499229"/>
    <x v="1"/>
    <n v="0"/>
    <n v="0"/>
    <n v="2"/>
    <n v="6"/>
    <n v="1"/>
    <n v="8.9713200505174267E-3"/>
    <n v="7615"/>
    <n v="1246"/>
    <n v="6369"/>
    <s v="unknown"/>
    <d v="2020-10-19T00:00:00"/>
    <s v="Has no high school or college education"/>
    <x v="0"/>
    <x v="2"/>
    <n v="32"/>
    <x v="3"/>
  </r>
  <r>
    <s v="f1e05ea3835fd931449971bda301713d"/>
    <n v="35392"/>
    <n v="1111"/>
    <n v="31.855985598559855"/>
    <n v="0.1600803296410043"/>
    <s v="Power User"/>
    <n v="1310"/>
    <n v="3.7014014466546112E-2"/>
    <n v="0.10362284448663187"/>
    <n v="0.68343191799005587"/>
    <x v="0"/>
    <n v="579"/>
    <n v="12"/>
    <n v="1751"/>
    <n v="8055"/>
    <n v="6661"/>
    <n v="0.15602556973478351"/>
    <n v="132437"/>
    <n v="112992"/>
    <n v="19445"/>
    <s v="USA"/>
    <d v="2016-11-10T00:00:00"/>
    <s v="Has high school and/or college education"/>
    <x v="0"/>
    <x v="2"/>
    <n v="18"/>
    <x v="1"/>
  </r>
  <r>
    <s v="f0c8cee8d3ecb7ad9de6fd6f29de44df"/>
    <n v="987"/>
    <n v="31"/>
    <n v="31.838709677419356"/>
    <n v="0.15999351596693143"/>
    <s v="Power User"/>
    <n v="28"/>
    <n v="2.8368794326241134E-2"/>
    <n v="2.2148394241417496E-3"/>
    <n v="0.34561447331254164"/>
    <x v="1"/>
    <n v="17"/>
    <n v="2"/>
    <n v="36"/>
    <n v="77"/>
    <n v="61"/>
    <n v="2.1197762530395282E-2"/>
    <n v="17993"/>
    <n v="3388"/>
    <n v="14605"/>
    <s v="USA"/>
    <d v="2021-02-14T00:00:00"/>
    <s v="Has no high school or college education"/>
    <x v="0"/>
    <x v="2"/>
    <n v="18"/>
    <x v="1"/>
  </r>
  <r>
    <s v="318ddef3a198beea03dcf926f51f5225"/>
    <n v="53960"/>
    <n v="1701"/>
    <n v="31.722516166960613"/>
    <n v="0.15940962897970157"/>
    <s v="Power User"/>
    <n v="3657"/>
    <n v="6.7772424017790961E-2"/>
    <n v="0.28927384907451353"/>
    <n v="1.4053627997306051"/>
    <x v="0"/>
    <n v="1410"/>
    <n v="187"/>
    <n v="6451"/>
    <n v="21635"/>
    <n v="19434"/>
    <n v="0.50799584362217487"/>
    <n v="431195"/>
    <n v="142240"/>
    <n v="288955"/>
    <s v="USA"/>
    <d v="2015-05-10T00:00:00"/>
    <s v="Has no high school or college education"/>
    <x v="0"/>
    <x v="28"/>
    <n v="35"/>
    <x v="3"/>
  </r>
  <r>
    <s v="deecc407f52d71794d8892a89dfccfbe"/>
    <n v="34883"/>
    <n v="1103"/>
    <n v="31.625566636446056"/>
    <n v="0.15892244540927666"/>
    <s v="Power User"/>
    <n v="3437"/>
    <n v="9.8529369606971881E-2"/>
    <n v="0.2718715393133998"/>
    <n v="0.98814072057162761"/>
    <x v="0"/>
    <n v="904"/>
    <n v="102"/>
    <n v="5393"/>
    <n v="21258"/>
    <n v="19447"/>
    <n v="0.1265527511262747"/>
    <n v="107420"/>
    <n v="89628"/>
    <n v="17792"/>
    <s v="unknown"/>
    <d v="2016-06-05T00:00:00"/>
    <s v="Has high school and/or college education"/>
    <x v="0"/>
    <x v="2"/>
    <n v="27"/>
    <x v="0"/>
  </r>
  <r>
    <s v="dd838e84786d7309973cb0bebb6b3ce8"/>
    <n v="4736"/>
    <n v="151"/>
    <n v="31.364238410596027"/>
    <n v="0.15760923824420114"/>
    <s v="Power User"/>
    <n v="237"/>
    <n v="5.0042229729729729E-2"/>
    <n v="1.8747033697199812E-2"/>
    <n v="0.36707608085665727"/>
    <x v="1"/>
    <n v="81"/>
    <n v="0"/>
    <n v="278"/>
    <n v="1601"/>
    <n v="1350"/>
    <n v="1.4363536973855347E-2"/>
    <n v="12192"/>
    <n v="4018"/>
    <n v="8174"/>
    <s v="Finland"/>
    <d v="2019-06-19T00:00:00"/>
    <s v="Has no high school or college education"/>
    <x v="0"/>
    <x v="3"/>
    <n v="21"/>
    <x v="0"/>
  </r>
  <r>
    <s v="884cdc349fa1beed40cc2fe911944990"/>
    <n v="10301"/>
    <n v="332"/>
    <n v="31.027108433734941"/>
    <n v="0.15591511775746203"/>
    <s v="Power User"/>
    <n v="357"/>
    <n v="3.465682943403553E-2"/>
    <n v="2.823920265780731E-2"/>
    <n v="0.55398845836460964"/>
    <x v="0"/>
    <n v="178"/>
    <n v="39"/>
    <n v="1613"/>
    <n v="1055"/>
    <n v="964"/>
    <n v="0.18567981753407098"/>
    <n v="157608"/>
    <n v="44561"/>
    <n v="113047"/>
    <s v="unknown"/>
    <d v="2020-01-01T00:00:00"/>
    <s v="Has no high school or college education"/>
    <x v="0"/>
    <x v="29"/>
    <n v="27"/>
    <x v="0"/>
  </r>
  <r>
    <s v="55db97bdacde0421d7fba684872c93a5"/>
    <n v="2626"/>
    <n v="85"/>
    <n v="30.894117647058824"/>
    <n v="0.15524682234702927"/>
    <s v="Power User"/>
    <n v="467"/>
    <n v="0.17783701447067785"/>
    <n v="3.694035753836418E-2"/>
    <n v="0.39581735801775675"/>
    <x v="1"/>
    <n v="182"/>
    <n v="5"/>
    <n v="671"/>
    <n v="2820"/>
    <n v="2478"/>
    <n v="1.1442998246969897E-2"/>
    <n v="9713"/>
    <n v="6225"/>
    <n v="3488"/>
    <s v="unknown"/>
    <d v="2020-08-13T00:00:00"/>
    <s v="Has no high school or college education"/>
    <x v="0"/>
    <x v="30"/>
    <n v="22"/>
    <x v="0"/>
  </r>
  <r>
    <s v="865c1f9b14bb8b7ffbfd735ae09f799f"/>
    <n v="10163"/>
    <n v="329"/>
    <n v="30.890577507598785"/>
    <n v="0.15522903270150143"/>
    <s v="Power User"/>
    <n v="150"/>
    <n v="1.4759421430679917E-2"/>
    <n v="1.1865211200759373E-2"/>
    <n v="0.35788502509882331"/>
    <x v="1"/>
    <n v="36"/>
    <n v="4"/>
    <n v="291"/>
    <n v="2774"/>
    <n v="2539"/>
    <n v="2.3696537294301708E-2"/>
    <n v="20114"/>
    <n v="9126"/>
    <n v="10988"/>
    <s v="Belgium"/>
    <d v="2020-05-15T00:00:00"/>
    <s v="Has no high school or college education"/>
    <x v="0"/>
    <x v="31"/>
    <n v="31"/>
    <x v="3"/>
  </r>
  <r>
    <s v="599fc7d0cab0f20d0e5e0bb909125e6e"/>
    <n v="1102"/>
    <n v="36"/>
    <n v="30.611111111111111"/>
    <n v="0.15382467895030708"/>
    <s v="Power User"/>
    <n v="253"/>
    <n v="0.22958257713248639"/>
    <n v="2.0012656225280812E-2"/>
    <n v="0.36799827405327373"/>
    <x v="1"/>
    <n v="109"/>
    <n v="26"/>
    <n v="326"/>
    <n v="2544"/>
    <n v="2517"/>
    <n v="2.032360370209798E-2"/>
    <n v="17251"/>
    <n v="8205"/>
    <n v="9046"/>
    <s v="Poland"/>
    <d v="2021-03-05T00:00:00"/>
    <s v="Has no high school or college education"/>
    <x v="0"/>
    <x v="2"/>
    <n v="26"/>
    <x v="0"/>
  </r>
  <r>
    <s v="4167343e1d190ff1a97fa81d211f4841"/>
    <n v="9875"/>
    <n v="323"/>
    <n v="30.572755417956657"/>
    <n v="0.15363193677365153"/>
    <s v="Power User"/>
    <n v="86"/>
    <n v="8.7088607594936716E-3"/>
    <n v="6.8027210884353739E-3"/>
    <n v="0.40718484229294727"/>
    <x v="1"/>
    <n v="22"/>
    <n v="11"/>
    <n v="578"/>
    <n v="759"/>
    <n v="691"/>
    <n v="8.6315526568773449E-2"/>
    <n v="73266"/>
    <n v="33198"/>
    <n v="40068"/>
    <s v="unknown"/>
    <d v="2019-12-30T00:00:00"/>
    <s v="Has no high school or college education"/>
    <x v="0"/>
    <x v="2"/>
    <n v="21"/>
    <x v="0"/>
  </r>
  <r>
    <s v="657d14b57834421190dbfb86088f0239"/>
    <n v="489"/>
    <n v="16"/>
    <n v="30.5625"/>
    <n v="0.15358040201005024"/>
    <s v="Power User"/>
    <n v="20"/>
    <n v="4.0899795501022497E-2"/>
    <n v="1.5820281601012498E-3"/>
    <n v="0.31171856639673923"/>
    <x v="1"/>
    <n v="8"/>
    <n v="0"/>
    <n v="27"/>
    <n v="205"/>
    <n v="168"/>
    <n v="1.3937060564362595E-3"/>
    <n v="1183"/>
    <n v="1062"/>
    <n v="121"/>
    <s v="unknown"/>
    <d v="2021-01-17T00:00:00"/>
    <s v="Has no high school or college education"/>
    <x v="0"/>
    <x v="2"/>
    <n v="29"/>
    <x v="0"/>
  </r>
  <r>
    <s v="4e181db19bfe31ca64efc5c6346ca909"/>
    <n v="609"/>
    <n v="20"/>
    <n v="30.45"/>
    <n v="0.15301507537688441"/>
    <s v="Power User"/>
    <n v="4"/>
    <n v="6.5681444991789817E-3"/>
    <n v="3.1640563202024995E-4"/>
    <n v="0.30839596422323434"/>
    <x v="1"/>
    <n v="0"/>
    <n v="0"/>
    <n v="43"/>
    <n v="65"/>
    <n v="46"/>
    <n v="1.7330022054249685E-3"/>
    <n v="1471"/>
    <n v="185"/>
    <n v="1286"/>
    <s v="unknown"/>
    <d v="2020-11-08T00:00:00"/>
    <s v="Has no high school or college education"/>
    <x v="0"/>
    <x v="2"/>
    <n v="21"/>
    <x v="0"/>
  </r>
  <r>
    <s v="dd48110d5e5377e14aaeae0a57c2509c"/>
    <n v="243"/>
    <n v="8"/>
    <n v="30.375"/>
    <n v="0.15263819095477388"/>
    <s v="Power User"/>
    <n v="53"/>
    <n v="0.21810699588477367"/>
    <n v="4.192374624268312E-3"/>
    <n v="0.31500535652612643"/>
    <x v="1"/>
    <n v="19"/>
    <n v="0"/>
    <n v="14"/>
    <n v="2254"/>
    <n v="2240"/>
    <n v="1.3442253680420726E-3"/>
    <n v="1141"/>
    <n v="906"/>
    <n v="235"/>
    <s v="South Korea"/>
    <d v="2021-04-07T00:00:00"/>
    <s v="Has no high school or college education"/>
    <x v="0"/>
    <x v="2"/>
    <n v="31"/>
    <x v="3"/>
  </r>
  <r>
    <s v="d09c4fe215a34895d092aa4469c6a3ad"/>
    <n v="3785"/>
    <n v="125"/>
    <n v="30.28"/>
    <n v="0.15216080402010052"/>
    <s v="Power User"/>
    <n v="112"/>
    <n v="2.9590488771466316E-2"/>
    <n v="8.8593576965669985E-3"/>
    <n v="0.34835698098927181"/>
    <x v="1"/>
    <n v="47"/>
    <n v="13"/>
    <n v="105"/>
    <n v="355"/>
    <n v="281"/>
    <n v="2.6316657555936741E-2"/>
    <n v="22338"/>
    <n v="8342"/>
    <n v="13996"/>
    <s v="USA"/>
    <d v="2020-12-09T00:00:00"/>
    <s v="Has no high school or college education"/>
    <x v="0"/>
    <x v="2"/>
    <n v="27"/>
    <x v="0"/>
  </r>
  <r>
    <s v="a356ee2959f99a0c4899e0e2928c6183"/>
    <n v="779"/>
    <n v="26"/>
    <n v="29.96153846153846"/>
    <n v="0.1505604947816003"/>
    <s v="Power User"/>
    <n v="2"/>
    <n v="2.5673940949935813E-3"/>
    <n v="1.5820281601012498E-4"/>
    <n v="0.3049505240712081"/>
    <x v="1"/>
    <n v="2"/>
    <n v="0"/>
    <n v="3"/>
    <n v="2"/>
    <n v="0"/>
    <n v="3.5131288759872575E-3"/>
    <n v="2982"/>
    <n v="1739"/>
    <n v="1243"/>
    <s v="unknown"/>
    <d v="2021-02-01T00:00:00"/>
    <s v="Has no high school or college education"/>
    <x v="0"/>
    <x v="2"/>
    <n v="27"/>
    <x v="0"/>
  </r>
  <r>
    <s v="fb487fed44d3650e764bea3466d064cf"/>
    <n v="12035"/>
    <n v="402"/>
    <n v="29.937810945273633"/>
    <n v="0.1504412610315258"/>
    <s v="Power User"/>
    <n v="67"/>
    <n v="5.5670959700872451E-3"/>
    <n v="5.2997943363391866E-3"/>
    <n v="0.73726107814444997"/>
    <x v="0"/>
    <n v="9"/>
    <n v="5"/>
    <n v="279"/>
    <n v="811"/>
    <n v="925"/>
    <n v="0.4257789674087199"/>
    <n v="361408"/>
    <n v="14359"/>
    <n v="347049"/>
    <s v="unknown"/>
    <d v="2018-01-14T00:00:00"/>
    <s v="Has no high school or college education"/>
    <x v="0"/>
    <x v="2"/>
    <n v="27"/>
    <x v="0"/>
  </r>
  <r>
    <s v="2cb087cc0ae1b1f4452818a7067ede75"/>
    <n v="3517"/>
    <n v="118"/>
    <n v="29.805084745762713"/>
    <n v="0.14977429520483776"/>
    <s v="Power User"/>
    <n v="151"/>
    <n v="4.2934319021893659E-2"/>
    <n v="1.1944312608764437E-2"/>
    <n v="0.34608994601871446"/>
    <x v="1"/>
    <n v="50"/>
    <n v="5"/>
    <n v="238"/>
    <n v="1509"/>
    <n v="1631"/>
    <n v="2.2652730391510056E-2"/>
    <n v="19228"/>
    <n v="5579"/>
    <n v="13649"/>
    <s v="USA"/>
    <d v="2020-11-23T00:00:00"/>
    <s v="Has no high school or college education"/>
    <x v="0"/>
    <x v="32"/>
    <n v="29"/>
    <x v="0"/>
  </r>
  <r>
    <s v="224f9b508b9217fa7afe0ad1d1cafdc7"/>
    <n v="1337"/>
    <n v="45"/>
    <n v="29.711111111111112"/>
    <n v="0.14930206588498046"/>
    <s v="Power User"/>
    <n v="27"/>
    <n v="2.0194465220643231E-2"/>
    <n v="2.1357380161366873E-3"/>
    <n v="0.33108077829854921"/>
    <x v="1"/>
    <n v="13"/>
    <n v="0"/>
    <n v="38"/>
    <n v="202"/>
    <n v="175"/>
    <n v="2.8205170496314866E-2"/>
    <n v="23941"/>
    <n v="5807"/>
    <n v="18134"/>
    <s v="Denmark"/>
    <d v="2021-02-27T00:00:00"/>
    <s v="Has no high school or college education"/>
    <x v="0"/>
    <x v="2"/>
    <n v="22"/>
    <x v="0"/>
  </r>
  <r>
    <s v="3c8f1f660ebbbb59f6b1abf964b4a941"/>
    <n v="4060"/>
    <n v="138"/>
    <n v="29.420289855072465"/>
    <n v="0.14784065253805259"/>
    <s v="Power User"/>
    <n v="128"/>
    <n v="3.1527093596059111E-2"/>
    <n v="1.0124980224647999E-2"/>
    <n v="0.34315035658871762"/>
    <x v="1"/>
    <n v="36"/>
    <n v="18"/>
    <n v="390"/>
    <n v="418"/>
    <n v="663"/>
    <n v="2.7219091063316433E-2"/>
    <n v="23104"/>
    <n v="14814"/>
    <n v="8290"/>
    <s v="unknown"/>
    <d v="2020-07-30T00:00:00"/>
    <s v="Has no high school or college education"/>
    <x v="0"/>
    <x v="2"/>
    <n v="23"/>
    <x v="0"/>
  </r>
  <r>
    <s v="0bf411a8688348c4c3db5285d243690e"/>
    <n v="147"/>
    <n v="5"/>
    <n v="29.4"/>
    <n v="0.14773869346733667"/>
    <s v="Power User"/>
    <n v="1"/>
    <n v="6.8027210884353739E-3"/>
    <n v="7.9101408005062489E-5"/>
    <n v="0.29818973576112628"/>
    <x v="1"/>
    <n v="0"/>
    <n v="0"/>
    <n v="1"/>
    <n v="2"/>
    <n v="0"/>
    <n v="2.5541460104427814E-3"/>
    <n v="2168"/>
    <n v="296"/>
    <n v="1872"/>
    <s v="unknown"/>
    <d v="2021-04-09T00:00:00"/>
    <s v="Has no high school or college education"/>
    <x v="0"/>
    <x v="2"/>
    <n v="21"/>
    <x v="0"/>
  </r>
  <r>
    <s v="e15f4edc42bde747ef98fb11203ab533"/>
    <n v="787"/>
    <n v="27"/>
    <n v="29.148148148148149"/>
    <n v="0.14647310627210125"/>
    <s v="Power User"/>
    <n v="66"/>
    <n v="8.3862770012706478E-2"/>
    <n v="5.2206929283341247E-3"/>
    <n v="0.31092986904609893"/>
    <x v="1"/>
    <n v="30"/>
    <n v="1"/>
    <n v="14"/>
    <n v="366"/>
    <n v="284"/>
    <n v="7.5422706452281767E-3"/>
    <n v="6402"/>
    <n v="180"/>
    <n v="6222"/>
    <s v="USA"/>
    <d v="2021-03-18T00:00:00"/>
    <s v="Has no high school or college education"/>
    <x v="0"/>
    <x v="2"/>
    <n v="27"/>
    <x v="0"/>
  </r>
  <r>
    <s v="16191c83886a826e103eddc952ac0524"/>
    <n v="5903"/>
    <n v="203"/>
    <n v="29.078817733990149"/>
    <n v="0.14612471223110629"/>
    <s v="Power User"/>
    <n v="375"/>
    <n v="6.3527020159241068E-2"/>
    <n v="2.9663028001898434E-2"/>
    <n v="0.40917807042661342"/>
    <x v="1"/>
    <n v="133"/>
    <n v="120"/>
    <n v="1537"/>
    <n v="991"/>
    <n v="1207"/>
    <n v="5.7602589960603946E-2"/>
    <n v="48894"/>
    <n v="17484"/>
    <n v="31410"/>
    <s v="USA"/>
    <d v="2020-06-19T00:00:00"/>
    <s v="Has no high school or college education"/>
    <x v="0"/>
    <x v="2"/>
    <n v="21"/>
    <x v="0"/>
  </r>
  <r>
    <s v="54c3e8a1dad6af2797dbf3f1b5da61c9"/>
    <n v="29"/>
    <n v="1"/>
    <n v="29"/>
    <n v="0.14572864321608039"/>
    <s v="Power User"/>
    <n v="0"/>
    <n v="0"/>
    <n v="0"/>
    <n v="0.29188611906491041"/>
    <x v="1"/>
    <n v="0"/>
    <n v="0"/>
    <n v="0"/>
    <n v="0"/>
    <n v="0"/>
    <n v="4.288326327496183E-4"/>
    <n v="364"/>
    <n v="25"/>
    <n v="339"/>
    <s v="France"/>
    <d v="2021-03-25T00:00:00"/>
    <s v="Has no high school or college education"/>
    <x v="0"/>
    <x v="2"/>
    <n v="28"/>
    <x v="0"/>
  </r>
  <r>
    <s v="c1bac6273a2423071b65da055fba570d"/>
    <n v="4782"/>
    <n v="165"/>
    <n v="28.981818181818181"/>
    <n v="0.14563727729556875"/>
    <s v="Power User"/>
    <n v="47"/>
    <n v="9.8285236302802174E-3"/>
    <n v="3.717766176237937E-3"/>
    <n v="0.33175258378627415"/>
    <x v="1"/>
    <n v="5"/>
    <n v="4"/>
    <n v="107"/>
    <n v="1330"/>
    <n v="1717"/>
    <n v="3.3042496842660835E-2"/>
    <n v="28047"/>
    <n v="5865"/>
    <n v="22182"/>
    <s v="unknown"/>
    <d v="2020-06-27T00:00:00"/>
    <s v="Has no high school or college education"/>
    <x v="0"/>
    <x v="2"/>
    <n v="32"/>
    <x v="3"/>
  </r>
  <r>
    <s v="f1c77c17da0b2d947fae38d917c0d535"/>
    <n v="780"/>
    <n v="27"/>
    <n v="28.888888888888889"/>
    <n v="0.14517029592406477"/>
    <s v="Power User"/>
    <n v="5"/>
    <n v="6.41025641025641E-3"/>
    <n v="3.9550704002531246E-4"/>
    <n v="0.3015119474863035"/>
    <x v="1"/>
    <n v="1"/>
    <n v="0"/>
    <n v="6"/>
    <n v="243"/>
    <n v="222"/>
    <n v="1.0380341558123314E-2"/>
    <n v="8811"/>
    <n v="970"/>
    <n v="7841"/>
    <s v="France"/>
    <d v="2019-06-23T00:00:00"/>
    <s v="Has no high school or college education"/>
    <x v="0"/>
    <x v="2"/>
    <n v="19"/>
    <x v="1"/>
  </r>
  <r>
    <s v="b0c4f6e51b7633b7c5eb182f67d6602f"/>
    <n v="2595"/>
    <n v="90"/>
    <n v="28.833333333333332"/>
    <n v="0.14489112227805695"/>
    <s v="Power User"/>
    <n v="113"/>
    <n v="4.3545279383429669E-2"/>
    <n v="8.9384591045720621E-3"/>
    <n v="0.31790048715122621"/>
    <x v="1"/>
    <n v="47"/>
    <n v="9"/>
    <n v="289"/>
    <n v="562"/>
    <n v="589"/>
    <n v="1.0241324385968219E-2"/>
    <n v="8693"/>
    <n v="7293"/>
    <n v="1400"/>
    <s v="USA"/>
    <d v="2018-06-04T00:00:00"/>
    <s v="Has no high school or college education"/>
    <x v="0"/>
    <x v="2"/>
    <n v="23"/>
    <x v="0"/>
  </r>
  <r>
    <s v="9c1a63a8d134b80e1cc72bef6e1c5a2a"/>
    <n v="16374"/>
    <n v="571"/>
    <n v="28.67600700525394"/>
    <n v="0.14410053771484391"/>
    <s v="Power User"/>
    <n v="211"/>
    <n v="1.2886283131794308E-2"/>
    <n v="1.6690397089068186E-2"/>
    <n v="0.35219981271916989"/>
    <x v="1"/>
    <n v="39"/>
    <n v="11"/>
    <n v="409"/>
    <n v="3871"/>
    <n v="3254"/>
    <n v="3.0617943111345688E-2"/>
    <n v="25989"/>
    <n v="6123"/>
    <n v="19866"/>
    <s v="Finland"/>
    <d v="2019-09-16T00:00:00"/>
    <s v="Has no high school or college education"/>
    <x v="0"/>
    <x v="2"/>
    <n v="31"/>
    <x v="3"/>
  </r>
  <r>
    <s v="249f1f3c083f2d230ffeb2b1a2407e7c"/>
    <n v="3325"/>
    <n v="116"/>
    <n v="28.663793103448278"/>
    <n v="0.14403916132386069"/>
    <s v="Power User"/>
    <n v="239"/>
    <n v="7.1879699248120307E-2"/>
    <n v="1.8905236513209935E-2"/>
    <n v="0.34188990781151851"/>
    <x v="1"/>
    <n v="39"/>
    <n v="1"/>
    <n v="254"/>
    <n v="3455"/>
    <n v="1862"/>
    <n v="1.6001112137377239E-2"/>
    <n v="13582"/>
    <n v="5335"/>
    <n v="8247"/>
    <s v="Czechia"/>
    <d v="2020-11-12T00:00:00"/>
    <s v="Has no high school or college education"/>
    <x v="0"/>
    <x v="33"/>
    <n v="22"/>
    <x v="0"/>
  </r>
  <r>
    <s v="86f950ce43d7e88e291b5a0e0ecffca3"/>
    <n v="8172"/>
    <n v="286"/>
    <n v="28.573426573426573"/>
    <n v="0.14358505815792247"/>
    <s v="Power User"/>
    <n v="887"/>
    <n v="0.10854136074400392"/>
    <n v="7.0162948900490435E-2"/>
    <n v="0.46306084795596175"/>
    <x v="1"/>
    <n v="348"/>
    <n v="64"/>
    <n v="2556"/>
    <n v="4377"/>
    <n v="4466"/>
    <n v="3.5564833839135924E-2"/>
    <n v="30188"/>
    <n v="17688"/>
    <n v="12500"/>
    <s v="Brazil"/>
    <d v="2019-08-20T00:00:00"/>
    <s v="Has no high school or college education"/>
    <x v="0"/>
    <x v="2"/>
    <n v="19"/>
    <x v="1"/>
  </r>
  <r>
    <s v="cbaa90b40a57cb9a6740bd5bcaebcf2d"/>
    <n v="8370"/>
    <n v="293"/>
    <n v="28.56655290102389"/>
    <n v="0.14355051709057232"/>
    <s v="Power User"/>
    <n v="334"/>
    <n v="3.9904420549581841E-2"/>
    <n v="2.641987027369087E-2"/>
    <n v="0.44938263256343991"/>
    <x v="1"/>
    <n v="88"/>
    <n v="12"/>
    <n v="713"/>
    <n v="4738"/>
    <n v="4080"/>
    <n v="0.10944185783491357"/>
    <n v="92896"/>
    <n v="87442"/>
    <n v="5454"/>
    <s v="unknown"/>
    <d v="2017-04-04T00:00:00"/>
    <s v="Has high school and/or college education"/>
    <x v="0"/>
    <x v="34"/>
    <n v="21"/>
    <x v="0"/>
  </r>
  <r>
    <s v="aa1bbf9805bf5aecb7e6c19c7dd63980"/>
    <n v="18587"/>
    <n v="654"/>
    <n v="28.420489296636084"/>
    <n v="0.14281652912882453"/>
    <s v="Power User"/>
    <n v="3028"/>
    <n v="0.16290956044547264"/>
    <n v="0.23951906343932922"/>
    <n v="1.7646711851363075"/>
    <x v="0"/>
    <n v="1257"/>
    <n v="281"/>
    <n v="11099"/>
    <n v="11086"/>
    <n v="13331"/>
    <n v="1"/>
    <n v="848816"/>
    <n v="705781"/>
    <n v="143035"/>
    <s v="USA"/>
    <d v="2019-06-29T00:00:00"/>
    <s v="Has no high school or college education"/>
    <x v="0"/>
    <x v="35"/>
    <n v="19"/>
    <x v="1"/>
  </r>
  <r>
    <s v="7ca67bd425000db20d152142cef4a2e9"/>
    <n v="1421"/>
    <n v="50"/>
    <n v="28.42"/>
    <n v="0.1428140703517588"/>
    <s v="Power User"/>
    <n v="37"/>
    <n v="2.6038001407459536E-2"/>
    <n v="2.9267520961873119E-3"/>
    <n v="0.30534566253929196"/>
    <x v="1"/>
    <n v="16"/>
    <n v="0"/>
    <n v="19"/>
    <n v="532"/>
    <n v="499"/>
    <n v="1.3864017643399748E-2"/>
    <n v="11768"/>
    <n v="3128"/>
    <n v="8640"/>
    <s v="Ireland"/>
    <d v="2021-02-17T00:00:00"/>
    <s v="Has no high school or college education"/>
    <x v="0"/>
    <x v="2"/>
    <n v="20"/>
    <x v="1"/>
  </r>
  <r>
    <s v="cdbe53befbf86d7a01a19b63dedc3856"/>
    <n v="47502"/>
    <n v="1672"/>
    <n v="28.410287081339714"/>
    <n v="0.14276526171527495"/>
    <s v="Power User"/>
    <n v="55"/>
    <n v="1.1578459854321922E-3"/>
    <n v="4.3505774402784365E-3"/>
    <n v="0.5672060331771791"/>
    <x v="0"/>
    <n v="18"/>
    <n v="4"/>
    <n v="235"/>
    <n v="488"/>
    <n v="355"/>
    <n v="0.27297435486607224"/>
    <n v="231705"/>
    <n v="4798"/>
    <n v="226907"/>
    <s v="unknown"/>
    <d v="2014-01-15T00:00:00"/>
    <s v="Has high school and/or college education"/>
    <x v="0"/>
    <x v="2"/>
    <n v="22"/>
    <x v="0"/>
  </r>
  <r>
    <s v="10200ebb8a674c7ac59333e7f98b4ca9"/>
    <n v="6194"/>
    <n v="219"/>
    <n v="28.283105022831052"/>
    <n v="0.14212615589362337"/>
    <s v="Power User"/>
    <n v="180"/>
    <n v="2.9060381013884404E-2"/>
    <n v="1.4238253440911248E-2"/>
    <n v="0.35344789088259965"/>
    <x v="1"/>
    <n v="72"/>
    <n v="4"/>
    <n v="166"/>
    <n v="1228"/>
    <n v="1583"/>
    <n v="4.0719072213530376E-2"/>
    <n v="34563"/>
    <n v="13513"/>
    <n v="21050"/>
    <s v="Germany"/>
    <d v="2020-09-05T00:00:00"/>
    <s v="Has no high school or college education"/>
    <x v="0"/>
    <x v="2"/>
    <n v="43"/>
    <x v="2"/>
  </r>
  <r>
    <s v="c43dc29c30414ac3d2c8d57049aaae6a"/>
    <n v="5254"/>
    <n v="188"/>
    <n v="27.946808510638299"/>
    <n v="0.14043622367154923"/>
    <s v="Power User"/>
    <n v="235"/>
    <n v="4.4727826417967263E-2"/>
    <n v="1.8588830881189684E-2"/>
    <n v="0.35436186571704026"/>
    <x v="1"/>
    <n v="75"/>
    <n v="8"/>
    <n v="393"/>
    <n v="2071"/>
    <n v="1586"/>
    <n v="3.6311756611562461E-2"/>
    <n v="30822"/>
    <n v="12363"/>
    <n v="18459"/>
    <s v="USA"/>
    <d v="2020-08-17T00:00:00"/>
    <s v="Has no high school or college education"/>
    <x v="0"/>
    <x v="2"/>
    <n v="23"/>
    <x v="0"/>
  </r>
  <r>
    <s v="d8e45b0063ebd4fa518de694899989dc"/>
    <n v="13728"/>
    <n v="494"/>
    <n v="27.789473684210527"/>
    <n v="0.13964559640306798"/>
    <s v="Power User"/>
    <n v="157"/>
    <n v="1.1436480186480186E-2"/>
    <n v="1.2418921056794811E-2"/>
    <n v="0.40597442897450309"/>
    <x v="1"/>
    <n v="63"/>
    <n v="1"/>
    <n v="760"/>
    <n v="3532"/>
    <n v="3672"/>
    <n v="0.10184539405477748"/>
    <n v="86448"/>
    <n v="36192"/>
    <n v="50256"/>
    <s v="unknown"/>
    <d v="2019-04-21T00:00:00"/>
    <s v="Has no high school or college education"/>
    <x v="0"/>
    <x v="2"/>
    <n v="27"/>
    <x v="0"/>
  </r>
  <r>
    <s v="7fe6fd221a98fc8015857bf5cb10a86c"/>
    <n v="25087"/>
    <n v="905"/>
    <n v="27.720441988950277"/>
    <n v="0.13929870346206169"/>
    <s v="Power User"/>
    <n v="272"/>
    <n v="1.0842268904213338E-2"/>
    <n v="2.1515582977376997E-2"/>
    <n v="0.52549489962106888"/>
    <x v="1"/>
    <n v="86"/>
    <n v="34"/>
    <n v="2560"/>
    <n v="3347"/>
    <n v="2379"/>
    <n v="0.20386632674219149"/>
    <n v="173045"/>
    <n v="66494"/>
    <n v="106551"/>
    <s v="Ireland"/>
    <d v="2018-06-09T00:00:00"/>
    <s v="Has no high school or college education"/>
    <x v="0"/>
    <x v="36"/>
    <n v="20"/>
    <x v="1"/>
  </r>
  <r>
    <s v="7d791e31f18a4887936a450aa24a76da"/>
    <n v="6803"/>
    <n v="246"/>
    <n v="27.654471544715449"/>
    <n v="0.13896719369203744"/>
    <s v="Power User"/>
    <n v="59"/>
    <n v="8.6726444215787148E-3"/>
    <n v="4.6669830722986866E-3"/>
    <n v="0.37466067412583348"/>
    <x v="1"/>
    <n v="28"/>
    <n v="4"/>
    <n v="99"/>
    <n v="471"/>
    <n v="459"/>
    <n v="8.7392320597161219E-2"/>
    <n v="74180"/>
    <n v="2164"/>
    <n v="72016"/>
    <s v="Finland"/>
    <d v="2020-06-13T00:00:00"/>
    <s v="Has no high school or college education"/>
    <x v="0"/>
    <x v="2"/>
    <n v="33"/>
    <x v="3"/>
  </r>
  <r>
    <s v="1b184db914808d5504d109efd30226d7"/>
    <n v="10089"/>
    <n v="365"/>
    <n v="27.641095890410959"/>
    <n v="0.1388999793487988"/>
    <s v="Power User"/>
    <n v="311"/>
    <n v="3.0825651699871146E-2"/>
    <n v="2.4600537889574434E-2"/>
    <n v="0.47896447531669295"/>
    <x v="1"/>
    <n v="114"/>
    <n v="9"/>
    <n v="287"/>
    <n v="2974"/>
    <n v="2888"/>
    <n v="0.15196344083994648"/>
    <n v="128989"/>
    <n v="7113"/>
    <n v="121876"/>
    <s v="Finland"/>
    <d v="2020-03-08T00:00:00"/>
    <s v="Has no high school or college education"/>
    <x v="0"/>
    <x v="2"/>
    <n v="39"/>
    <x v="3"/>
  </r>
  <r>
    <s v="b015511744bf8b31e5569e6fbe13901f"/>
    <n v="6823"/>
    <n v="247"/>
    <n v="27.623481781376519"/>
    <n v="0.13881146623807297"/>
    <s v="Power User"/>
    <n v="618"/>
    <n v="9.0575992964971416E-2"/>
    <n v="4.888467014712862E-2"/>
    <n v="0.40954101643216267"/>
    <x v="1"/>
    <n v="169"/>
    <n v="3"/>
    <n v="677"/>
    <n v="6173"/>
    <n v="4188"/>
    <n v="3.4148743661759441E-2"/>
    <n v="28986"/>
    <n v="10187"/>
    <n v="18799"/>
    <s v="unknown"/>
    <d v="2020-08-04T00:00:00"/>
    <s v="Has no high school or college education"/>
    <x v="0"/>
    <x v="3"/>
    <n v="26"/>
    <x v="0"/>
  </r>
  <r>
    <s v="e13dbba4dffc67a79485b5d339a32bc6"/>
    <n v="138"/>
    <n v="5"/>
    <n v="27.6"/>
    <n v="0.13869346733668342"/>
    <s v="Power User"/>
    <n v="20"/>
    <n v="0.14492753623188406"/>
    <n v="1.5820281601012498E-3"/>
    <n v="0.29244520599422907"/>
    <x v="1"/>
    <n v="2"/>
    <n v="15"/>
    <n v="80"/>
    <n v="44"/>
    <n v="92"/>
    <n v="1.1894215000659743E-2"/>
    <n v="10096"/>
    <n v="262"/>
    <n v="9834"/>
    <s v="unknown"/>
    <d v="2020-12-24T00:00:00"/>
    <s v="Has no high school or college education"/>
    <x v="1"/>
    <x v="2"/>
    <n v="20"/>
    <x v="1"/>
  </r>
  <r>
    <s v="235bb8091ec6ef795e02df74bcc616d9"/>
    <n v="4741"/>
    <n v="172"/>
    <n v="27.563953488372093"/>
    <n v="0.13851232908729694"/>
    <s v="Power User"/>
    <n v="52"/>
    <n v="1.0968150179287071E-2"/>
    <n v="4.1132732162632493E-3"/>
    <n v="0.29138916619125643"/>
    <x v="1"/>
    <n v="5"/>
    <n v="3"/>
    <n v="93"/>
    <n v="578"/>
    <n v="506"/>
    <n v="6.1379615841360199E-3"/>
    <n v="5210"/>
    <n v="2575"/>
    <n v="2635"/>
    <s v="USA"/>
    <d v="2020-04-21T00:00:00"/>
    <s v="Has no high school or college education"/>
    <x v="0"/>
    <x v="2"/>
    <n v="37"/>
    <x v="3"/>
  </r>
  <r>
    <s v="62f10b33c311562282243fedc407430f"/>
    <n v="356"/>
    <n v="13"/>
    <n v="27.384615384615383"/>
    <n v="0.13761113258600696"/>
    <s v="Power User"/>
    <n v="1"/>
    <n v="2.8089887640449437E-3"/>
    <n v="7.9101408005062489E-5"/>
    <n v="0.28027198746927795"/>
    <x v="1"/>
    <n v="0"/>
    <n v="0"/>
    <n v="1"/>
    <n v="2"/>
    <n v="0"/>
    <n v="4.8915194812538879E-3"/>
    <n v="4152"/>
    <n v="221"/>
    <n v="3931"/>
    <s v="Spain"/>
    <d v="2021-03-22T00:00:00"/>
    <s v="Has no high school or college education"/>
    <x v="0"/>
    <x v="2"/>
    <n v="26"/>
    <x v="0"/>
  </r>
  <r>
    <s v="41710353e1db856531fde70c26660a19"/>
    <n v="4401"/>
    <n v="161"/>
    <n v="27.335403726708076"/>
    <n v="0.13736383782265366"/>
    <s v="Power User"/>
    <n v="368"/>
    <n v="8.3617359690979318E-2"/>
    <n v="2.9109318145862997E-2"/>
    <n v="0.3773198864219629"/>
    <x v="1"/>
    <n v="51"/>
    <n v="75"/>
    <n v="748"/>
    <n v="3118"/>
    <n v="3844"/>
    <n v="4.4373574484929595E-2"/>
    <n v="37665"/>
    <n v="1350"/>
    <n v="36315"/>
    <s v="USA"/>
    <d v="2018-05-23T00:00:00"/>
    <s v="Has no high school or college education"/>
    <x v="1"/>
    <x v="2"/>
    <n v="18"/>
    <x v="1"/>
  </r>
  <r>
    <s v="7ae835c11c4907e9c87c7ba9b70dc4a4"/>
    <n v="9075"/>
    <n v="333"/>
    <n v="27.252252252252251"/>
    <n v="0.13694599121734799"/>
    <s v="Power User"/>
    <n v="417"/>
    <n v="4.5950413223140495E-2"/>
    <n v="3.2985287138111059E-2"/>
    <n v="0.39123057993385452"/>
    <x v="1"/>
    <n v="86"/>
    <n v="53"/>
    <n v="1427"/>
    <n v="2290"/>
    <n v="2973"/>
    <n v="5.1368023222936418E-2"/>
    <n v="43602"/>
    <n v="2157"/>
    <n v="41445"/>
    <s v="unknown"/>
    <d v="2017-04-24T00:00:00"/>
    <s v="Has no high school or college education"/>
    <x v="1"/>
    <x v="2"/>
    <n v="20"/>
    <x v="1"/>
  </r>
  <r>
    <s v="ec1e71dff6b269826436d859743bfd29"/>
    <n v="571"/>
    <n v="21"/>
    <n v="27.19047619047619"/>
    <n v="0.1366355587461115"/>
    <s v="Power User"/>
    <n v="39"/>
    <n v="6.8301225919439573E-2"/>
    <n v="3.0849549121974369E-3"/>
    <n v="0.28251943300171334"/>
    <x v="1"/>
    <n v="7"/>
    <n v="0"/>
    <n v="45"/>
    <n v="348"/>
    <n v="407"/>
    <n v="3.078405685095474E-3"/>
    <n v="2613"/>
    <n v="1390"/>
    <n v="1223"/>
    <s v="Netherlands"/>
    <d v="2021-03-24T00:00:00"/>
    <s v="Has no high school or college education"/>
    <x v="0"/>
    <x v="2"/>
    <n v="25"/>
    <x v="0"/>
  </r>
  <r>
    <s v="0f110fdbe051dab1a7bbae9fb69c02df"/>
    <n v="16986"/>
    <n v="625"/>
    <n v="27.177600000000002"/>
    <n v="0.13657085427135679"/>
    <s v="Power User"/>
    <n v="177"/>
    <n v="1.0420346167432003E-2"/>
    <n v="1.4000949216896061E-2"/>
    <n v="0.34140557187820408"/>
    <x v="1"/>
    <n v="40"/>
    <n v="4"/>
    <n v="277"/>
    <n v="7003"/>
    <n v="4728"/>
    <n v="4.0261964901698366E-2"/>
    <n v="34175"/>
    <n v="8486"/>
    <n v="25689"/>
    <s v="Finland"/>
    <d v="2019-04-01T00:00:00"/>
    <s v="Has no high school or college education"/>
    <x v="0"/>
    <x v="37"/>
    <n v="29"/>
    <x v="0"/>
  </r>
  <r>
    <s v="e4e9053aa2c025de4039f469579deffd"/>
    <n v="31792"/>
    <n v="1171"/>
    <n v="27.14944491887276"/>
    <n v="0.1364293714516219"/>
    <s v="Power User"/>
    <n v="1434"/>
    <n v="4.5105686965274283E-2"/>
    <n v="0.1134314190792596"/>
    <n v="0.67923398422098713"/>
    <x v="0"/>
    <n v="258"/>
    <n v="237"/>
    <n v="4315"/>
    <n v="12270"/>
    <n v="15797"/>
    <n v="0.17951240315922415"/>
    <n v="152373"/>
    <n v="12451"/>
    <n v="139922"/>
    <s v="Canada"/>
    <d v="2016-08-19T00:00:00"/>
    <s v="Has high school and/or college education"/>
    <x v="1"/>
    <x v="2"/>
    <n v="17"/>
    <x v="1"/>
  </r>
  <r>
    <s v="cacc95e7277874599779837c8eaeff48"/>
    <n v="297"/>
    <n v="11"/>
    <n v="27"/>
    <n v="0.135678391959799"/>
    <s v="Power User"/>
    <n v="14"/>
    <n v="4.7138047138047139E-2"/>
    <n v="1.1074197120708748E-3"/>
    <n v="0.27378486154848614"/>
    <x v="1"/>
    <n v="3"/>
    <n v="0"/>
    <n v="17"/>
    <n v="176"/>
    <n v="161"/>
    <n v="2.1323820474637614E-4"/>
    <n v="181"/>
    <n v="164"/>
    <n v="17"/>
    <s v="unknown"/>
    <d v="2020-10-27T00:00:00"/>
    <s v="Has no high school or college education"/>
    <x v="0"/>
    <x v="2"/>
    <n v="25"/>
    <x v="0"/>
  </r>
  <r>
    <s v="dc68bc00c6996cb62da30ec6004ff075"/>
    <n v="3356"/>
    <n v="125"/>
    <n v="26.847999999999999"/>
    <n v="0.1349145728643216"/>
    <s v="Power User"/>
    <n v="75"/>
    <n v="2.234803337306317E-2"/>
    <n v="5.9326056003796866E-3"/>
    <n v="0.30504806373983029"/>
    <x v="1"/>
    <n v="35"/>
    <n v="8"/>
    <n v="101"/>
    <n v="201"/>
    <n v="193"/>
    <n v="2.3353706810427702E-2"/>
    <n v="19823"/>
    <n v="7575"/>
    <n v="12248"/>
    <s v="unknown"/>
    <d v="2019-01-18T00:00:00"/>
    <s v="Has no high school or college education"/>
    <x v="0"/>
    <x v="38"/>
    <n v="25"/>
    <x v="0"/>
  </r>
  <r>
    <s v="ab72cc27d7fa34dde8ee95b2cfe7343b"/>
    <n v="4263"/>
    <n v="159"/>
    <n v="26.811320754716981"/>
    <n v="0.13473025504882905"/>
    <s v="Power User"/>
    <n v="71"/>
    <n v="1.6654937837203846E-2"/>
    <n v="5.6161999683594366E-3"/>
    <n v="0.31420782964003946"/>
    <x v="1"/>
    <n v="15"/>
    <n v="2"/>
    <n v="87"/>
    <n v="3013"/>
    <n v="2637"/>
    <n v="3.3514919605662476E-2"/>
    <n v="28448"/>
    <n v="2214"/>
    <n v="26234"/>
    <s v="Poland"/>
    <d v="2020-10-22T00:00:00"/>
    <s v="Has no high school or college education"/>
    <x v="0"/>
    <x v="2"/>
    <n v="28"/>
    <x v="0"/>
  </r>
  <r>
    <s v="98b0962513c34cc7308f705eb851ba40"/>
    <n v="9512"/>
    <n v="355"/>
    <n v="26.794366197183098"/>
    <n v="0.13464505626725176"/>
    <s v="Power User"/>
    <n v="586"/>
    <n v="6.1606391925988227E-2"/>
    <n v="4.635342509096662E-2"/>
    <n v="0.55029690051214275"/>
    <x v="1"/>
    <n v="51"/>
    <n v="376"/>
    <n v="1539"/>
    <n v="2068"/>
    <n v="2930"/>
    <n v="0.18829993779570603"/>
    <n v="159832"/>
    <n v="3838"/>
    <n v="155994"/>
    <s v="USA"/>
    <d v="2019-08-26T00:00:00"/>
    <s v="Has no high school or college education"/>
    <x v="1"/>
    <x v="2"/>
    <n v="19"/>
    <x v="1"/>
  </r>
  <r>
    <s v="0c46bf9607e9c00b6ca75fa706d0b881"/>
    <n v="6594"/>
    <n v="248"/>
    <n v="26.588709677419356"/>
    <n v="0.13361160641919273"/>
    <s v="Power User"/>
    <n v="321"/>
    <n v="4.8680618744313009E-2"/>
    <n v="2.5391551969625059E-2"/>
    <n v="0.39498059624456361"/>
    <x v="1"/>
    <n v="54"/>
    <n v="2"/>
    <n v="323"/>
    <n v="1827"/>
    <n v="1968"/>
    <n v="7.6974279466928044E-2"/>
    <n v="65337"/>
    <n v="18223"/>
    <n v="47114"/>
    <s v="unknown"/>
    <d v="2020-05-25T00:00:00"/>
    <s v="Has no high school or college education"/>
    <x v="0"/>
    <x v="2"/>
    <n v="24"/>
    <x v="0"/>
  </r>
  <r>
    <s v="f2551aaaac36e33cb527df4604fa7c15"/>
    <n v="850"/>
    <n v="32"/>
    <n v="26.5625"/>
    <n v="0.13347989949748743"/>
    <s v="Power User"/>
    <n v="1"/>
    <n v="1.176470588235294E-3"/>
    <n v="7.9101408005062489E-5"/>
    <n v="0.27015988603559904"/>
    <x v="1"/>
    <n v="0"/>
    <n v="1"/>
    <n v="8"/>
    <n v="0"/>
    <n v="1"/>
    <n v="3.0418842246140508E-3"/>
    <n v="2582"/>
    <n v="141"/>
    <n v="2441"/>
    <s v="USA"/>
    <d v="2020-09-30T00:00:00"/>
    <s v="Has no high school or college education"/>
    <x v="0"/>
    <x v="2"/>
    <n v="37"/>
    <x v="3"/>
  </r>
  <r>
    <s v="0bc12445a88a90393bbc1e45047b0ee7"/>
    <n v="3790"/>
    <n v="143"/>
    <n v="26.503496503496503"/>
    <n v="0.13318339951505781"/>
    <s v="Power User"/>
    <n v="65"/>
    <n v="1.7150395778364115E-2"/>
    <n v="5.141591520329062E-3"/>
    <n v="0.35727522947421569"/>
    <x v="1"/>
    <n v="27"/>
    <n v="1"/>
    <n v="149"/>
    <n v="223"/>
    <n v="281"/>
    <n v="8.0625247403441971E-2"/>
    <n v="68436"/>
    <n v="2330"/>
    <n v="66106"/>
    <s v="Switzerland"/>
    <d v="2020-09-15T00:00:00"/>
    <s v="Has no high school or college education"/>
    <x v="0"/>
    <x v="39"/>
    <n v="23"/>
    <x v="0"/>
  </r>
  <r>
    <s v="e9231d7865fdddc2cc938b4414ef8ec1"/>
    <n v="3647"/>
    <n v="138"/>
    <n v="26.427536231884059"/>
    <n v="0.13280168960745758"/>
    <s v="Power User"/>
    <n v="179"/>
    <n v="4.9081436797367699E-2"/>
    <n v="1.4159152032906186E-2"/>
    <n v="0.3081037910638042"/>
    <x v="1"/>
    <n v="21"/>
    <n v="0"/>
    <n v="172"/>
    <n v="7719"/>
    <n v="6652"/>
    <n v="1.4182107783076662E-2"/>
    <n v="12038"/>
    <n v="4534"/>
    <n v="7504"/>
    <s v="Netherlands"/>
    <d v="2017-12-06T00:00:00"/>
    <s v="Has high school and/or college education"/>
    <x v="0"/>
    <x v="40"/>
    <n v="25"/>
    <x v="0"/>
  </r>
  <r>
    <s v="3244615279a5b252566f48608a1a3bc4"/>
    <n v="2391"/>
    <n v="91"/>
    <n v="26.274725274725274"/>
    <n v="0.13203379535037826"/>
    <s v="Power User"/>
    <n v="158"/>
    <n v="6.6081137599330819E-2"/>
    <n v="1.2498022464799873E-2"/>
    <n v="0.30591534436346213"/>
    <x v="1"/>
    <n v="43"/>
    <n v="7"/>
    <n v="250"/>
    <n v="930"/>
    <n v="606"/>
    <n v="1.6851708733105878E-2"/>
    <n v="14304"/>
    <n v="3738"/>
    <n v="10566"/>
    <s v="unknown"/>
    <d v="2020-12-26T00:00:00"/>
    <s v="Has no high school or college education"/>
    <x v="0"/>
    <x v="41"/>
    <n v="20"/>
    <x v="1"/>
  </r>
  <r>
    <s v="2f051007e7936f333b5a19bab9f9d5c4"/>
    <n v="23619"/>
    <n v="906"/>
    <n v="26.069536423841061"/>
    <n v="0.13100269559719127"/>
    <s v="Power User"/>
    <n v="2083"/>
    <n v="8.8191710063931575E-2"/>
    <n v="0.16476823287454517"/>
    <n v="0.7530515363086121"/>
    <x v="0"/>
    <n v="570"/>
    <n v="334"/>
    <n v="5136"/>
    <n v="15069"/>
    <n v="16449"/>
    <n v="0.16150967936513921"/>
    <n v="137092"/>
    <n v="12032"/>
    <n v="125060"/>
    <s v="unknown"/>
    <d v="2015-07-18T00:00:00"/>
    <s v="Has high school and/or college education"/>
    <x v="1"/>
    <x v="2"/>
    <n v="19"/>
    <x v="1"/>
  </r>
  <r>
    <s v="af5520054e8eee06a3e53ca79c897cf8"/>
    <n v="33388"/>
    <n v="1284"/>
    <n v="26.003115264797508"/>
    <n v="0.13066892092863069"/>
    <s v="Power User"/>
    <n v="1116"/>
    <n v="3.3425182700371391E-2"/>
    <n v="8.8277171333649734E-2"/>
    <n v="0.52472136776333111"/>
    <x v="1"/>
    <n v="230"/>
    <n v="51"/>
    <n v="6076"/>
    <n v="29508"/>
    <n v="24945"/>
    <n v="8.6829183238770244E-2"/>
    <n v="73702"/>
    <n v="60453"/>
    <n v="13249"/>
    <s v="USA"/>
    <d v="2016-10-11T00:00:00"/>
    <s v="Has no high school or college education"/>
    <x v="0"/>
    <x v="2"/>
    <n v="22"/>
    <x v="0"/>
  </r>
  <r>
    <s v="4dbb4c91b677a4a8cadcb27a3122c93a"/>
    <n v="4264"/>
    <n v="164"/>
    <n v="26"/>
    <n v="0.1306532663316583"/>
    <s v="Power User"/>
    <n v="89"/>
    <n v="2.0872420262664164E-2"/>
    <n v="7.0400253124505621E-3"/>
    <n v="0.36198839098270041"/>
    <x v="1"/>
    <n v="18"/>
    <n v="13"/>
    <n v="637"/>
    <n v="540"/>
    <n v="423"/>
    <n v="8.6601807694482669E-2"/>
    <n v="73509"/>
    <n v="12060"/>
    <n v="61449"/>
    <s v="Finland"/>
    <d v="2020-08-25T00:00:00"/>
    <s v="Has no high school or college education"/>
    <x v="0"/>
    <x v="2"/>
    <n v="26"/>
    <x v="0"/>
  </r>
  <r>
    <s v="b8db8cb8bd6279042bebf5f54f3f1c4b"/>
    <n v="1212"/>
    <n v="47"/>
    <n v="25.787234042553191"/>
    <n v="0.12958409066609644"/>
    <s v="Power User"/>
    <n v="14"/>
    <n v="1.155115511551155E-2"/>
    <n v="1.1074197120708748E-3"/>
    <n v="0.27034962836033832"/>
    <x v="1"/>
    <n v="6"/>
    <n v="1"/>
    <n v="40"/>
    <n v="87"/>
    <n v="67"/>
    <n v="8.966607604003694E-3"/>
    <n v="7611"/>
    <n v="1384"/>
    <n v="6227"/>
    <s v="USA"/>
    <d v="2019-08-07T00:00:00"/>
    <s v="Has no high school or college education"/>
    <x v="0"/>
    <x v="2"/>
    <n v="28"/>
    <x v="0"/>
  </r>
  <r>
    <s v="eaecb7a94065dd8945fc878f2bfe45e6"/>
    <n v="3444"/>
    <n v="134"/>
    <n v="25.701492537313431"/>
    <n v="0.12915322883072075"/>
    <s v="Power User"/>
    <n v="25"/>
    <n v="7.259001161440186E-3"/>
    <n v="1.9775352001265623E-3"/>
    <n v="0.27171587387986956"/>
    <x v="1"/>
    <n v="10"/>
    <n v="0"/>
    <n v="94"/>
    <n v="527"/>
    <n v="541"/>
    <n v="9.454345818174963E-3"/>
    <n v="8025"/>
    <n v="3604"/>
    <n v="4421"/>
    <s v="unknown"/>
    <d v="2020-07-12T00:00:00"/>
    <s v="Has no high school or college education"/>
    <x v="0"/>
    <x v="2"/>
    <n v="23"/>
    <x v="0"/>
  </r>
  <r>
    <s v="2d09cfd5903ed3cdc3f8803b726ff90b"/>
    <n v="14746"/>
    <n v="585"/>
    <n v="25.206837606837606"/>
    <n v="0.12666752566250053"/>
    <s v="Power User"/>
    <n v="386"/>
    <n v="2.6176590261765904E-2"/>
    <n v="3.0533143489954121E-2"/>
    <n v="0.34242625772207391"/>
    <x v="1"/>
    <n v="135"/>
    <n v="1"/>
    <n v="552"/>
    <n v="6998"/>
    <n v="6565"/>
    <n v="2.8024919417164614E-2"/>
    <n v="23788"/>
    <n v="18717"/>
    <n v="5071"/>
    <s v="Czechia"/>
    <d v="2019-03-24T00:00:00"/>
    <s v="Has no high school or college education"/>
    <x v="0"/>
    <x v="42"/>
    <n v="24"/>
    <x v="0"/>
  </r>
  <r>
    <s v="517760c7c268cd48d9a7de5029d09fbb"/>
    <n v="14015"/>
    <n v="556"/>
    <n v="25.206834532374099"/>
    <n v="0.12666751021293518"/>
    <s v="Power User"/>
    <n v="177"/>
    <n v="1.2629325722440243E-2"/>
    <n v="1.4000949216896061E-2"/>
    <n v="0.37086397772754437"/>
    <x v="1"/>
    <n v="47"/>
    <n v="0"/>
    <n v="190"/>
    <n v="2846"/>
    <n v="2512"/>
    <n v="8.9527058867881856E-2"/>
    <n v="75992"/>
    <n v="33421"/>
    <n v="42571"/>
    <s v="USA"/>
    <d v="2016-05-20T00:00:00"/>
    <s v="Has high school and/or college education"/>
    <x v="0"/>
    <x v="1"/>
    <n v="19"/>
    <x v="1"/>
  </r>
  <r>
    <s v="e63cd357e29f6f3758cb9919de005ed2"/>
    <n v="3098"/>
    <n v="123"/>
    <n v="25.1869918699187"/>
    <n v="0.1265677983413"/>
    <s v="Power User"/>
    <n v="1174"/>
    <n v="0.37895416397675918"/>
    <n v="9.286505299794337E-2"/>
    <n v="0.46658431307225878"/>
    <x v="1"/>
    <n v="231"/>
    <n v="628"/>
    <n v="1837"/>
    <n v="2348"/>
    <n v="3958"/>
    <n v="2.771861039377203E-2"/>
    <n v="23528"/>
    <n v="3394"/>
    <n v="20134"/>
    <s v="unknown"/>
    <d v="2020-12-04T00:00:00"/>
    <s v="Has no high school or college education"/>
    <x v="1"/>
    <x v="43"/>
    <n v="20"/>
    <x v="1"/>
  </r>
  <r>
    <s v="0eca8093c25f83a8c999a592c14add05"/>
    <n v="26925"/>
    <n v="1070"/>
    <n v="25.16355140186916"/>
    <n v="0.12645000704456866"/>
    <s v="Power User"/>
    <n v="324"/>
    <n v="1.2033426183844011E-2"/>
    <n v="2.5628856193640248E-2"/>
    <n v="0.48672732931142559"/>
    <x v="1"/>
    <n v="156"/>
    <n v="4"/>
    <n v="615"/>
    <n v="2490"/>
    <n v="2304"/>
    <n v="0.18256960283500781"/>
    <n v="154968"/>
    <n v="51812"/>
    <n v="103156"/>
    <s v="Denmark"/>
    <d v="2015-05-09T00:00:00"/>
    <s v="Has high school and/or college education"/>
    <x v="0"/>
    <x v="2"/>
    <n v="22"/>
    <x v="0"/>
  </r>
  <r>
    <s v="553652e94a222267bab6feb8413f9e91"/>
    <n v="5290"/>
    <n v="211"/>
    <n v="25.071090047393366"/>
    <n v="0.12598537712257973"/>
    <s v="Power User"/>
    <n v="117"/>
    <n v="2.2117202268431002E-2"/>
    <n v="9.2548647365923113E-3"/>
    <n v="0.28580300355774391"/>
    <x v="1"/>
    <n v="29"/>
    <n v="2"/>
    <n v="333"/>
    <n v="602"/>
    <n v="638"/>
    <n v="1.5322519839399824E-2"/>
    <n v="13006"/>
    <n v="6926"/>
    <n v="6080"/>
    <s v="unknown"/>
    <d v="2019-10-13T00:00:00"/>
    <s v="Has no high school or college education"/>
    <x v="0"/>
    <x v="2"/>
    <n v="19"/>
    <x v="1"/>
  </r>
  <r>
    <s v="9457bc7cd447fe08232a8c9d4ede91c3"/>
    <n v="48622"/>
    <n v="1943"/>
    <n v="25.024189397838395"/>
    <n v="0.12574969546652459"/>
    <s v="Power User"/>
    <n v="5157"/>
    <n v="0.1060630990086792"/>
    <n v="0.40792596108210727"/>
    <n v="1.5517095250065585"/>
    <x v="0"/>
    <n v="1091"/>
    <n v="331"/>
    <n v="11211"/>
    <n v="42633"/>
    <n v="31347"/>
    <n v="0.48435821190929484"/>
    <n v="411131"/>
    <n v="380428"/>
    <n v="30703"/>
    <s v="unknown"/>
    <d v="2015-09-16T00:00:00"/>
    <s v="Has high school and/or college education"/>
    <x v="0"/>
    <x v="2"/>
    <n v="23"/>
    <x v="0"/>
  </r>
  <r>
    <s v="4ce50c347fd63f270f66a8ea094fbd14"/>
    <n v="8271"/>
    <n v="331"/>
    <n v="24.987915407854985"/>
    <n v="0.12556741410982405"/>
    <s v="Power User"/>
    <n v="139"/>
    <n v="1.6805706686011366E-2"/>
    <n v="1.0995095712703686E-2"/>
    <n v="0.36318105063410377"/>
    <x v="1"/>
    <n v="41"/>
    <n v="4"/>
    <n v="154"/>
    <n v="1725"/>
    <n v="1545"/>
    <n v="9.0056030989048269E-2"/>
    <n v="76441"/>
    <n v="58706"/>
    <n v="17735"/>
    <s v="Switzerland"/>
    <d v="2019-06-22T00:00:00"/>
    <s v="Has no high school or college education"/>
    <x v="0"/>
    <x v="44"/>
    <n v="28"/>
    <x v="0"/>
  </r>
  <r>
    <s v="607f0ad12c1efcaddc6de05081c2376e"/>
    <n v="6352"/>
    <n v="255"/>
    <n v="24.909803921568628"/>
    <n v="0.12517489407823432"/>
    <s v="Power User"/>
    <n v="155"/>
    <n v="2.4401763224181361E-2"/>
    <n v="1.2260718240784686E-2"/>
    <n v="0.28467075716334383"/>
    <x v="1"/>
    <n v="34"/>
    <n v="40"/>
    <n v="1382"/>
    <n v="1281"/>
    <n v="990"/>
    <n v="9.7995325253058384E-3"/>
    <n v="8318"/>
    <n v="5049"/>
    <n v="3269"/>
    <s v="unknown"/>
    <d v="2019-03-09T00:00:00"/>
    <s v="Has no high school or college education"/>
    <x v="0"/>
    <x v="2"/>
    <n v="20"/>
    <x v="1"/>
  </r>
  <r>
    <s v="ad4141e0d850a19455400e44de33b523"/>
    <n v="6066"/>
    <n v="244"/>
    <n v="24.860655737704917"/>
    <n v="0.12492791827992421"/>
    <s v="Power User"/>
    <n v="263"/>
    <n v="4.3356412792614575E-2"/>
    <n v="2.0803670305331434E-2"/>
    <n v="0.369867684154357"/>
    <x v="1"/>
    <n v="121"/>
    <n v="3"/>
    <n v="390"/>
    <n v="2323"/>
    <n v="2100"/>
    <n v="7.840450698384574E-2"/>
    <n v="66551"/>
    <n v="12049"/>
    <n v="54502"/>
    <s v="United Kingdom"/>
    <d v="2018-12-31T00:00:00"/>
    <s v="Has no high school or college education"/>
    <x v="0"/>
    <x v="45"/>
    <n v="26"/>
    <x v="0"/>
  </r>
  <r>
    <s v="5bfbdf9d01e08359c782c9355cef76fe"/>
    <n v="1142"/>
    <n v="46"/>
    <n v="24.826086956521738"/>
    <n v="0.12475420581166703"/>
    <s v="Power User"/>
    <n v="28"/>
    <n v="2.4518388791593695E-2"/>
    <n v="2.2148394241417496E-3"/>
    <n v="0.26795408451508518"/>
    <x v="1"/>
    <n v="9"/>
    <n v="0"/>
    <n v="35"/>
    <n v="2193"/>
    <n v="2325"/>
    <n v="1.4015994043467607E-2"/>
    <n v="11897"/>
    <n v="4619"/>
    <n v="7278"/>
    <s v="unknown"/>
    <d v="2021-02-05T00:00:00"/>
    <s v="Has no high school or college education"/>
    <x v="0"/>
    <x v="2"/>
    <n v="27"/>
    <x v="0"/>
  </r>
  <r>
    <s v="c6ea475a569f4fdb2fdc6bbee3608279"/>
    <n v="867"/>
    <n v="35"/>
    <n v="24.771428571428572"/>
    <n v="0.12447954055994258"/>
    <s v="Power User"/>
    <n v="21"/>
    <n v="2.4221453287197232E-2"/>
    <n v="1.6611295681063123E-3"/>
    <n v="0.27763901494649007"/>
    <x v="1"/>
    <n v="2"/>
    <n v="0"/>
    <n v="25"/>
    <n v="334"/>
    <n v="300"/>
    <n v="2.5357674690392264E-2"/>
    <n v="21524"/>
    <n v="1063"/>
    <n v="20461"/>
    <s v="Canada"/>
    <d v="2020-11-03T00:00:00"/>
    <s v="Has no high school or college education"/>
    <x v="0"/>
    <x v="2"/>
    <n v="29"/>
    <x v="0"/>
  </r>
  <r>
    <s v="aecfacc0295ca6880981402f4e286926"/>
    <n v="4455"/>
    <n v="180"/>
    <n v="24.75"/>
    <n v="0.12437185929648241"/>
    <s v="Power User"/>
    <n v="72"/>
    <n v="1.6161616161616162E-2"/>
    <n v="5.6953013763644993E-3"/>
    <n v="0.32948621857666027"/>
    <x v="1"/>
    <n v="7"/>
    <n v="3"/>
    <n v="146"/>
    <n v="2242"/>
    <n v="2576"/>
    <n v="6.9351897230966422E-2"/>
    <n v="58867"/>
    <n v="212"/>
    <n v="58655"/>
    <s v="unknown"/>
    <d v="2019-04-26T00:00:00"/>
    <s v="Has no high school or college education"/>
    <x v="1"/>
    <x v="46"/>
    <n v="23"/>
    <x v="0"/>
  </r>
  <r>
    <s v="56f9986765e7708d00a6c574f8b1b4eb"/>
    <n v="3647"/>
    <n v="148"/>
    <n v="24.641891891891891"/>
    <n v="0.12382860247181855"/>
    <s v="Power User"/>
    <n v="75"/>
    <n v="2.0564847820126131E-2"/>
    <n v="5.9326056003796866E-3"/>
    <n v="0.28921554162742225"/>
    <x v="1"/>
    <n v="29"/>
    <n v="1"/>
    <n v="108"/>
    <n v="558"/>
    <n v="357"/>
    <n v="2.9693125483025766E-2"/>
    <n v="25204"/>
    <n v="5433"/>
    <n v="19771"/>
    <s v="Italy"/>
    <d v="2020-03-06T00:00:00"/>
    <s v="Has no high school or college education"/>
    <x v="0"/>
    <x v="2"/>
    <n v="22"/>
    <x v="0"/>
  </r>
  <r>
    <s v="b5d15a7a654efe731813ac615b3a32d6"/>
    <n v="3397"/>
    <n v="138"/>
    <n v="24.615942028985508"/>
    <n v="0.12369820115068095"/>
    <s v="Power User"/>
    <n v="395"/>
    <n v="0.11627906976744186"/>
    <n v="3.1245056161999685E-2"/>
    <n v="0.33651772798608964"/>
    <x v="1"/>
    <n v="165"/>
    <n v="1"/>
    <n v="144"/>
    <n v="3543"/>
    <n v="3167"/>
    <n v="2.6631213360728354E-2"/>
    <n v="22605"/>
    <n v="8559"/>
    <n v="14046"/>
    <s v="USA"/>
    <d v="2019-01-18T00:00:00"/>
    <s v="Has no high school or college education"/>
    <x v="0"/>
    <x v="2"/>
    <n v="20"/>
    <x v="1"/>
  </r>
  <r>
    <s v="e247aced7cab40bc3a8c5f09e6be589a"/>
    <n v="9964"/>
    <n v="405"/>
    <n v="24.602469135802469"/>
    <n v="0.12363049816986166"/>
    <s v="Power User"/>
    <n v="624"/>
    <n v="6.2625451625853076E-2"/>
    <n v="4.9359278595158991E-2"/>
    <n v="0.45276830397772372"/>
    <x v="1"/>
    <n v="142"/>
    <n v="0"/>
    <n v="667"/>
    <n v="20175"/>
    <n v="14358"/>
    <n v="0.10678875044768242"/>
    <n v="90644"/>
    <n v="34347"/>
    <n v="56297"/>
    <s v="USA"/>
    <d v="2017-12-03T00:00:00"/>
    <s v="Has no high school or college education"/>
    <x v="0"/>
    <x v="2"/>
    <n v="19"/>
    <x v="1"/>
  </r>
  <r>
    <s v="6b7b5ec13888eaad8ba8537bcd1f890b"/>
    <n v="21370"/>
    <n v="875"/>
    <n v="24.422857142857143"/>
    <n v="0.12272792534099067"/>
    <s v="Power User"/>
    <n v="1612"/>
    <n v="7.5432849789424425E-2"/>
    <n v="0.12751146970416075"/>
    <n v="0.62803411421237398"/>
    <x v="0"/>
    <n v="75"/>
    <n v="15"/>
    <n v="1808"/>
    <n v="23767"/>
    <n v="17898"/>
    <n v="0.12755532412207121"/>
    <n v="108271"/>
    <n v="105794"/>
    <n v="2477"/>
    <s v="China"/>
    <d v="2018-04-01T00:00:00"/>
    <s v="Has no high school or college education"/>
    <x v="0"/>
    <x v="47"/>
    <n v="23"/>
    <x v="0"/>
  </r>
  <r>
    <s v="a4ed848c2ae4cef0179a4ab266c16f61"/>
    <n v="609"/>
    <n v="25"/>
    <n v="24.36"/>
    <n v="0.12241206030150753"/>
    <s v="Power User"/>
    <n v="138"/>
    <n v="0.22660098522167488"/>
    <n v="1.0915994304698624E-2"/>
    <n v="0.27734158168229978"/>
    <x v="1"/>
    <n v="36"/>
    <n v="0"/>
    <n v="27"/>
    <n v="1357"/>
    <n v="1007"/>
    <n v="1.0685472469887467E-2"/>
    <n v="9070"/>
    <n v="1501"/>
    <n v="7569"/>
    <s v="USA"/>
    <d v="2021-03-20T00:00:00"/>
    <s v="Has no high school or college education"/>
    <x v="0"/>
    <x v="48"/>
    <n v="24"/>
    <x v="0"/>
  </r>
  <r>
    <s v="270ce10926b5753f21f23d1233717384"/>
    <n v="1266"/>
    <n v="52"/>
    <n v="24.346153846153847"/>
    <n v="0.12234248163896405"/>
    <s v="Power User"/>
    <n v="23"/>
    <n v="1.8167456556082148E-2"/>
    <n v="1.8193323841164373E-3"/>
    <n v="0.28886833973868326"/>
    <x v="1"/>
    <n v="3"/>
    <n v="2"/>
    <n v="97"/>
    <n v="376"/>
    <n v="409"/>
    <n v="4.0544711692522287E-2"/>
    <n v="34415"/>
    <n v="1395"/>
    <n v="33020"/>
    <s v="unknown"/>
    <d v="2020-03-31T00:00:00"/>
    <s v="Has no high school or college education"/>
    <x v="0"/>
    <x v="2"/>
    <n v="18"/>
    <x v="1"/>
  </r>
  <r>
    <s v="e2471fbaf1c9aa1eaf32d75ec63fdf31"/>
    <n v="1898"/>
    <n v="78"/>
    <n v="24.333333333333332"/>
    <n v="0.12227805695142378"/>
    <s v="Power User"/>
    <n v="141"/>
    <n v="7.4288724973656475E-2"/>
    <n v="1.1153298528713811E-2"/>
    <n v="0.27792989159777493"/>
    <x v="1"/>
    <n v="34"/>
    <n v="34"/>
    <n v="145"/>
    <n v="747"/>
    <n v="809"/>
    <n v="1.1067180637499764E-2"/>
    <n v="9394"/>
    <n v="1333"/>
    <n v="8061"/>
    <s v="unknown"/>
    <d v="2021-01-25T00:00:00"/>
    <s v="Has no high school or college education"/>
    <x v="0"/>
    <x v="49"/>
    <n v="20"/>
    <x v="1"/>
  </r>
  <r>
    <s v="fdcf2b93bdafeb0409197b90436de93f"/>
    <n v="32708"/>
    <n v="1345"/>
    <n v="24.3182156133829"/>
    <n v="0.12220208850946181"/>
    <s v="Power User"/>
    <n v="613"/>
    <n v="1.8741592271004037E-2"/>
    <n v="4.8489163107103307E-2"/>
    <n v="1.0414164328480291"/>
    <x v="0"/>
    <n v="247"/>
    <n v="3"/>
    <n v="829"/>
    <n v="2735"/>
    <n v="2289"/>
    <n v="0.70003392961489885"/>
    <n v="594200"/>
    <n v="43547"/>
    <n v="550653"/>
    <s v="unknown"/>
    <d v="2016-07-05T00:00:00"/>
    <s v="Has high school and/or college education"/>
    <x v="0"/>
    <x v="50"/>
    <n v="24"/>
    <x v="0"/>
  </r>
  <r>
    <s v="8bc1746aeee49cef184877aa18c344df"/>
    <n v="5240"/>
    <n v="216"/>
    <n v="24.25925925925926"/>
    <n v="0.12190582542341337"/>
    <s v="Power User"/>
    <n v="96"/>
    <n v="1.8320610687022901E-2"/>
    <n v="7.5937351684859994E-3"/>
    <n v="0.33392819886376707"/>
    <x v="1"/>
    <n v="19"/>
    <n v="0"/>
    <n v="105"/>
    <n v="1263"/>
    <n v="991"/>
    <n v="7.4929077679968328E-2"/>
    <n v="63601"/>
    <n v="6047"/>
    <n v="57554"/>
    <s v="Finland"/>
    <d v="2020-06-20T00:00:00"/>
    <s v="Has no high school or college education"/>
    <x v="0"/>
    <x v="2"/>
    <n v="25"/>
    <x v="0"/>
  </r>
  <r>
    <s v="a3a981dec9cc4d7cddc01bc669399822"/>
    <n v="3711"/>
    <n v="153"/>
    <n v="24.254901960784313"/>
    <n v="0.12188392945117744"/>
    <s v="Power User"/>
    <n v="74"/>
    <n v="1.9940716787927783E-2"/>
    <n v="5.8535041923746239E-3"/>
    <n v="0.26794635698569608"/>
    <x v="1"/>
    <n v="20"/>
    <n v="2"/>
    <n v="237"/>
    <n v="440"/>
    <n v="469"/>
    <n v="1.2471489698591921E-2"/>
    <n v="10586"/>
    <n v="5543"/>
    <n v="5043"/>
    <s v="unknown"/>
    <d v="2019-10-13T00:00:00"/>
    <s v="Has no high school or college education"/>
    <x v="0"/>
    <x v="2"/>
    <n v="19"/>
    <x v="1"/>
  </r>
  <r>
    <s v="d714c8f0e83db92be0499712596f5449"/>
    <n v="10167"/>
    <n v="420"/>
    <n v="24.207142857142856"/>
    <n v="0.12164393395549174"/>
    <s v="Power User"/>
    <n v="1420"/>
    <n v="0.13966755188354479"/>
    <n v="0.11232399936718873"/>
    <n v="0.50114565533925926"/>
    <x v="1"/>
    <n v="339"/>
    <n v="200"/>
    <n v="3610"/>
    <n v="16467"/>
    <n v="11306"/>
    <n v="3.3209788693898325E-2"/>
    <n v="28189"/>
    <n v="12218"/>
    <n v="15971"/>
    <s v="unknown"/>
    <d v="2018-10-17T00:00:00"/>
    <s v="Has no high school or college education"/>
    <x v="0"/>
    <x v="2"/>
    <n v="18"/>
    <x v="1"/>
  </r>
  <r>
    <s v="8b2cc3b1641bc7e1845e551b71b248d3"/>
    <n v="24"/>
    <n v="1"/>
    <n v="24"/>
    <n v="0.12060301507537688"/>
    <s v="Power User"/>
    <n v="0"/>
    <n v="0"/>
    <n v="0"/>
    <n v="0.24120603015075376"/>
    <x v="1"/>
    <n v="0"/>
    <n v="0"/>
    <n v="0"/>
    <n v="0"/>
    <n v="0"/>
    <n v="0"/>
    <n v="0"/>
    <n v="0"/>
    <n v="0"/>
    <s v="United Kingdom"/>
    <d v="2019-12-06T00:00:00"/>
    <s v="Has no high school or college education"/>
    <x v="0"/>
    <x v="2"/>
    <n v="24"/>
    <x v="0"/>
  </r>
  <r>
    <s v="271761fec2db447b283e17c36b9c3eb6"/>
    <n v="167"/>
    <n v="7"/>
    <n v="23.857142857142858"/>
    <n v="0.1198851399856425"/>
    <s v="Power User"/>
    <n v="116"/>
    <n v="0.69461077844311381"/>
    <n v="9.1757633285872494E-3"/>
    <n v="0.26126383034149037"/>
    <x v="1"/>
    <n v="0"/>
    <n v="116"/>
    <n v="259"/>
    <n v="0"/>
    <n v="155"/>
    <n v="3.1420237130308573E-3"/>
    <n v="2667"/>
    <n v="367"/>
    <n v="2300"/>
    <s v="unknown"/>
    <d v="2021-03-01T00:00:00"/>
    <s v="Has no high school or college education"/>
    <x v="1"/>
    <x v="2"/>
    <n v="18"/>
    <x v="1"/>
  </r>
  <r>
    <s v="824ab63b2559e2f8cc5f2d3163e7fe71"/>
    <n v="2300"/>
    <n v="97"/>
    <n v="23.711340206185568"/>
    <n v="0.11915246334766617"/>
    <s v="Power User"/>
    <n v="85"/>
    <n v="3.6956521739130437E-2"/>
    <n v="6.723619680430312E-3"/>
    <n v="0.26983264521775446"/>
    <x v="1"/>
    <n v="28"/>
    <n v="1"/>
    <n v="115"/>
    <n v="1497"/>
    <n v="1362"/>
    <n v="1.8080479161561518E-2"/>
    <n v="15347"/>
    <n v="6596"/>
    <n v="8751"/>
    <s v="Spain"/>
    <d v="2020-09-05T00:00:00"/>
    <s v="Has no high school or college education"/>
    <x v="0"/>
    <x v="34"/>
    <n v="27"/>
    <x v="0"/>
  </r>
  <r>
    <s v="be87c1716696efa264b76418054bb358"/>
    <n v="12946"/>
    <n v="551"/>
    <n v="23.495462794918332"/>
    <n v="0.11806765223577051"/>
    <s v="Power User"/>
    <n v="176"/>
    <n v="1.3594932797775374E-2"/>
    <n v="1.3921847808890999E-2"/>
    <n v="0.32264306862714509"/>
    <x v="1"/>
    <n v="48"/>
    <n v="28"/>
    <n v="873"/>
    <n v="1339"/>
    <n v="1106"/>
    <n v="5.8664068537822099E-2"/>
    <n v="49795"/>
    <n v="25870"/>
    <n v="23925"/>
    <s v="Norway"/>
    <d v="2019-04-25T00:00:00"/>
    <s v="Has no high school or college education"/>
    <x v="0"/>
    <x v="3"/>
    <n v="24"/>
    <x v="0"/>
  </r>
  <r>
    <s v="d3d9ed8b0cc4ee0510095f201eaf943e"/>
    <n v="280"/>
    <n v="12"/>
    <n v="23.333333333333332"/>
    <n v="0.11725293132328307"/>
    <s v="Power User"/>
    <n v="7"/>
    <n v="2.5000000000000001E-2"/>
    <n v="5.5370985603543741E-4"/>
    <n v="0.23900035329038194"/>
    <x v="1"/>
    <n v="2"/>
    <n v="0"/>
    <n v="11"/>
    <n v="121"/>
    <n v="97"/>
    <n v="3.3870709317449245E-3"/>
    <n v="2875"/>
    <n v="2627"/>
    <n v="248"/>
    <s v="unknown"/>
    <d v="2020-11-13T00:00:00"/>
    <s v="Has no high school or college education"/>
    <x v="0"/>
    <x v="2"/>
    <n v="27"/>
    <x v="0"/>
  </r>
  <r>
    <s v="10e6c947e1bac22a32dfe5142fe9a243"/>
    <n v="1137"/>
    <n v="49"/>
    <n v="23.204081632653061"/>
    <n v="0.11660342528971387"/>
    <s v="Power User"/>
    <n v="21"/>
    <n v="1.8469656992084433E-2"/>
    <n v="1.6611295681063123E-3"/>
    <n v="0.24324198977445169"/>
    <x v="1"/>
    <n v="9"/>
    <n v="2"/>
    <n v="85"/>
    <n v="104"/>
    <n v="127"/>
    <n v="6.7128800588113326E-3"/>
    <n v="5698"/>
    <n v="4412"/>
    <n v="1286"/>
    <s v="unknown"/>
    <d v="2019-12-30T00:00:00"/>
    <s v="Has no high school or college education"/>
    <x v="0"/>
    <x v="2"/>
    <n v="27"/>
    <x v="0"/>
  </r>
  <r>
    <s v="80a602688af90ec80817fb406fbd0a71"/>
    <n v="7350"/>
    <n v="317"/>
    <n v="23.186119873817034"/>
    <n v="0.11651316519506047"/>
    <s v="Power User"/>
    <n v="355"/>
    <n v="4.8299319727891157E-2"/>
    <n v="2.8080999841797183E-2"/>
    <n v="0.4130361369011078"/>
    <x v="1"/>
    <n v="107"/>
    <n v="41"/>
    <n v="1504"/>
    <n v="4932"/>
    <n v="4338"/>
    <n v="0.12384780682739251"/>
    <n v="105124"/>
    <n v="41159"/>
    <n v="63965"/>
    <s v="USA"/>
    <d v="2018-10-22T00:00:00"/>
    <s v="Has no high school or college education"/>
    <x v="0"/>
    <x v="2"/>
    <n v="22"/>
    <x v="0"/>
  </r>
  <r>
    <s v="94604c823f2d2e949fedf41cd129a406"/>
    <n v="7025"/>
    <n v="303"/>
    <n v="23.184818481848186"/>
    <n v="0.11650662553692556"/>
    <s v="Power User"/>
    <n v="62"/>
    <n v="8.8256227758007118E-3"/>
    <n v="4.9042872963138747E-3"/>
    <n v="0.35912736184864319"/>
    <x v="1"/>
    <n v="3"/>
    <n v="1"/>
    <n v="343"/>
    <n v="975"/>
    <n v="944"/>
    <n v="0.11630553618216433"/>
    <n v="98722"/>
    <n v="38219"/>
    <n v="60503"/>
    <s v="unknown"/>
    <d v="2020-02-26T00:00:00"/>
    <s v="Has no high school or college education"/>
    <x v="0"/>
    <x v="2"/>
    <n v="19"/>
    <x v="1"/>
  </r>
  <r>
    <s v="e7b22665d75a03a0364a5a60281dcb3a"/>
    <n v="20076"/>
    <n v="866"/>
    <n v="23.182448036951502"/>
    <n v="0.11649471375352513"/>
    <s v="Power User"/>
    <n v="384"/>
    <n v="1.9127316198445904E-2"/>
    <n v="3.0374940673943997E-2"/>
    <n v="0.40132564087506983"/>
    <x v="1"/>
    <n v="109"/>
    <n v="1"/>
    <n v="516"/>
    <n v="3615"/>
    <n v="3667"/>
    <n v="0.10758633202013157"/>
    <n v="91321"/>
    <n v="47228"/>
    <n v="44093"/>
    <s v="unknown"/>
    <d v="2017-08-06T00:00:00"/>
    <s v="Has high school and/or college education"/>
    <x v="0"/>
    <x v="2"/>
    <n v="25"/>
    <x v="0"/>
  </r>
  <r>
    <s v="b45c4c43ca87de6786ebef719b451a91"/>
    <n v="277"/>
    <n v="12"/>
    <n v="23.083333333333332"/>
    <n v="0.1159966499162479"/>
    <s v="Power User"/>
    <n v="10"/>
    <n v="3.6101083032490974E-2"/>
    <n v="7.9101408005062491E-4"/>
    <n v="0.24284471028510804"/>
    <x v="1"/>
    <n v="4"/>
    <n v="0"/>
    <n v="15"/>
    <n v="28"/>
    <n v="21"/>
    <n v="9.2693822925109803E-3"/>
    <n v="7868"/>
    <n v="1017"/>
    <n v="6851"/>
    <s v="unknown"/>
    <d v="2021-03-14T00:00:00"/>
    <s v="Has no high school or college education"/>
    <x v="0"/>
    <x v="2"/>
    <n v="28"/>
    <x v="0"/>
  </r>
  <r>
    <s v="2dab501b6287a0cf4a8d851a10cae140"/>
    <n v="5343"/>
    <n v="232"/>
    <n v="23.030172413793103"/>
    <n v="0.11572950961705077"/>
    <s v="Power User"/>
    <n v="139"/>
    <n v="2.6015347183230394E-2"/>
    <n v="1.0995095712703686E-2"/>
    <n v="0.33313668120671819"/>
    <x v="1"/>
    <n v="41"/>
    <n v="1"/>
    <n v="211"/>
    <n v="1754"/>
    <n v="1551"/>
    <n v="7.9687470547209288E-2"/>
    <n v="67640"/>
    <n v="4254"/>
    <n v="63386"/>
    <s v="Germany"/>
    <d v="2020-08-22T00:00:00"/>
    <s v="Has no high school or college education"/>
    <x v="0"/>
    <x v="51"/>
    <n v="26"/>
    <x v="0"/>
  </r>
  <r>
    <s v="160dae1bf017f6109584bc5d11595428"/>
    <n v="41762"/>
    <n v="1820"/>
    <n v="22.946153846153845"/>
    <n v="0.11530730575956706"/>
    <s v="Power User"/>
    <n v="12642"/>
    <n v="0.30271538719409991"/>
    <n v="1"/>
    <n v="2.5129796941754461"/>
    <x v="0"/>
    <n v="2663"/>
    <n v="616"/>
    <n v="23758"/>
    <n v="61881"/>
    <n v="55608"/>
    <n v="0.28236508265631183"/>
    <n v="239676"/>
    <n v="198373"/>
    <n v="41303"/>
    <s v="unknown"/>
    <d v="2014-08-15T00:00:00"/>
    <s v="Has no high school or college education"/>
    <x v="0"/>
    <x v="5"/>
    <n v="26"/>
    <x v="0"/>
  </r>
  <r>
    <s v="ae07095ee64c0423353ee5991fad5de1"/>
    <n v="7978"/>
    <n v="348"/>
    <n v="22.925287356321839"/>
    <n v="0.11520244902674291"/>
    <s v="Power User"/>
    <n v="443"/>
    <n v="5.5527701178240157E-2"/>
    <n v="3.5041923746242681E-2"/>
    <n v="0.38858557689693535"/>
    <x v="1"/>
    <n v="182"/>
    <n v="31"/>
    <n v="766"/>
    <n v="6979"/>
    <n v="6905"/>
    <n v="8.8096831350964161E-2"/>
    <n v="74778"/>
    <n v="17407"/>
    <n v="57371"/>
    <s v="United Kingdom"/>
    <d v="2020-04-26T00:00:00"/>
    <s v="Has no high school or college education"/>
    <x v="0"/>
    <x v="2"/>
    <n v="19"/>
    <x v="1"/>
  </r>
  <r>
    <s v="3afc29e8a0711adaa028dd1da9748edf"/>
    <n v="5973"/>
    <n v="262"/>
    <n v="22.797709923664122"/>
    <n v="0.11456135640032222"/>
    <s v="Power User"/>
    <n v="94"/>
    <n v="1.5737485350745019E-2"/>
    <n v="7.4355323524758739E-3"/>
    <n v="0.3394361348598402"/>
    <x v="1"/>
    <n v="5"/>
    <n v="2"/>
    <n v="138"/>
    <n v="1378"/>
    <n v="1077"/>
    <n v="9.5442357354244028E-2"/>
    <n v="81013"/>
    <n v="16116"/>
    <n v="64897"/>
    <s v="Belgium"/>
    <d v="2020-06-17T00:00:00"/>
    <s v="Has no high school or college education"/>
    <x v="0"/>
    <x v="2"/>
    <n v="27"/>
    <x v="0"/>
  </r>
  <r>
    <s v="9b0acdb1fcbeb08ee1e51fc749196dd7"/>
    <n v="4545"/>
    <n v="202"/>
    <n v="22.5"/>
    <n v="0.11306532663316583"/>
    <s v="Power User"/>
    <n v="111"/>
    <n v="2.4422442244224421E-2"/>
    <n v="8.7802562885619367E-3"/>
    <n v="0.27835238806358337"/>
    <x v="1"/>
    <n v="36"/>
    <n v="12"/>
    <n v="441"/>
    <n v="523"/>
    <n v="467"/>
    <n v="3.4661222220127803E-2"/>
    <n v="29421"/>
    <n v="5358"/>
    <n v="24063"/>
    <s v="Netherlands"/>
    <d v="2020-02-12T00:00:00"/>
    <s v="Has no high school or college education"/>
    <x v="0"/>
    <x v="2"/>
    <n v="18"/>
    <x v="1"/>
  </r>
  <r>
    <s v="d22a435c59f33741a8309c1b92c93977"/>
    <n v="5751"/>
    <n v="256"/>
    <n v="22.46484375"/>
    <n v="0.1128886620603015"/>
    <s v="Power User"/>
    <n v="254"/>
    <n v="4.4166231959659193E-2"/>
    <n v="2.0091757633285873E-2"/>
    <n v="0.30364391793423323"/>
    <x v="1"/>
    <n v="61"/>
    <n v="74"/>
    <n v="626"/>
    <n v="635"/>
    <n v="1099"/>
    <n v="3.7683078547058491E-2"/>
    <n v="31986"/>
    <n v="21995"/>
    <n v="9991"/>
    <s v="Austria"/>
    <d v="2020-07-30T00:00:00"/>
    <s v="Has no high school or college education"/>
    <x v="0"/>
    <x v="2"/>
    <n v="23"/>
    <x v="0"/>
  </r>
  <r>
    <s v="5e74c3d604ed70dd473c784d040fdbdc"/>
    <n v="9311"/>
    <n v="419"/>
    <n v="22.221957040572793"/>
    <n v="0.11166812583202408"/>
    <s v="Power User"/>
    <n v="133"/>
    <n v="1.4284180002147998E-2"/>
    <n v="1.0520487264673311E-2"/>
    <n v="0.31752264286791554"/>
    <x v="1"/>
    <n v="16"/>
    <n v="0"/>
    <n v="141"/>
    <n v="5499"/>
    <n v="4319"/>
    <n v="7.314541667452075E-2"/>
    <n v="62087"/>
    <n v="26374"/>
    <n v="35713"/>
    <s v="unknown"/>
    <d v="2019-04-22T00:00:00"/>
    <s v="Has no high school or college education"/>
    <x v="0"/>
    <x v="52"/>
    <n v="30"/>
    <x v="0"/>
  </r>
  <r>
    <s v="484858c0a7f95ea29e16dfd0e0a9970b"/>
    <n v="5977"/>
    <n v="269"/>
    <n v="22.219330855018587"/>
    <n v="0.11165492891969139"/>
    <s v="Power User"/>
    <n v="358"/>
    <n v="5.98962690312866E-2"/>
    <n v="2.8318304065812372E-2"/>
    <n v="0.32434124646524892"/>
    <x v="1"/>
    <n v="60"/>
    <n v="32"/>
    <n v="740"/>
    <n v="4978"/>
    <n v="4190"/>
    <n v="4.4394780494241393E-2"/>
    <n v="37683"/>
    <n v="14570"/>
    <n v="23113"/>
    <s v="USA"/>
    <d v="2018-06-09T00:00:00"/>
    <s v="Has no high school or college education"/>
    <x v="0"/>
    <x v="44"/>
    <n v="29"/>
    <x v="0"/>
  </r>
  <r>
    <s v="28c8dd98fab5ec78b1ac02f311d9b06e"/>
    <n v="2621"/>
    <n v="118"/>
    <n v="22.211864406779661"/>
    <n v="0.11161740907929478"/>
    <s v="Power User"/>
    <n v="292"/>
    <n v="0.11140785959557421"/>
    <n v="2.3097611137478248E-2"/>
    <n v="0.29138415062939532"/>
    <x v="1"/>
    <n v="68"/>
    <n v="83"/>
    <n v="545"/>
    <n v="1242"/>
    <n v="1330"/>
    <n v="2.1954110195849277E-2"/>
    <n v="18635"/>
    <n v="892"/>
    <n v="17743"/>
    <s v="unknown"/>
    <d v="2020-01-25T00:00:00"/>
    <s v="Has no high school or college education"/>
    <x v="1"/>
    <x v="2"/>
    <n v="22"/>
    <x v="0"/>
  </r>
  <r>
    <s v="830ef88a84077b8f3b1126c4ff1c34dc"/>
    <n v="3398"/>
    <n v="153"/>
    <n v="22.209150326797385"/>
    <n v="0.11160377048641902"/>
    <s v="Power User"/>
    <n v="128"/>
    <n v="3.7669217186580339E-2"/>
    <n v="1.0124980224647999E-2"/>
    <n v="0.33233659889437772"/>
    <x v="1"/>
    <n v="50"/>
    <n v="2"/>
    <n v="156"/>
    <n v="1217"/>
    <n v="1008"/>
    <n v="8.8879097472243693E-2"/>
    <n v="75442"/>
    <n v="17153"/>
    <n v="58289"/>
    <s v="Poland"/>
    <d v="2020-11-11T00:00:00"/>
    <s v="Has no high school or college education"/>
    <x v="0"/>
    <x v="2"/>
    <n v="29"/>
    <x v="0"/>
  </r>
  <r>
    <s v="bd02b0a96c7139e5f609596fadf329ae"/>
    <n v="6724"/>
    <n v="303"/>
    <n v="22.191419141914192"/>
    <n v="0.11151466905484518"/>
    <s v="Power User"/>
    <n v="221"/>
    <n v="3.2867340868530638E-2"/>
    <n v="1.7481411169118811E-2"/>
    <n v="0.31112852922514234"/>
    <x v="1"/>
    <n v="43"/>
    <n v="0"/>
    <n v="266"/>
    <n v="11519"/>
    <n v="7831"/>
    <n v="5.3136368777214379E-2"/>
    <n v="45103"/>
    <n v="4999"/>
    <n v="40104"/>
    <s v="Belgium"/>
    <d v="2019-03-04T00:00:00"/>
    <s v="Has no high school or college education"/>
    <x v="0"/>
    <x v="2"/>
    <n v="35"/>
    <x v="3"/>
  </r>
  <r>
    <s v="cb293255b4c8bb7805e19aadbebdd0a0"/>
    <n v="10207"/>
    <n v="463"/>
    <n v="22.045356371490282"/>
    <n v="0.11078068528387076"/>
    <s v="Power User"/>
    <n v="112"/>
    <n v="1.0972861761536201E-2"/>
    <n v="8.8593576965669985E-3"/>
    <n v="0.2595247561838685"/>
    <x v="1"/>
    <n v="46"/>
    <n v="0"/>
    <n v="174"/>
    <n v="827"/>
    <n v="956"/>
    <n v="2.0244670222992971E-2"/>
    <n v="17184"/>
    <n v="7335"/>
    <n v="9849"/>
    <s v="unknown"/>
    <d v="2019-05-19T00:00:00"/>
    <s v="Has no high school or college education"/>
    <x v="0"/>
    <x v="2"/>
    <n v="32"/>
    <x v="3"/>
  </r>
  <r>
    <s v="c6cdc68b68cfc870c1075b2a561abfea"/>
    <n v="5458"/>
    <n v="248"/>
    <n v="22.008064516129032"/>
    <n v="0.11059328902577403"/>
    <s v="Power User"/>
    <n v="437"/>
    <n v="8.0065958226456582E-2"/>
    <n v="3.456731529821231E-2"/>
    <n v="0.30559660402223521"/>
    <x v="1"/>
    <n v="72"/>
    <n v="34"/>
    <n v="1526"/>
    <n v="6030"/>
    <n v="4937"/>
    <n v="1.5275395374262502E-2"/>
    <n v="12966"/>
    <n v="10538"/>
    <n v="2428"/>
    <s v="unknown"/>
    <d v="2020-07-25T00:00:00"/>
    <s v="Has no high school or college education"/>
    <x v="0"/>
    <x v="2"/>
    <n v="30"/>
    <x v="0"/>
  </r>
  <r>
    <s v="23dbb328ffd9e2fed0e012b922b7f6b2"/>
    <n v="88"/>
    <n v="4"/>
    <n v="22"/>
    <n v="0.11055276381909548"/>
    <s v="Power User"/>
    <n v="0"/>
    <n v="0"/>
    <n v="0"/>
    <n v="0.22177940748965466"/>
    <x v="1"/>
    <n v="0"/>
    <n v="0"/>
    <n v="4"/>
    <n v="0"/>
    <n v="0"/>
    <n v="6.7387985146368586E-4"/>
    <n v="572"/>
    <n v="278"/>
    <n v="294"/>
    <s v="unknown"/>
    <d v="2020-05-22T00:00:00"/>
    <s v="Has no high school or college education"/>
    <x v="0"/>
    <x v="2"/>
    <n v="24"/>
    <x v="0"/>
  </r>
  <r>
    <s v="291b532350d1c1cd6e4eae6b5cecadd3"/>
    <n v="16969"/>
    <n v="772"/>
    <n v="21.980569948186528"/>
    <n v="0.1104551253677715"/>
    <s v="Power User"/>
    <n v="1515"/>
    <n v="8.9280452590017087E-2"/>
    <n v="0.11983863312766967"/>
    <n v="0.59748055387991361"/>
    <x v="0"/>
    <n v="704"/>
    <n v="29"/>
    <n v="2283"/>
    <n v="5215"/>
    <n v="4148"/>
    <n v="0.13689303688903132"/>
    <n v="116197"/>
    <n v="68705"/>
    <n v="47492"/>
    <s v="USA"/>
    <d v="2018-03-31T00:00:00"/>
    <s v="Has no high school or college education"/>
    <x v="0"/>
    <x v="2"/>
    <n v="20"/>
    <x v="1"/>
  </r>
  <r>
    <s v="024610702baf540af5637873cd1534e9"/>
    <n v="26280"/>
    <n v="1197"/>
    <n v="21.954887218045112"/>
    <n v="0.11032606642233725"/>
    <s v="Power User"/>
    <n v="464"/>
    <n v="1.7656012176560123E-2"/>
    <n v="3.6703053314348998E-2"/>
    <n v="0.40553940853710363"/>
    <x v="1"/>
    <n v="56"/>
    <n v="16"/>
    <n v="888"/>
    <n v="2088"/>
    <n v="1509"/>
    <n v="0.11148116906373112"/>
    <n v="94627"/>
    <n v="45068"/>
    <n v="49559"/>
    <s v="USA"/>
    <d v="2016-07-12T00:00:00"/>
    <s v="Has high school and/or college education"/>
    <x v="0"/>
    <x v="2"/>
    <n v="19"/>
    <x v="1"/>
  </r>
  <r>
    <s v="ab0af638d1d6c48d02d7ea99985a94a1"/>
    <n v="6170"/>
    <n v="282"/>
    <n v="21.879432624113477"/>
    <n v="0.10994689760861044"/>
    <s v="Power User"/>
    <n v="111"/>
    <n v="1.7990275526742303E-2"/>
    <n v="8.7802562885619367E-3"/>
    <n v="0.2787424079244083"/>
    <x v="1"/>
    <n v="40"/>
    <n v="0"/>
    <n v="192"/>
    <n v="1316"/>
    <n v="1389"/>
    <n v="4.1288100130063524E-2"/>
    <n v="35046"/>
    <n v="32851"/>
    <n v="2195"/>
    <s v="unknown"/>
    <d v="2019-11-30T00:00:00"/>
    <s v="Has no high school or college education"/>
    <x v="0"/>
    <x v="2"/>
    <n v="23"/>
    <x v="0"/>
  </r>
  <r>
    <s v="f2d2d37983ae77ded93273a28f194085"/>
    <n v="2973"/>
    <n v="136"/>
    <n v="21.860294117647058"/>
    <n v="0.1098507242092817"/>
    <s v="Power User"/>
    <n v="36"/>
    <n v="1.2108980827447022E-2"/>
    <n v="2.8476506881822496E-3"/>
    <n v="0.24923230426138471"/>
    <x v="1"/>
    <n v="9"/>
    <n v="0"/>
    <n v="43"/>
    <n v="810"/>
    <n v="686"/>
    <n v="2.3835554466456806E-2"/>
    <n v="20232"/>
    <n v="4789"/>
    <n v="15443"/>
    <s v="France"/>
    <d v="2018-12-10T00:00:00"/>
    <s v="Has no high school or college education"/>
    <x v="0"/>
    <x v="2"/>
    <n v="25"/>
    <x v="0"/>
  </r>
  <r>
    <s v="a5476d611884a1bdd9d34288c2c6b1fe"/>
    <n v="13792"/>
    <n v="631"/>
    <n v="21.857369255150555"/>
    <n v="0.10983602640779173"/>
    <s v="Power User"/>
    <n v="80"/>
    <n v="5.8004640371229696E-3"/>
    <n v="6.3281126404049993E-3"/>
    <n v="0.3972214940583923"/>
    <x v="1"/>
    <n v="32"/>
    <n v="11"/>
    <n v="2032"/>
    <n v="2184"/>
    <n v="2036"/>
    <n v="0.16489321596199882"/>
    <n v="139964"/>
    <n v="121112"/>
    <n v="18852"/>
    <s v="Czechia"/>
    <d v="2015-09-23T00:00:00"/>
    <s v="Has high school and/or college education"/>
    <x v="0"/>
    <x v="2"/>
    <n v="23"/>
    <x v="0"/>
  </r>
  <r>
    <s v="99a2d980c11d540dad83d50c0115ca98"/>
    <n v="1550"/>
    <n v="71"/>
    <n v="21.830985915492956"/>
    <n v="0.10970344681152239"/>
    <s v="Power User"/>
    <n v="52"/>
    <n v="3.3548387096774192E-2"/>
    <n v="4.1132732162632493E-3"/>
    <n v="0.2457928526962378"/>
    <x v="1"/>
    <n v="8"/>
    <n v="0"/>
    <n v="52"/>
    <n v="1041"/>
    <n v="720"/>
    <n v="1.815941264066653E-2"/>
    <n v="15414"/>
    <n v="4501"/>
    <n v="10913"/>
    <s v="France"/>
    <d v="2020-02-01T00:00:00"/>
    <s v="Has no high school or college education"/>
    <x v="0"/>
    <x v="53"/>
    <n v="35"/>
    <x v="3"/>
  </r>
  <r>
    <s v="79480eaad4771acec2332cbdb049a57c"/>
    <n v="5216"/>
    <n v="240"/>
    <n v="21.733333333333334"/>
    <n v="0.10921273031825796"/>
    <s v="Power User"/>
    <n v="637"/>
    <n v="0.12212423312883436"/>
    <n v="5.0387596899224806E-2"/>
    <n v="0.36139943485380777"/>
    <x v="1"/>
    <n v="91"/>
    <n v="42"/>
    <n v="803"/>
    <n v="3999"/>
    <n v="2961"/>
    <n v="4.2198780418842244E-2"/>
    <n v="35819"/>
    <n v="9274"/>
    <n v="26545"/>
    <s v="unknown"/>
    <d v="2020-05-18T00:00:00"/>
    <s v="Has no high school or college education"/>
    <x v="0"/>
    <x v="54"/>
    <n v="30"/>
    <x v="0"/>
  </r>
  <r>
    <s v="2930549c4925f1271dea905177e00449"/>
    <n v="1432"/>
    <n v="66"/>
    <n v="21.696969696969695"/>
    <n v="0.10902999847723464"/>
    <s v="Power User"/>
    <n v="5"/>
    <n v="3.4916201117318434E-3"/>
    <n v="3.9550704002531246E-4"/>
    <n v="0.22886849421108585"/>
    <x v="1"/>
    <n v="3"/>
    <n v="0"/>
    <n v="28"/>
    <n v="10"/>
    <n v="12"/>
    <n v="1.0017483176565947E-2"/>
    <n v="8503"/>
    <n v="4128"/>
    <n v="4375"/>
    <s v="unknown"/>
    <d v="2020-01-02T00:00:00"/>
    <s v="Has no high school or college education"/>
    <x v="0"/>
    <x v="2"/>
    <n v="19"/>
    <x v="1"/>
  </r>
  <r>
    <s v="983aa5c7935d2ac343f6f80f8bea4d31"/>
    <n v="1887"/>
    <n v="87"/>
    <n v="21.689655172413794"/>
    <n v="0.10899324207243112"/>
    <s v="Power User"/>
    <n v="29"/>
    <n v="1.5368309485956544E-2"/>
    <n v="2.2939408321468123E-3"/>
    <n v="0.25249486683646921"/>
    <x v="1"/>
    <n v="2"/>
    <n v="0"/>
    <n v="14"/>
    <n v="357"/>
    <n v="244"/>
    <n v="2.9920501027313341E-2"/>
    <n v="25397"/>
    <n v="9468"/>
    <n v="15929"/>
    <s v="Spain"/>
    <d v="2021-01-16T00:00:00"/>
    <s v="Has no high school or college education"/>
    <x v="0"/>
    <x v="2"/>
    <n v="24"/>
    <x v="0"/>
  </r>
  <r>
    <s v="d65883508174591ae33ccad1098ac6c8"/>
    <n v="5982"/>
    <n v="276"/>
    <n v="21.673913043478262"/>
    <n v="0.10891413589687568"/>
    <s v="Power User"/>
    <n v="183"/>
    <n v="3.0591775325977934E-2"/>
    <n v="1.4475557664926435E-2"/>
    <n v="0.25867595834752083"/>
    <x v="1"/>
    <n v="48"/>
    <n v="4"/>
    <n v="324"/>
    <n v="2510"/>
    <n v="2124"/>
    <n v="1.1896571223916609E-2"/>
    <n v="10098"/>
    <n v="3359"/>
    <n v="6739"/>
    <s v="USA"/>
    <d v="2019-12-23T00:00:00"/>
    <s v="Has no high school or college education"/>
    <x v="0"/>
    <x v="55"/>
    <n v="20"/>
    <x v="1"/>
  </r>
  <r>
    <s v="fc10fe553b2c2ca6b38a13be6aa31018"/>
    <n v="1634"/>
    <n v="76"/>
    <n v="21.5"/>
    <n v="0.10804020100502512"/>
    <s v="Power User"/>
    <n v="75"/>
    <n v="4.5899632802937573E-2"/>
    <n v="5.9326056003796866E-3"/>
    <n v="0.24240339911493961"/>
    <x v="1"/>
    <n v="13"/>
    <n v="5"/>
    <n v="93"/>
    <n v="625"/>
    <n v="398"/>
    <n v="1.4457785904129989E-2"/>
    <n v="12272"/>
    <n v="4760"/>
    <n v="7512"/>
    <s v="unknown"/>
    <d v="2020-10-10T00:00:00"/>
    <s v="Has no high school or college education"/>
    <x v="0"/>
    <x v="56"/>
    <n v="29"/>
    <x v="0"/>
  </r>
  <r>
    <s v="ae91ea66e5bd032df74b558c32484d78"/>
    <n v="1626"/>
    <n v="76"/>
    <n v="21.394736842105264"/>
    <n v="0.10751124041258926"/>
    <s v="Power User"/>
    <n v="38"/>
    <n v="2.3370233702337023E-2"/>
    <n v="3.0058535041923747E-3"/>
    <n v="0.25129398500986533"/>
    <x v="1"/>
    <n v="13"/>
    <n v="0"/>
    <n v="47"/>
    <n v="243"/>
    <n v="212"/>
    <n v="3.0259797176302047E-2"/>
    <n v="25685"/>
    <n v="5149"/>
    <n v="20536"/>
    <s v="Germany"/>
    <d v="2020-10-29T00:00:00"/>
    <s v="Has no high school or college education"/>
    <x v="0"/>
    <x v="57"/>
    <n v="35"/>
    <x v="3"/>
  </r>
  <r>
    <s v="6cae6910cc00f0f18a8123f74fc4d14f"/>
    <n v="1276"/>
    <n v="60"/>
    <n v="21.266666666666666"/>
    <n v="0.10686767169179229"/>
    <s v="Power User"/>
    <n v="23"/>
    <n v="1.8025078369905956E-2"/>
    <n v="1.8193323841164373E-3"/>
    <n v="0.23302286491229324"/>
    <x v="1"/>
    <n v="9"/>
    <n v="0"/>
    <n v="49"/>
    <n v="119"/>
    <n v="80"/>
    <n v="1.5648856760475768E-2"/>
    <n v="13283"/>
    <n v="5241"/>
    <n v="8042"/>
    <s v="Canada"/>
    <d v="2020-10-02T00:00:00"/>
    <s v="Has no high school or college education"/>
    <x v="0"/>
    <x v="58"/>
    <n v="24"/>
    <x v="0"/>
  </r>
  <r>
    <s v="1f4873925d958cab973bc21385bc956e"/>
    <n v="1441"/>
    <n v="68"/>
    <n v="21.191176470588236"/>
    <n v="0.10648832397280521"/>
    <s v="Power User"/>
    <n v="62"/>
    <n v="4.302567661346287E-2"/>
    <n v="4.9042872963138747E-3"/>
    <n v="0.23077164126738559"/>
    <x v="1"/>
    <n v="25"/>
    <n v="1"/>
    <n v="112"/>
    <n v="798"/>
    <n v="840"/>
    <n v="7.9864187291474233E-3"/>
    <n v="6779"/>
    <n v="1931"/>
    <n v="4848"/>
    <s v="Belgium"/>
    <d v="2019-10-16T00:00:00"/>
    <s v="Has no high school or college education"/>
    <x v="0"/>
    <x v="2"/>
    <n v="18"/>
    <x v="1"/>
  </r>
  <r>
    <s v="2c45f2bd5f05cb0428cedec8089b3e59"/>
    <n v="11161"/>
    <n v="530"/>
    <n v="21.058490566037737"/>
    <n v="0.10582156063335546"/>
    <s v="Power User"/>
    <n v="941"/>
    <n v="8.431144162709435E-2"/>
    <n v="7.443442493276381E-2"/>
    <n v="0.45381605588087665"/>
    <x v="1"/>
    <n v="150"/>
    <n v="43"/>
    <n v="1640"/>
    <n v="9866"/>
    <n v="7826"/>
    <n v="9.3304084748638105E-2"/>
    <n v="79198"/>
    <n v="12413"/>
    <n v="66785"/>
    <s v="unknown"/>
    <d v="2018-12-06T00:00:00"/>
    <s v="Has no high school or college education"/>
    <x v="0"/>
    <x v="2"/>
    <n v="35"/>
    <x v="3"/>
  </r>
  <r>
    <s v="2473c13ef704fc95d1436caad916dfa4"/>
    <n v="779"/>
    <n v="37"/>
    <n v="21.054054054054053"/>
    <n v="0.1057992666032867"/>
    <s v="Power User"/>
    <n v="105"/>
    <n v="0.13478818998716302"/>
    <n v="8.3056478405315621E-3"/>
    <n v="0.23448091708578547"/>
    <x v="1"/>
    <n v="16"/>
    <n v="18"/>
    <n v="184"/>
    <n v="1138"/>
    <n v="1684"/>
    <n v="6.2710881981489514E-3"/>
    <n v="5323"/>
    <n v="386"/>
    <n v="4937"/>
    <s v="Israel"/>
    <d v="2021-01-27T00:00:00"/>
    <s v="Has no high school or college education"/>
    <x v="1"/>
    <x v="59"/>
    <n v="19"/>
    <x v="1"/>
  </r>
  <r>
    <s v="fa0e9ba41a56b1e88910ba1bc1a04404"/>
    <n v="1326"/>
    <n v="63"/>
    <n v="21.047619047619047"/>
    <n v="0.1057669298875329"/>
    <s v="Power User"/>
    <n v="174"/>
    <n v="0.13122171945701358"/>
    <n v="1.3763644992880873E-2"/>
    <n v="0.27891548803908811"/>
    <x v="1"/>
    <n v="24"/>
    <n v="41"/>
    <n v="429"/>
    <n v="1765"/>
    <n v="1388"/>
    <n v="3.9854338278260543E-2"/>
    <n v="33829"/>
    <n v="1254"/>
    <n v="32575"/>
    <s v="unknown"/>
    <d v="2020-09-09T00:00:00"/>
    <s v="Has no high school or college education"/>
    <x v="1"/>
    <x v="60"/>
    <n v="23"/>
    <x v="0"/>
  </r>
  <r>
    <s v="cc811745c6adf5f57bbbbc2c6b3d2220"/>
    <n v="4456"/>
    <n v="212"/>
    <n v="21.018867924528301"/>
    <n v="0.10562245188205177"/>
    <s v="Power User"/>
    <n v="155"/>
    <n v="3.4784560143626568E-2"/>
    <n v="1.2260718240784686E-2"/>
    <n v="0.2656467854776195"/>
    <x v="1"/>
    <n v="26"/>
    <n v="44"/>
    <n v="499"/>
    <n v="1643"/>
    <n v="1967"/>
    <n v="2.9880445231946617E-2"/>
    <n v="25363"/>
    <n v="2379"/>
    <n v="22984"/>
    <s v="Australia"/>
    <d v="2020-04-19T00:00:00"/>
    <s v="Has no high school or college education"/>
    <x v="1"/>
    <x v="2"/>
    <n v="18"/>
    <x v="1"/>
  </r>
  <r>
    <s v="25ed1d1feb4e4813298e154499f822c5"/>
    <n v="2118"/>
    <n v="101"/>
    <n v="20.970297029702969"/>
    <n v="0.10537837703368326"/>
    <s v="Power User"/>
    <n v="410"/>
    <n v="0.19357884796978281"/>
    <n v="3.2431577282075623E-2"/>
    <n v="0.32329337378768824"/>
    <x v="1"/>
    <n v="194"/>
    <n v="47"/>
    <n v="672"/>
    <n v="941"/>
    <n v="683"/>
    <n v="4.7673465156170478E-2"/>
    <n v="40466"/>
    <n v="14548"/>
    <n v="25918"/>
    <s v="unknown"/>
    <d v="2020-08-14T00:00:00"/>
    <s v="Has no high school or college education"/>
    <x v="0"/>
    <x v="2"/>
    <n v="18"/>
    <x v="1"/>
  </r>
  <r>
    <s v="35670dfa1d89253d11481f45a8594db5"/>
    <n v="3962"/>
    <n v="189"/>
    <n v="20.962962962962962"/>
    <n v="0.10534152242694955"/>
    <s v="Power User"/>
    <n v="479"/>
    <n v="0.12089853609288238"/>
    <n v="3.7889574434424936E-2"/>
    <n v="0.44164423553157439"/>
    <x v="1"/>
    <n v="83"/>
    <n v="157"/>
    <n v="721"/>
    <n v="2526"/>
    <n v="3918"/>
    <n v="0.15518204180882547"/>
    <n v="131721"/>
    <n v="2866"/>
    <n v="128855"/>
    <s v="Hungary"/>
    <d v="2020-10-05T00:00:00"/>
    <s v="Has no high school or college education"/>
    <x v="1"/>
    <x v="2"/>
    <n v="26"/>
    <x v="0"/>
  </r>
  <r>
    <s v="c99b7682b609d391f16b2f70b5457949"/>
    <n v="4001"/>
    <n v="191"/>
    <n v="20.947643979057592"/>
    <n v="0.10526454260832961"/>
    <s v="Power User"/>
    <n v="151"/>
    <n v="3.7740564858785304E-2"/>
    <n v="1.1944312608764437E-2"/>
    <n v="0.30114006251049202"/>
    <x v="1"/>
    <n v="47"/>
    <n v="38"/>
    <n v="475"/>
    <n v="366"/>
    <n v="365"/>
    <n v="6.6722352076303934E-2"/>
    <n v="56635"/>
    <n v="42037"/>
    <n v="14598"/>
    <s v="unknown"/>
    <d v="2019-07-16T00:00:00"/>
    <s v="Has no high school or college education"/>
    <x v="0"/>
    <x v="1"/>
    <n v="29"/>
    <x v="0"/>
  </r>
  <r>
    <s v="62325f1c561e603ccebfdcb432dda0e8"/>
    <n v="26901"/>
    <n v="1285"/>
    <n v="20.934630350194553"/>
    <n v="0.10519914748841484"/>
    <s v="High Engagement"/>
    <n v="817"/>
    <n v="3.0370618192632245E-2"/>
    <n v="6.4625850340136057E-2"/>
    <n v="0.44395293056879059"/>
    <x v="1"/>
    <n v="104"/>
    <n v="229"/>
    <n v="3777"/>
    <n v="6876"/>
    <n v="8250"/>
    <n v="0.10430293491168875"/>
    <n v="88534"/>
    <n v="49442"/>
    <n v="39092"/>
    <s v="unknown"/>
    <d v="2015-05-02T00:00:00"/>
    <s v="Has no high school or college education"/>
    <x v="0"/>
    <x v="17"/>
    <n v="25"/>
    <x v="0"/>
  </r>
  <r>
    <s v="57e97146f3178893f1d863213a054b98"/>
    <n v="5380"/>
    <n v="257"/>
    <n v="20.933852140077821"/>
    <n v="0.10519523688481318"/>
    <s v="High Engagement"/>
    <n v="250"/>
    <n v="4.6468401486988845E-2"/>
    <n v="1.9775352001265623E-2"/>
    <n v="0.28204707587021416"/>
    <x v="1"/>
    <n v="68"/>
    <n v="26"/>
    <n v="474"/>
    <n v="2092"/>
    <n v="1883"/>
    <n v="3.2105898098056584E-2"/>
    <n v="27252"/>
    <n v="19690"/>
    <n v="7562"/>
    <s v="unknown"/>
    <d v="2020-06-29T00:00:00"/>
    <s v="Has no high school or college education"/>
    <x v="0"/>
    <x v="2"/>
    <n v="21"/>
    <x v="0"/>
  </r>
  <r>
    <s v="1ae2776de35aa8c8872684317ba0d310"/>
    <n v="5293"/>
    <n v="253"/>
    <n v="20.920948616600789"/>
    <n v="0.10513039505829543"/>
    <s v="High Engagement"/>
    <n v="36"/>
    <n v="6.8014358586812769E-3"/>
    <n v="2.8476506881822496E-3"/>
    <n v="0.26896168987941366"/>
    <x v="1"/>
    <n v="1"/>
    <n v="0"/>
    <n v="49"/>
    <n v="1247"/>
    <n v="1225"/>
    <n v="5.3005598386458311E-2"/>
    <n v="44992"/>
    <n v="494"/>
    <n v="44498"/>
    <s v="Finland"/>
    <d v="2020-08-02T00:00:00"/>
    <s v="Has no high school or college education"/>
    <x v="0"/>
    <x v="2"/>
    <n v="28"/>
    <x v="0"/>
  </r>
  <r>
    <s v="45d44657a09d7b90d383e914111cdbae"/>
    <n v="1869"/>
    <n v="90"/>
    <n v="20.766666666666666"/>
    <n v="0.10435510887772194"/>
    <s v="High Engagement"/>
    <n v="374"/>
    <n v="0.20010700909577314"/>
    <n v="2.9583926593893372E-2"/>
    <n v="0.3071598469700727"/>
    <x v="1"/>
    <n v="142"/>
    <n v="21"/>
    <n v="468"/>
    <n v="1270"/>
    <n v="982"/>
    <n v="3.9281776026842095E-2"/>
    <n v="33343"/>
    <n v="25070"/>
    <n v="8273"/>
    <s v="Austria"/>
    <d v="2020-11-20T00:00:00"/>
    <s v="Has no high school or college education"/>
    <x v="0"/>
    <x v="2"/>
    <n v="32"/>
    <x v="3"/>
  </r>
  <r>
    <s v="4486aacb0a819895cfd364eaae03f70d"/>
    <n v="1869"/>
    <n v="90"/>
    <n v="20.766666666666666"/>
    <n v="0.10435510887772194"/>
    <s v="High Engagement"/>
    <n v="106"/>
    <n v="5.6714820759764577E-2"/>
    <n v="8.3847492485366239E-3"/>
    <n v="0.23990098069616569"/>
    <x v="1"/>
    <n v="28"/>
    <n v="0"/>
    <n v="44"/>
    <n v="1384"/>
    <n v="1482"/>
    <n v="1.4421264443648565E-2"/>
    <n v="12241"/>
    <n v="4627"/>
    <n v="7614"/>
    <s v="unknown"/>
    <d v="2021-01-12T00:00:00"/>
    <s v="Has no high school or college education"/>
    <x v="0"/>
    <x v="2"/>
    <n v="22"/>
    <x v="0"/>
  </r>
  <r>
    <s v="3d100f3cc6893537de89fe3db21aa471"/>
    <n v="31481"/>
    <n v="1535"/>
    <n v="20.508794788273615"/>
    <n v="0.10305927029283224"/>
    <s v="High Engagement"/>
    <n v="1890"/>
    <n v="6.0036212318541345E-2"/>
    <n v="0.14950166112956811"/>
    <n v="0.70041507126688507"/>
    <x v="0"/>
    <n v="848"/>
    <n v="11"/>
    <n v="1861"/>
    <n v="12068"/>
    <n v="13549"/>
    <n v="0.19529320842208442"/>
    <n v="165768"/>
    <n v="163362"/>
    <n v="2406"/>
    <s v="France"/>
    <d v="2016-12-28T00:00:00"/>
    <s v="Has high school and/or college education"/>
    <x v="0"/>
    <x v="2"/>
    <n v="25"/>
    <x v="0"/>
  </r>
  <r>
    <s v="66e8c1ad4e2133838f2ad2da3a8b8f0b"/>
    <n v="982"/>
    <n v="48"/>
    <n v="20.458333333333332"/>
    <n v="0.10280569514237856"/>
    <s v="High Engagement"/>
    <n v="10"/>
    <n v="1.0183299389002037E-2"/>
    <n v="7.9101408005062491E-4"/>
    <n v="0.21139574262347893"/>
    <x v="1"/>
    <n v="4"/>
    <n v="0"/>
    <n v="14"/>
    <n v="31"/>
    <n v="10"/>
    <n v="4.2023241786205727E-3"/>
    <n v="3567"/>
    <n v="1777"/>
    <n v="1790"/>
    <s v="Spain"/>
    <d v="2021-02-05T00:00:00"/>
    <s v="Has no high school or college education"/>
    <x v="0"/>
    <x v="2"/>
    <n v="20"/>
    <x v="1"/>
  </r>
  <r>
    <s v="916cbb0c80e0ca6b2b3d4b6576ac52c6"/>
    <n v="5537"/>
    <n v="271"/>
    <n v="20.431734317343174"/>
    <n v="0.10267203174544309"/>
    <s v="High Engagement"/>
    <n v="362"/>
    <n v="6.5378363734874476E-2"/>
    <n v="2.8634709697832623E-2"/>
    <n v="0.31716711995277075"/>
    <x v="1"/>
    <n v="122"/>
    <n v="2"/>
    <n v="248"/>
    <n v="3595"/>
    <n v="4323"/>
    <n v="5.4553637066219296E-2"/>
    <n v="46306"/>
    <n v="11942"/>
    <n v="34364"/>
    <s v="Finland"/>
    <d v="2020-07-14T00:00:00"/>
    <s v="Has no high school or college education"/>
    <x v="0"/>
    <x v="2"/>
    <n v="34"/>
    <x v="3"/>
  </r>
  <r>
    <s v="2af82b077c354ebcdbcaea3d8eb85013"/>
    <n v="17008"/>
    <n v="836"/>
    <n v="20.344497607655502"/>
    <n v="0.10223365631987689"/>
    <s v="High Engagement"/>
    <n v="775"/>
    <n v="4.556679209783631E-2"/>
    <n v="6.1303591203923431E-2"/>
    <n v="0.45491727840700952"/>
    <x v="1"/>
    <n v="403"/>
    <n v="12"/>
    <n v="1307"/>
    <n v="3024"/>
    <n v="2077"/>
    <n v="0.12784278335940888"/>
    <n v="108515"/>
    <n v="35284"/>
    <n v="73231"/>
    <s v="unknown"/>
    <d v="2018-10-09T00:00:00"/>
    <s v="Has no high school or college education"/>
    <x v="0"/>
    <x v="2"/>
    <n v="18"/>
    <x v="1"/>
  </r>
  <r>
    <s v="c778fa64929372a27628113547b16a44"/>
    <n v="2156"/>
    <n v="106"/>
    <n v="20.339622641509433"/>
    <n v="0.10220915900255996"/>
    <s v="High Engagement"/>
    <n v="44"/>
    <n v="2.0408163265306121E-2"/>
    <n v="3.4804619522227497E-3"/>
    <n v="0.22811667381471329"/>
    <x v="1"/>
    <n v="10"/>
    <n v="4"/>
    <n v="78"/>
    <n v="2103"/>
    <n v="2464"/>
    <n v="1.6737431905147877E-2"/>
    <n v="14207"/>
    <n v="6586"/>
    <n v="7621"/>
    <s v="unknown"/>
    <d v="2019-01-23T00:00:00"/>
    <s v="Has no high school or college education"/>
    <x v="0"/>
    <x v="2"/>
    <n v="38"/>
    <x v="3"/>
  </r>
  <r>
    <s v="454113adff582118a15241c378c26b08"/>
    <n v="6339"/>
    <n v="312"/>
    <n v="20.317307692307693"/>
    <n v="0.10209702357943565"/>
    <s v="High Engagement"/>
    <n v="222"/>
    <n v="3.5021296734500711E-2"/>
    <n v="1.7560512577123873E-2"/>
    <n v="0.28592705889207137"/>
    <x v="1"/>
    <n v="67"/>
    <n v="4"/>
    <n v="258"/>
    <n v="2893"/>
    <n v="2261"/>
    <n v="4.6611986578952332E-2"/>
    <n v="39565"/>
    <n v="8620"/>
    <n v="30945"/>
    <s v="USA"/>
    <d v="2018-09-27T00:00:00"/>
    <s v="Has no high school or college education"/>
    <x v="0"/>
    <x v="2"/>
    <n v="28"/>
    <x v="0"/>
  </r>
  <r>
    <s v="012f31c934343673c067978eb027edb7"/>
    <n v="121"/>
    <n v="6"/>
    <n v="20.166666666666668"/>
    <n v="0.10134003350083752"/>
    <s v="High Engagement"/>
    <n v="532"/>
    <n v="4.3966942148760326"/>
    <n v="4.2081949058693245E-2"/>
    <n v="0.29304083228461919"/>
    <x v="1"/>
    <n v="145"/>
    <n v="30"/>
    <n v="2"/>
    <n v="3598"/>
    <n v="3703"/>
    <n v="6.1968671655576709E-3"/>
    <n v="5260"/>
    <n v="127"/>
    <n v="5133"/>
    <s v="Finland"/>
    <d v="2020-08-16T00:00:00"/>
    <s v="Has no high school or college education"/>
    <x v="0"/>
    <x v="2"/>
    <n v="26"/>
    <x v="0"/>
  </r>
  <r>
    <s v="e37211835e97b5a61ffc4c5a21602562"/>
    <n v="22881"/>
    <n v="1136"/>
    <n v="20.141725352112676"/>
    <n v="0.10121470026187275"/>
    <s v="High Engagement"/>
    <n v="172"/>
    <n v="7.5171539705432451E-3"/>
    <n v="1.3605442176870748E-2"/>
    <n v="0.68950909036654473"/>
    <x v="0"/>
    <n v="39"/>
    <n v="4"/>
    <n v="336"/>
    <n v="5360"/>
    <n v="5890"/>
    <n v="0.45986880548905767"/>
    <n v="390344"/>
    <n v="76091"/>
    <n v="314253"/>
    <s v="Spain"/>
    <d v="2018-02-27T00:00:00"/>
    <s v="Has no high school or college education"/>
    <x v="0"/>
    <x v="2"/>
    <n v="20"/>
    <x v="1"/>
  </r>
  <r>
    <s v="7f54746815f8ad46be4f83d4ef673c31"/>
    <n v="6646"/>
    <n v="330"/>
    <n v="20.139393939393941"/>
    <n v="0.10120298462007005"/>
    <s v="High Engagement"/>
    <n v="306"/>
    <n v="4.6042732470659042E-2"/>
    <n v="2.4205030849549121E-2"/>
    <n v="0.28554322741055838"/>
    <x v="1"/>
    <n v="94"/>
    <n v="0"/>
    <n v="659"/>
    <n v="2841"/>
    <n v="2463"/>
    <n v="3.4727196471320047E-2"/>
    <n v="29477"/>
    <n v="18805"/>
    <n v="10672"/>
    <s v="unknown"/>
    <d v="2018-01-29T00:00:00"/>
    <s v="Has high school and/or college education"/>
    <x v="0"/>
    <x v="2"/>
    <n v="18"/>
    <x v="1"/>
  </r>
  <r>
    <s v="de14c049d9bc38720b566ac98a1f3998"/>
    <n v="43260"/>
    <n v="2157"/>
    <n v="20.055632823365787"/>
    <n v="0.10078207448927531"/>
    <s v="High Engagement"/>
    <n v="8084"/>
    <n v="0.18687008784096162"/>
    <n v="0.63945578231292521"/>
    <n v="1.6312563303694008"/>
    <x v="0"/>
    <n v="1026"/>
    <n v="4408"/>
    <n v="14874"/>
    <n v="19609"/>
    <n v="32576"/>
    <n v="0.15078061676499971"/>
    <n v="127985"/>
    <n v="19449"/>
    <n v="108536"/>
    <s v="Germany"/>
    <d v="2014-05-18T00:00:00"/>
    <s v="Has high school and/or college education"/>
    <x v="1"/>
    <x v="4"/>
    <n v="28"/>
    <x v="0"/>
  </r>
  <r>
    <s v="3a8f5684a4fdd9e02f9a76db387a4037"/>
    <n v="7426"/>
    <n v="371"/>
    <n v="20.016172506738545"/>
    <n v="0.10058378144089722"/>
    <s v="High Engagement"/>
    <n v="199"/>
    <n v="2.6797737678427146E-2"/>
    <n v="1.5741180193007437E-2"/>
    <n v="0.29463508848618408"/>
    <x v="1"/>
    <n v="63"/>
    <n v="11"/>
    <n v="403"/>
    <n v="1905"/>
    <n v="1919"/>
    <n v="6.1985165218374771E-2"/>
    <n v="52614"/>
    <n v="6702"/>
    <n v="45912"/>
    <s v="USA"/>
    <d v="2019-12-06T00:00:00"/>
    <s v="Has no high school or college education"/>
    <x v="0"/>
    <x v="61"/>
    <n v="18"/>
    <x v="1"/>
  </r>
  <r>
    <s v="d1a37c112405d456f8119556194dd30c"/>
    <n v="1339"/>
    <n v="67"/>
    <n v="19.985074626865671"/>
    <n v="0.10042751068776719"/>
    <s v="High Engagement"/>
    <n v="22"/>
    <n v="1.6430171769977596E-2"/>
    <n v="1.7402309761113748E-3"/>
    <n v="0.23817673985449556"/>
    <x v="1"/>
    <n v="8"/>
    <n v="0"/>
    <n v="43"/>
    <n v="126"/>
    <n v="182"/>
    <n v="3.3841256526738424E-2"/>
    <n v="28725"/>
    <n v="218"/>
    <n v="28507"/>
    <s v="Germany"/>
    <d v="2020-11-28T00:00:00"/>
    <s v="Has no high school or college education"/>
    <x v="1"/>
    <x v="2"/>
    <n v="30"/>
    <x v="0"/>
  </r>
  <r>
    <s v="5e71e64572c0eb04d45d5c25e057e3fa"/>
    <n v="2956"/>
    <n v="148"/>
    <n v="19.972972972972972"/>
    <n v="0.1003666983566481"/>
    <s v="High Engagement"/>
    <n v="60"/>
    <n v="2.0297699594046009E-2"/>
    <n v="4.7460844803037493E-3"/>
    <n v="0.23410824460549784"/>
    <x v="1"/>
    <n v="21"/>
    <n v="0"/>
    <n v="82"/>
    <n v="488"/>
    <n v="484"/>
    <n v="2.3882678931594126E-2"/>
    <n v="20272"/>
    <n v="14121"/>
    <n v="6151"/>
    <s v="Netherlands"/>
    <d v="2020-03-11T00:00:00"/>
    <s v="Has no high school or college education"/>
    <x v="0"/>
    <x v="2"/>
    <n v="18"/>
    <x v="1"/>
  </r>
  <r>
    <s v="98c3b63ea8f1fff1e49225727ac2821b"/>
    <n v="179"/>
    <n v="9"/>
    <n v="19.888888888888889"/>
    <n v="9.9944165270798441E-2"/>
    <s v="High Engagement"/>
    <n v="8"/>
    <n v="4.4692737430167599E-2"/>
    <n v="6.3281126404049991E-4"/>
    <n v="0.20759115500743588"/>
    <x v="1"/>
    <n v="4"/>
    <n v="0"/>
    <n v="14"/>
    <n v="21"/>
    <n v="7"/>
    <n v="6.4372019377580067E-3"/>
    <n v="5464"/>
    <n v="1288"/>
    <n v="4176"/>
    <s v="France"/>
    <d v="2021-01-09T00:00:00"/>
    <s v="Has no high school or college education"/>
    <x v="0"/>
    <x v="2"/>
    <n v="18"/>
    <x v="1"/>
  </r>
  <r>
    <s v="4e667f71ca262d99303748e8849a6774"/>
    <n v="613"/>
    <n v="31"/>
    <n v="19.774193548387096"/>
    <n v="9.9367806775814554E-2"/>
    <s v="High Engagement"/>
    <n v="128"/>
    <n v="0.20880913539967375"/>
    <n v="1.0124980224647999E-2"/>
    <n v="0.23683514328331376"/>
    <x v="1"/>
    <n v="38"/>
    <n v="0"/>
    <n v="137"/>
    <n v="1886"/>
    <n v="1642"/>
    <n v="1.7849569282388646E-2"/>
    <n v="15151"/>
    <n v="1192"/>
    <n v="13959"/>
    <s v="unknown"/>
    <d v="2020-09-12T00:00:00"/>
    <s v="Has no high school or college education"/>
    <x v="0"/>
    <x v="2"/>
    <n v="29"/>
    <x v="0"/>
  </r>
  <r>
    <s v="0de35388231ccfc92f5c5972c95ebeae"/>
    <n v="1303"/>
    <n v="66"/>
    <n v="19.742424242424242"/>
    <n v="9.9208162022232371E-2"/>
    <s v="High Engagement"/>
    <n v="136"/>
    <n v="0.10437452033768227"/>
    <n v="1.0757791488688499E-2"/>
    <n v="0.22486937285660452"/>
    <x v="1"/>
    <n v="28"/>
    <n v="6"/>
    <n v="182"/>
    <n v="1501"/>
    <n v="1301"/>
    <n v="4.9374658347627757E-3"/>
    <n v="4191"/>
    <n v="1920"/>
    <n v="2271"/>
    <s v="unknown"/>
    <d v="2021-01-31T00:00:00"/>
    <s v="Has no high school or college education"/>
    <x v="0"/>
    <x v="2"/>
    <n v="18"/>
    <x v="1"/>
  </r>
  <r>
    <s v="4afedf50a0e49727cc88dd23362c0074"/>
    <n v="7599"/>
    <n v="385"/>
    <n v="19.737662337662339"/>
    <n v="9.9184232852574564E-2"/>
    <s v="High Engagement"/>
    <n v="1413"/>
    <n v="0.18594551914725621"/>
    <n v="0.1117702895111533"/>
    <n v="0.56743881796452944"/>
    <x v="0"/>
    <n v="410"/>
    <n v="253"/>
    <n v="2820"/>
    <n v="4852"/>
    <n v="5591"/>
    <n v="0.14552977323707375"/>
    <n v="123528"/>
    <n v="33559"/>
    <n v="89969"/>
    <s v="unknown"/>
    <d v="2019-05-21T00:00:00"/>
    <s v="Has no high school or college education"/>
    <x v="0"/>
    <x v="41"/>
    <n v="21"/>
    <x v="0"/>
  </r>
  <r>
    <s v="fb16effa478e8bdb7abd446aa535c49f"/>
    <n v="18449"/>
    <n v="936"/>
    <n v="19.710470085470085"/>
    <n v="9.9047588369196402E-2"/>
    <s v="High Engagement"/>
    <n v="1736"/>
    <n v="9.4097241042874952E-2"/>
    <n v="0.13732004429678848"/>
    <n v="0.55368920587974457"/>
    <x v="0"/>
    <n v="654"/>
    <n v="266"/>
    <n v="1718"/>
    <n v="5458"/>
    <n v="4093"/>
    <n v="8.0953940547774786E-2"/>
    <n v="68715"/>
    <n v="41559"/>
    <n v="27156"/>
    <s v="unknown"/>
    <d v="2018-07-02T00:00:00"/>
    <s v="Has no high school or college education"/>
    <x v="0"/>
    <x v="62"/>
    <n v="51"/>
    <x v="4"/>
  </r>
  <r>
    <s v="8fb59e2fa03710c511fd4595be00ff29"/>
    <n v="10085"/>
    <n v="512"/>
    <n v="19.697265625"/>
    <n v="9.8981234296482409E-2"/>
    <s v="High Engagement"/>
    <n v="123"/>
    <n v="1.2196331184928111E-2"/>
    <n v="9.7294731846226858E-3"/>
    <n v="0.30612968624833109"/>
    <x v="1"/>
    <n v="37"/>
    <n v="0"/>
    <n v="122"/>
    <n v="925"/>
    <n v="1355"/>
    <n v="8.8708271286120896E-2"/>
    <n v="75297"/>
    <n v="2711"/>
    <n v="72586"/>
    <s v="unknown"/>
    <d v="2019-10-13T00:00:00"/>
    <s v="Has no high school or college education"/>
    <x v="0"/>
    <x v="2"/>
    <n v="31"/>
    <x v="3"/>
  </r>
  <r>
    <s v="600470393454518b734fbaea290d45de"/>
    <n v="2007"/>
    <n v="102"/>
    <n v="19.676470588235293"/>
    <n v="9.8876736624297953E-2"/>
    <s v="High Engagement"/>
    <n v="68"/>
    <n v="3.3881415047334329E-2"/>
    <n v="5.3788957443442493E-3"/>
    <n v="0.23122172259858767"/>
    <x v="1"/>
    <n v="11"/>
    <n v="10"/>
    <n v="217"/>
    <n v="736"/>
    <n v="617"/>
    <n v="2.2710457861303275E-2"/>
    <n v="19277"/>
    <n v="3517"/>
    <n v="15760"/>
    <s v="unknown"/>
    <d v="2020-12-12T00:00:00"/>
    <s v="Has no high school or college education"/>
    <x v="0"/>
    <x v="2"/>
    <n v="24"/>
    <x v="0"/>
  </r>
  <r>
    <s v="ae2b1e804da9c20f6c50b18140a41f18"/>
    <n v="5027"/>
    <n v="256"/>
    <n v="19.63671875"/>
    <n v="9.8676978643216076E-2"/>
    <s v="High Engagement"/>
    <n v="73"/>
    <n v="1.4521583449373383E-2"/>
    <n v="5.774402784369562E-3"/>
    <n v="0.27085258472469304"/>
    <x v="1"/>
    <n v="14"/>
    <n v="0"/>
    <n v="97"/>
    <n v="1301"/>
    <n v="1008"/>
    <n v="6.1949821869521783E-2"/>
    <n v="52584"/>
    <n v="2201"/>
    <n v="50383"/>
    <s v="Poland"/>
    <d v="2020-02-06T00:00:00"/>
    <s v="Has no high school or college education"/>
    <x v="0"/>
    <x v="2"/>
    <n v="20"/>
    <x v="1"/>
  </r>
  <r>
    <s v="60c3a94181598f70b635fe33ea2770f0"/>
    <n v="1119"/>
    <n v="57"/>
    <n v="19.631578947368421"/>
    <n v="9.8651150489288547E-2"/>
    <s v="High Engagement"/>
    <n v="23"/>
    <n v="2.0554066130473638E-2"/>
    <n v="1.8193323841164373E-3"/>
    <n v="0.21831222170805481"/>
    <x v="1"/>
    <n v="8"/>
    <n v="3"/>
    <n v="11"/>
    <n v="140"/>
    <n v="116"/>
    <n v="1.7371255961244839E-2"/>
    <n v="14745"/>
    <n v="7912"/>
    <n v="6833"/>
    <s v="Belgium"/>
    <d v="2021-02-15T00:00:00"/>
    <s v="Has no high school or college education"/>
    <x v="0"/>
    <x v="2"/>
    <n v="22"/>
    <x v="0"/>
  </r>
  <r>
    <s v="9bf041dbcb43abf3013bd82e4f797bfa"/>
    <n v="682"/>
    <n v="35"/>
    <n v="19.485714285714284"/>
    <n v="9.7918162239770276E-2"/>
    <s v="High Engagement"/>
    <n v="12"/>
    <n v="1.7595307917888565E-2"/>
    <n v="9.4921689606074992E-4"/>
    <n v="0.2357795170886495"/>
    <x v="1"/>
    <n v="4"/>
    <n v="5"/>
    <n v="33"/>
    <n v="15"/>
    <n v="19"/>
    <n v="3.8044758816987427E-2"/>
    <n v="32293"/>
    <n v="4296"/>
    <n v="27997"/>
    <s v="Canada"/>
    <d v="2020-08-21T00:00:00"/>
    <s v="Has no high school or college education"/>
    <x v="0"/>
    <x v="2"/>
    <n v="27"/>
    <x v="0"/>
  </r>
  <r>
    <s v="6a9cf10d38dab1d9b2c4c08a292210e1"/>
    <n v="6111"/>
    <n v="315"/>
    <n v="19.399999999999999"/>
    <n v="9.7487437185929643E-2"/>
    <s v="High Engagement"/>
    <n v="630"/>
    <n v="0.10309278350515463"/>
    <n v="4.9833887043189369E-2"/>
    <n v="0.37966343034736355"/>
    <x v="1"/>
    <n v="287"/>
    <n v="104"/>
    <n v="1160"/>
    <n v="4085"/>
    <n v="3509"/>
    <n v="8.5020781889125555E-2"/>
    <n v="72167"/>
    <n v="22168"/>
    <n v="49999"/>
    <s v="unknown"/>
    <d v="2020-04-17T00:00:00"/>
    <s v="Has no high school or college education"/>
    <x v="0"/>
    <x v="2"/>
    <n v="19"/>
    <x v="1"/>
  </r>
  <r>
    <s v="0d4390c088f1d009ebfde10e41732a39"/>
    <n v="7837"/>
    <n v="408"/>
    <n v="19.208333333333332"/>
    <n v="9.6524288107202677E-2"/>
    <s v="High Engagement"/>
    <n v="90"/>
    <n v="1.1483986219216537E-2"/>
    <n v="7.1191267204556239E-3"/>
    <n v="0.29141460293008992"/>
    <x v="1"/>
    <n v="43"/>
    <n v="6"/>
    <n v="126"/>
    <n v="402"/>
    <n v="362"/>
    <n v="8.4127773274773332E-2"/>
    <n v="71409"/>
    <n v="36565"/>
    <n v="34844"/>
    <s v="USA"/>
    <d v="2019-03-07T00:00:00"/>
    <s v="Has no high school or college education"/>
    <x v="0"/>
    <x v="2"/>
    <n v="18"/>
    <x v="1"/>
  </r>
  <r>
    <s v="9b92791f6cf5fd6ac53f4c524f8d0462"/>
    <n v="4263"/>
    <n v="223"/>
    <n v="19.116591928251122"/>
    <n v="9.6063276021362415E-2"/>
    <s v="High Engagement"/>
    <n v="698"/>
    <n v="0.16373445930096175"/>
    <n v="5.5212782787533617E-2"/>
    <n v="0.38678592093912434"/>
    <x v="1"/>
    <n v="137"/>
    <n v="157"/>
    <n v="481"/>
    <n v="6457"/>
    <n v="7263"/>
    <n v="8.4233803321332304E-2"/>
    <n v="71499"/>
    <n v="777"/>
    <n v="70722"/>
    <s v="Finland"/>
    <d v="2020-04-20T00:00:00"/>
    <s v="Has no high school or college education"/>
    <x v="1"/>
    <x v="63"/>
    <n v="18"/>
    <x v="1"/>
  </r>
  <r>
    <s v="d15af37b3c358b49e03d8be2f5aefeb1"/>
    <n v="10540"/>
    <n v="552"/>
    <n v="19.094202898550726"/>
    <n v="9.5950768334425757E-2"/>
    <s v="High Engagement"/>
    <n v="889"/>
    <n v="8.4345351043643269E-2"/>
    <n v="7.0321151716500552E-2"/>
    <n v="0.42178226162076837"/>
    <x v="1"/>
    <n v="183"/>
    <n v="24"/>
    <n v="1204"/>
    <n v="9267"/>
    <n v="6562"/>
    <n v="8.9238421518915756E-2"/>
    <n v="75747"/>
    <n v="26670"/>
    <n v="49077"/>
    <s v="unknown"/>
    <d v="2019-07-29T00:00:00"/>
    <s v="Has no high school or college education"/>
    <x v="0"/>
    <x v="64"/>
    <n v="30"/>
    <x v="0"/>
  </r>
  <r>
    <s v="e9b04ea73ae293a99493dc717a13d1b4"/>
    <n v="3214"/>
    <n v="169"/>
    <n v="19.017751479289942"/>
    <n v="9.5566590348190664E-2"/>
    <s v="High Engagement"/>
    <n v="84"/>
    <n v="2.613565650280025E-2"/>
    <n v="6.6445182724252493E-3"/>
    <n v="0.23428027835223822"/>
    <x v="1"/>
    <n v="28"/>
    <n v="3"/>
    <n v="148"/>
    <n v="380"/>
    <n v="301"/>
    <n v="2.985806111100639E-2"/>
    <n v="25344"/>
    <n v="9282"/>
    <n v="16062"/>
    <s v="Switzerland"/>
    <d v="2020-07-12T00:00:00"/>
    <s v="Has no high school or college education"/>
    <x v="0"/>
    <x v="2"/>
    <n v="26"/>
    <x v="0"/>
  </r>
  <r>
    <s v="59ffe58433bd2edd01f9b9531aac38d9"/>
    <n v="1004"/>
    <n v="53"/>
    <n v="18.943396226415093"/>
    <n v="9.5192945861382369E-2"/>
    <s v="High Engagement"/>
    <n v="19"/>
    <n v="1.8924302788844622E-2"/>
    <n v="1.5029267520961873E-3"/>
    <n v="0.20224525411463126"/>
    <x v="1"/>
    <n v="7"/>
    <n v="3"/>
    <n v="37"/>
    <n v="119"/>
    <n v="144"/>
    <n v="8.8535088876741247E-3"/>
    <n v="7515"/>
    <n v="2451"/>
    <n v="5064"/>
    <s v="unknown"/>
    <d v="2021-01-29T00:00:00"/>
    <s v="Has no high school or college education"/>
    <x v="0"/>
    <x v="2"/>
    <n v="24"/>
    <x v="0"/>
  </r>
  <r>
    <s v="1707d68439108206ed62a80d7288d897"/>
    <n v="2296"/>
    <n v="122"/>
    <n v="18.819672131147541"/>
    <n v="9.4571216739434888E-2"/>
    <s v="High Engagement"/>
    <n v="84"/>
    <n v="3.6585365853658534E-2"/>
    <n v="6.6445182724252493E-3"/>
    <n v="0.22802123270491384"/>
    <x v="1"/>
    <n v="22"/>
    <n v="14"/>
    <n v="210"/>
    <n v="821"/>
    <n v="888"/>
    <n v="2.5589762681193569E-2"/>
    <n v="21721"/>
    <n v="1991"/>
    <n v="19730"/>
    <s v="unknown"/>
    <d v="2019-01-06T00:00:00"/>
    <s v="Has no high school or college education"/>
    <x v="1"/>
    <x v="2"/>
    <n v="23"/>
    <x v="0"/>
  </r>
  <r>
    <s v="f8f2f0d09208b776a16a7ff11bbacf8d"/>
    <n v="2103"/>
    <n v="112"/>
    <n v="18.776785714285715"/>
    <n v="9.4355707106963393E-2"/>
    <s v="High Engagement"/>
    <n v="1642"/>
    <n v="0.78078934854969095"/>
    <n v="0.12988451194431261"/>
    <n v="0.45430973444003858"/>
    <x v="1"/>
    <n v="783"/>
    <n v="38"/>
    <n v="890"/>
    <n v="7448"/>
    <n v="6152"/>
    <n v="5.8292963374865694E-3"/>
    <n v="4948"/>
    <n v="3145"/>
    <n v="1803"/>
    <s v="United Kingdom"/>
    <d v="2020-12-19T00:00:00"/>
    <s v="Has no high school or college education"/>
    <x v="0"/>
    <x v="65"/>
    <n v="19"/>
    <x v="1"/>
  </r>
  <r>
    <s v="18e412f7b94d3b541c05842f6bd7ac0c"/>
    <n v="131"/>
    <n v="7"/>
    <n v="18.714285714285715"/>
    <n v="9.4041636755204605E-2"/>
    <s v="High Engagement"/>
    <n v="4"/>
    <n v="3.0534351145038167E-2"/>
    <n v="3.1640563202024995E-4"/>
    <n v="0.19036308483099906"/>
    <x v="1"/>
    <n v="1"/>
    <n v="0"/>
    <n v="5"/>
    <n v="89"/>
    <n v="71"/>
    <n v="1.6470000565493581E-3"/>
    <n v="1398"/>
    <n v="1210"/>
    <n v="188"/>
    <s v="Sweden"/>
    <d v="2021-03-20T00:00:00"/>
    <s v="Has no high school or college education"/>
    <x v="0"/>
    <x v="66"/>
    <n v="23"/>
    <x v="0"/>
  </r>
  <r>
    <s v="28a31be76458e4d5793b9f1702771da8"/>
    <n v="8353"/>
    <n v="447"/>
    <n v="18.686800894854585"/>
    <n v="9.3903522084696406E-2"/>
    <s v="High Engagement"/>
    <n v="910"/>
    <n v="0.1089428947683467"/>
    <n v="7.1982281284606861E-2"/>
    <n v="0.34584532825186737"/>
    <x v="1"/>
    <n v="241"/>
    <n v="6"/>
    <n v="1286"/>
    <n v="9303"/>
    <n v="6277"/>
    <n v="1.4073721513260825E-2"/>
    <n v="11946"/>
    <n v="9238"/>
    <n v="2708"/>
    <s v="unknown"/>
    <d v="2019-05-12T00:00:00"/>
    <s v="Has no high school or college education"/>
    <x v="0"/>
    <x v="2"/>
    <n v="18"/>
    <x v="1"/>
  </r>
  <r>
    <s v="f1d02c9b075e10f6e52ea435ae508bfe"/>
    <n v="5022"/>
    <n v="270"/>
    <n v="18.600000000000001"/>
    <n v="9.3467336683417099E-2"/>
    <s v="High Engagement"/>
    <n v="432"/>
    <n v="8.6021505376344093E-2"/>
    <n v="3.4171808258186998E-2"/>
    <n v="0.28958018805666391"/>
    <x v="1"/>
    <n v="101"/>
    <n v="100"/>
    <n v="809"/>
    <n v="1644"/>
    <n v="1412"/>
    <n v="3.4301898173455733E-2"/>
    <n v="29116"/>
    <n v="14827"/>
    <n v="14289"/>
    <s v="China"/>
    <d v="2019-12-10T00:00:00"/>
    <s v="Has no high school or college education"/>
    <x v="0"/>
    <x v="2"/>
    <n v="19"/>
    <x v="1"/>
  </r>
  <r>
    <s v="82f87ac7eeb030c8bbe7c93d1c9b6565"/>
    <n v="444"/>
    <n v="24"/>
    <n v="18.5"/>
    <n v="9.2964824120603015E-2"/>
    <s v="High Engagement"/>
    <n v="25"/>
    <n v="5.6306306306306307E-2"/>
    <n v="1.9775352001265623E-3"/>
    <n v="0.19193934532144633"/>
    <x v="1"/>
    <n v="4"/>
    <n v="0"/>
    <n v="24"/>
    <n v="491"/>
    <n v="367"/>
    <n v="2.0546266799871819E-3"/>
    <n v="1744"/>
    <n v="191"/>
    <n v="1553"/>
    <s v="Poland"/>
    <d v="2020-11-27T00:00:00"/>
    <s v="Has no high school or college education"/>
    <x v="0"/>
    <x v="2"/>
    <n v="23"/>
    <x v="0"/>
  </r>
  <r>
    <s v="36d04ce118eb834ec946e52bac926337"/>
    <n v="2495"/>
    <n v="135"/>
    <n v="18.481481481481481"/>
    <n v="9.2871766238600412E-2"/>
    <s v="High Engagement"/>
    <n v="49"/>
    <n v="1.9639278557114229E-2"/>
    <n v="3.875968992248062E-3"/>
    <n v="0.24058577036179307"/>
    <x v="1"/>
    <n v="26"/>
    <n v="1"/>
    <n v="61"/>
    <n v="236"/>
    <n v="209"/>
    <n v="4.7090299900096132E-2"/>
    <n v="39971"/>
    <n v="1793"/>
    <n v="38178"/>
    <s v="Russia"/>
    <d v="2020-10-25T00:00:00"/>
    <s v="Has no high school or college education"/>
    <x v="0"/>
    <x v="1"/>
    <n v="23"/>
    <x v="0"/>
  </r>
  <r>
    <s v="9e309412782ede205a091ae4d0e741de"/>
    <n v="9015"/>
    <n v="490"/>
    <n v="18.397959183673468"/>
    <n v="9.2452056199364155E-2"/>
    <s v="High Engagement"/>
    <n v="339"/>
    <n v="3.7603993344425955E-2"/>
    <n v="2.6815377313716183E-2"/>
    <n v="0.29396384103230572"/>
    <x v="1"/>
    <n v="106"/>
    <n v="5"/>
    <n v="717"/>
    <n v="1880"/>
    <n v="1691"/>
    <n v="5.5428974006145028E-2"/>
    <n v="47049"/>
    <n v="19997"/>
    <n v="27052"/>
    <s v="unknown"/>
    <d v="2018-09-03T00:00:00"/>
    <s v="Has no high school or college education"/>
    <x v="0"/>
    <x v="2"/>
    <n v="21"/>
    <x v="0"/>
  </r>
  <r>
    <s v="6f96289a756b0cdd48f4d45894633a6b"/>
    <n v="7347"/>
    <n v="400"/>
    <n v="18.3675"/>
    <n v="9.2298994974874371E-2"/>
    <s v="High Engagement"/>
    <n v="295"/>
    <n v="4.0152443174084659E-2"/>
    <n v="2.3334915361493434E-2"/>
    <n v="0.27377997878474103"/>
    <x v="1"/>
    <n v="131"/>
    <n v="7"/>
    <n v="489"/>
    <n v="1871"/>
    <n v="1667"/>
    <n v="4.2512158112005427E-2"/>
    <n v="36085"/>
    <n v="16309"/>
    <n v="19776"/>
    <s v="USA"/>
    <d v="2019-06-16T00:00:00"/>
    <s v="Has no high school or college education"/>
    <x v="0"/>
    <x v="3"/>
    <n v="29"/>
    <x v="0"/>
  </r>
  <r>
    <s v="d2a15d6616403635512f4d6404feac57"/>
    <n v="421"/>
    <n v="23"/>
    <n v="18.304347826086957"/>
    <n v="9.1981647367271144E-2"/>
    <s v="High Engagement"/>
    <n v="137"/>
    <n v="0.32541567695961993"/>
    <n v="1.083689289669356E-2"/>
    <n v="0.21500188986234348"/>
    <x v="1"/>
    <n v="62"/>
    <n v="13"/>
    <n v="38"/>
    <n v="628"/>
    <n v="682"/>
    <n v="9.3648093344140537E-3"/>
    <n v="7949"/>
    <n v="2853"/>
    <n v="5096"/>
    <s v="USA"/>
    <d v="2020-04-18T00:00:00"/>
    <s v="Has no high school or college education"/>
    <x v="0"/>
    <x v="1"/>
    <n v="18"/>
    <x v="1"/>
  </r>
  <r>
    <s v="dc28720327cb4a22f62eca77135742d0"/>
    <n v="3014"/>
    <n v="165"/>
    <n v="18.266666666666666"/>
    <n v="9.1792294807370181E-2"/>
    <s v="High Engagement"/>
    <n v="6"/>
    <n v="1.9907100199071004E-3"/>
    <n v="4.7460844803037496E-4"/>
    <n v="0.20940492109865055"/>
    <x v="1"/>
    <n v="2"/>
    <n v="0"/>
    <n v="15"/>
    <n v="73"/>
    <n v="91"/>
    <n v="2.4871114587849429E-2"/>
    <n v="21111"/>
    <n v="1189"/>
    <n v="19922"/>
    <s v="Finland"/>
    <d v="2020-09-03T00:00:00"/>
    <s v="Has no high school or college education"/>
    <x v="0"/>
    <x v="2"/>
    <n v="27"/>
    <x v="0"/>
  </r>
  <r>
    <s v="e5cf4adde29062b8b85ca31726d5c73f"/>
    <n v="3881"/>
    <n v="213"/>
    <n v="18.220657276995304"/>
    <n v="9.1561091844197515E-2"/>
    <s v="High Engagement"/>
    <n v="351"/>
    <n v="9.0440608090698274E-2"/>
    <n v="2.7764594209776935E-2"/>
    <n v="0.27767160735327889"/>
    <x v="1"/>
    <n v="115"/>
    <n v="41"/>
    <n v="616"/>
    <n v="2391"/>
    <n v="3160"/>
    <n v="3.9020235245329965E-2"/>
    <n v="33121"/>
    <n v="1669"/>
    <n v="31452"/>
    <s v="South Korea"/>
    <d v="2020-03-03T00:00:00"/>
    <s v="Has no high school or college education"/>
    <x v="1"/>
    <x v="2"/>
    <n v="26"/>
    <x v="0"/>
  </r>
  <r>
    <s v="dc44621fcfe6b847916858db480f4c83"/>
    <n v="583"/>
    <n v="32"/>
    <n v="18.21875"/>
    <n v="9.155150753768844E-2"/>
    <s v="High Engagement"/>
    <n v="85"/>
    <n v="0.14579759862778729"/>
    <n v="6.723619680430312E-3"/>
    <n v="0.20061827388921671"/>
    <x v="1"/>
    <n v="21"/>
    <n v="3"/>
    <n v="54"/>
    <n v="1497"/>
    <n v="984"/>
    <n v="4.0680194529792088E-3"/>
    <n v="3453"/>
    <n v="1353"/>
    <n v="2100"/>
    <s v="Italy"/>
    <d v="2021-03-07T00:00:00"/>
    <s v="Has no high school or college education"/>
    <x v="0"/>
    <x v="67"/>
    <n v="29"/>
    <x v="0"/>
  </r>
  <r>
    <s v="b18696d43a18f9d1156d4a10c6d74acb"/>
    <n v="2183"/>
    <n v="120"/>
    <n v="18.191666666666666"/>
    <n v="9.1415410385259632E-2"/>
    <s v="High Engagement"/>
    <n v="418"/>
    <n v="0.19147961520842877"/>
    <n v="3.3064388546116118E-2"/>
    <n v="0.25218055505488735"/>
    <x v="1"/>
    <n v="213"/>
    <n v="8"/>
    <n v="431"/>
    <n v="2040"/>
    <n v="1764"/>
    <n v="3.2209571921358693E-3"/>
    <n v="2734"/>
    <n v="952"/>
    <n v="1782"/>
    <s v="USA"/>
    <d v="2020-11-04T00:00:00"/>
    <s v="Has no high school or college education"/>
    <x v="0"/>
    <x v="3"/>
    <n v="24"/>
    <x v="0"/>
  </r>
  <r>
    <s v="30af2af5abee3b81f1eaea7134978c0c"/>
    <n v="13771"/>
    <n v="758"/>
    <n v="18.16754617414248"/>
    <n v="9.129420188011296E-2"/>
    <s v="High Engagement"/>
    <n v="425"/>
    <n v="3.0861956284946628E-2"/>
    <n v="3.3618098402151561E-2"/>
    <n v="0.41015616830123525"/>
    <x v="1"/>
    <n v="47"/>
    <n v="95"/>
    <n v="1736"/>
    <n v="9235"/>
    <n v="7262"/>
    <n v="0.16033156773670618"/>
    <n v="136092"/>
    <n v="38127"/>
    <n v="97965"/>
    <s v="unknown"/>
    <d v="2018-08-13T00:00:00"/>
    <s v="Has no high school or college education"/>
    <x v="0"/>
    <x v="68"/>
    <n v="28"/>
    <x v="0"/>
  </r>
  <r>
    <s v="35378b2eab618515b57dd4c3adc65236"/>
    <n v="1616"/>
    <n v="89"/>
    <n v="18.157303370786519"/>
    <n v="9.124273050646492E-2"/>
    <s v="High Engagement"/>
    <n v="20"/>
    <n v="1.2376237623762377E-2"/>
    <n v="1.5820281601012498E-3"/>
    <n v="0.19604870867731058"/>
    <x v="1"/>
    <n v="2"/>
    <n v="1"/>
    <n v="56"/>
    <n v="188"/>
    <n v="197"/>
    <n v="1.0399191344178244E-2"/>
    <n v="8827"/>
    <n v="4173"/>
    <n v="4654"/>
    <s v="Poland"/>
    <d v="2020-12-06T00:00:00"/>
    <s v="Has no high school or college education"/>
    <x v="0"/>
    <x v="27"/>
    <n v="22"/>
    <x v="0"/>
  </r>
  <r>
    <s v="6a8c38e857582fde578b03a5d54960f1"/>
    <n v="145"/>
    <n v="8"/>
    <n v="18.125"/>
    <n v="9.1080402010050257E-2"/>
    <s v="High Engagement"/>
    <n v="8"/>
    <n v="5.5172413793103448E-2"/>
    <n v="6.3281126404049991E-4"/>
    <n v="0.18360667762733177"/>
    <x v="1"/>
    <n v="2"/>
    <n v="1"/>
    <n v="2"/>
    <n v="69"/>
    <n v="65"/>
    <n v="1.8025107915025165E-4"/>
    <n v="153"/>
    <n v="59"/>
    <n v="94"/>
    <s v="Poland"/>
    <d v="2021-04-07T00:00:00"/>
    <s v="Has no high school or college education"/>
    <x v="0"/>
    <x v="69"/>
    <n v="30"/>
    <x v="0"/>
  </r>
  <r>
    <s v="185c440c8ee6e6838e2ae7e77622cebc"/>
    <n v="1358"/>
    <n v="75"/>
    <n v="18.106666666666666"/>
    <n v="9.0988274706867669E-2"/>
    <s v="High Engagement"/>
    <n v="70"/>
    <n v="5.1546391752577317E-2"/>
    <n v="5.5370985603543747E-3"/>
    <n v="0.21342972148307843"/>
    <x v="1"/>
    <n v="16"/>
    <n v="2"/>
    <n v="92"/>
    <n v="581"/>
    <n v="437"/>
    <n v="2.0378974948634332E-2"/>
    <n v="17298"/>
    <n v="15343"/>
    <n v="1955"/>
    <s v="Italy"/>
    <d v="2020-10-18T00:00:00"/>
    <s v="Has no high school or college education"/>
    <x v="0"/>
    <x v="2"/>
    <n v="24"/>
    <x v="0"/>
  </r>
  <r>
    <s v="6af598f272d2e28c05607331a5b04841"/>
    <n v="10641"/>
    <n v="589"/>
    <n v="18.066213921901529"/>
    <n v="9.0784994582419745E-2"/>
    <s v="High Engagement"/>
    <n v="1014"/>
    <n v="9.5291795883845509E-2"/>
    <n v="8.0208827717133363E-2"/>
    <n v="0.57102432628276911"/>
    <x v="0"/>
    <n v="260"/>
    <n v="61"/>
    <n v="1099"/>
    <n v="9400"/>
    <n v="9670"/>
    <n v="0.2290366816836629"/>
    <n v="194410"/>
    <n v="1978"/>
    <n v="192432"/>
    <s v="Poland"/>
    <d v="2019-02-10T00:00:00"/>
    <s v="Has no high school or college education"/>
    <x v="1"/>
    <x v="2"/>
    <n v="25"/>
    <x v="0"/>
  </r>
  <r>
    <s v="3a813df93376db6fe832d77dbd1cfbee"/>
    <n v="5359"/>
    <n v="297"/>
    <n v="18.043771043771045"/>
    <n v="9.0672216300357017E-2"/>
    <s v="High Engagement"/>
    <n v="77"/>
    <n v="1.4368352304534428E-2"/>
    <n v="6.090808416389812E-3"/>
    <n v="0.22490740888006394"/>
    <x v="1"/>
    <n v="19"/>
    <n v="4"/>
    <n v="283"/>
    <n v="1867"/>
    <n v="1985"/>
    <n v="3.1381359446570278E-2"/>
    <n v="26637"/>
    <n v="13731"/>
    <n v="12906"/>
    <s v="unknown"/>
    <d v="2020-06-19T00:00:00"/>
    <s v="Has no high school or college education"/>
    <x v="0"/>
    <x v="70"/>
    <n v="26"/>
    <x v="0"/>
  </r>
  <r>
    <s v="6112e9d5e006dbdfa3fa5f7ee36bb3a1"/>
    <n v="19969"/>
    <n v="1114"/>
    <n v="17.925493716337524"/>
    <n v="9.0077857871042832E-2"/>
    <s v="High Engagement"/>
    <n v="737"/>
    <n v="3.690720616956282E-2"/>
    <n v="5.8297737699731053E-2"/>
    <n v="0.46786719272492983"/>
    <x v="1"/>
    <n v="241"/>
    <n v="4"/>
    <n v="1689"/>
    <n v="9212"/>
    <n v="10386"/>
    <n v="0.17111600158338203"/>
    <n v="145246"/>
    <n v="37339"/>
    <n v="107907"/>
    <s v="Poland"/>
    <d v="2017-06-13T00:00:00"/>
    <s v="Has no high school or college education"/>
    <x v="0"/>
    <x v="2"/>
    <n v="23"/>
    <x v="0"/>
  </r>
  <r>
    <s v="064837ad9fbfa930bacef38212c46b12"/>
    <n v="2039"/>
    <n v="114"/>
    <n v="17.885964912280702"/>
    <n v="8.9879220664727144E-2"/>
    <s v="High Engagement"/>
    <n v="87"/>
    <n v="4.2667974497302599E-2"/>
    <n v="6.8818224964404366E-3"/>
    <n v="0.1955354790953272"/>
    <x v="1"/>
    <n v="33"/>
    <n v="0"/>
    <n v="78"/>
    <n v="3738"/>
    <n v="3631"/>
    <n v="2.0133927729920264E-3"/>
    <n v="1709"/>
    <n v="381"/>
    <n v="1328"/>
    <s v="Poland"/>
    <d v="2020-06-26T00:00:00"/>
    <s v="Has no high school or college education"/>
    <x v="0"/>
    <x v="71"/>
    <n v="26"/>
    <x v="0"/>
  </r>
  <r>
    <s v="c8ded3e1a4c7a3aa3789e7b846a03fda"/>
    <n v="7163"/>
    <n v="402"/>
    <n v="17.818407960199004"/>
    <n v="8.9539738493462334E-2"/>
    <s v="High Engagement"/>
    <n v="1550"/>
    <n v="0.21638978081809299"/>
    <n v="0.12260718240784686"/>
    <n v="0.65638065449229432"/>
    <x v="0"/>
    <n v="432"/>
    <n v="143"/>
    <n v="2404"/>
    <n v="10256"/>
    <n v="13343"/>
    <n v="0.23208681268967596"/>
    <n v="196999"/>
    <n v="8565"/>
    <n v="188434"/>
    <s v="USA"/>
    <d v="2020-01-08T00:00:00"/>
    <s v="Has no high school or college education"/>
    <x v="1"/>
    <x v="2"/>
    <n v="42"/>
    <x v="2"/>
  </r>
  <r>
    <s v="0c6df9bb60b63eb0b5c38264f33d8bab"/>
    <n v="1568"/>
    <n v="88"/>
    <n v="17.818181818181817"/>
    <n v="8.9538602101416162E-2"/>
    <s v="High Engagement"/>
    <n v="132"/>
    <n v="8.4183673469387751E-2"/>
    <n v="1.0441385856668249E-2"/>
    <n v="0.23352437621022548"/>
    <x v="1"/>
    <n v="49"/>
    <n v="35"/>
    <n v="292"/>
    <n v="1150"/>
    <n v="1078"/>
    <n v="3.3564400294056662E-2"/>
    <n v="28490"/>
    <n v="26281"/>
    <n v="2209"/>
    <s v="unknown"/>
    <d v="2020-11-29T00:00:00"/>
    <s v="Has no high school or college education"/>
    <x v="0"/>
    <x v="2"/>
    <n v="24"/>
    <x v="0"/>
  </r>
  <r>
    <s v="98d91be995b394335a2414fc6d6a0ea0"/>
    <n v="14673"/>
    <n v="825"/>
    <n v="17.785454545454545"/>
    <n v="8.9374143444495208E-2"/>
    <s v="High Engagement"/>
    <n v="770"/>
    <n v="5.2477339330743542E-2"/>
    <n v="6.0908084163898119E-2"/>
    <n v="0.37575153934338185"/>
    <x v="1"/>
    <n v="240"/>
    <n v="14"/>
    <n v="897"/>
    <n v="9065"/>
    <n v="7102"/>
    <n v="7.5187084126595166E-2"/>
    <n v="63820"/>
    <n v="58670"/>
    <n v="5150"/>
    <s v="USA"/>
    <d v="2014-06-16T00:00:00"/>
    <s v="Has high school and/or college education"/>
    <x v="0"/>
    <x v="2"/>
    <n v="19"/>
    <x v="1"/>
  </r>
  <r>
    <s v="d0eb70f6adc9b3a957573b2cd0834604"/>
    <n v="2436"/>
    <n v="137"/>
    <n v="17.78102189781022"/>
    <n v="8.9351868833217191E-2"/>
    <s v="High Engagement"/>
    <n v="613"/>
    <n v="0.25164203612479474"/>
    <n v="4.8489163107103307E-2"/>
    <n v="0.30690202203411593"/>
    <x v="1"/>
    <n v="72"/>
    <n v="426"/>
    <n v="1361"/>
    <n v="806"/>
    <n v="1683"/>
    <n v="3.1219958153474957E-2"/>
    <n v="26500"/>
    <n v="3987"/>
    <n v="22513"/>
    <s v="Canada"/>
    <d v="2019-07-07T00:00:00"/>
    <s v="Has no high school or college education"/>
    <x v="1"/>
    <x v="2"/>
    <n v="22"/>
    <x v="0"/>
  </r>
  <r>
    <s v="38fe9a83d24216eaf8f5c24de68505ff"/>
    <n v="671"/>
    <n v="38"/>
    <n v="17.657894736842106"/>
    <n v="8.8733139381116113E-2"/>
    <s v="High Engagement"/>
    <n v="276"/>
    <n v="0.41132637853949328"/>
    <n v="2.1831988609397248E-2"/>
    <n v="0.22688533128592203"/>
    <x v="1"/>
    <n v="120"/>
    <n v="19"/>
    <n v="416"/>
    <n v="1509"/>
    <n v="1438"/>
    <n v="5.7550753048952897E-3"/>
    <n v="4885"/>
    <n v="1068"/>
    <n v="3817"/>
    <s v="unknown"/>
    <d v="2020-03-13T00:00:00"/>
    <s v="Has no high school or college education"/>
    <x v="0"/>
    <x v="2"/>
    <n v="23"/>
    <x v="0"/>
  </r>
  <r>
    <s v="785413bf1621c07bf78d57d446f5b92e"/>
    <n v="3544"/>
    <n v="201"/>
    <n v="17.631840796019901"/>
    <n v="8.8602215055376382E-2"/>
    <s v="High Engagement"/>
    <n v="59"/>
    <n v="1.6647855530474039E-2"/>
    <n v="4.6669830722986866E-3"/>
    <n v="0.23041127329819569"/>
    <x v="1"/>
    <n v="13"/>
    <n v="1"/>
    <n v="97"/>
    <n v="823"/>
    <n v="849"/>
    <n v="4.3872877042845565E-2"/>
    <n v="37240"/>
    <n v="8787"/>
    <n v="28453"/>
    <s v="unknown"/>
    <d v="2019-05-16T00:00:00"/>
    <s v="Has no high school or college education"/>
    <x v="0"/>
    <x v="2"/>
    <n v="25"/>
    <x v="0"/>
  </r>
  <r>
    <s v="6a037b8730204108b204932c37ba4705"/>
    <n v="7630"/>
    <n v="433"/>
    <n v="17.621247113163971"/>
    <n v="8.8548980468160662E-2"/>
    <s v="High Engagement"/>
    <n v="604"/>
    <n v="7.916120576671036E-2"/>
    <n v="4.7777250435057747E-2"/>
    <n v="0.39084415470572242"/>
    <x v="1"/>
    <n v="186"/>
    <n v="165"/>
    <n v="1280"/>
    <n v="1742"/>
    <n v="2680"/>
    <n v="0.11819169289928559"/>
    <n v="100323"/>
    <n v="3798"/>
    <n v="96525"/>
    <s v="Australia"/>
    <d v="2019-08-18T00:00:00"/>
    <s v="Has no high school or college education"/>
    <x v="1"/>
    <x v="2"/>
    <n v="23"/>
    <x v="0"/>
  </r>
  <r>
    <s v="cca63c060603aa8c82aecc3f6bd64b41"/>
    <n v="9156"/>
    <n v="522"/>
    <n v="17.540229885057471"/>
    <n v="8.8141858718881763E-2"/>
    <s v="High Engagement"/>
    <n v="265"/>
    <n v="2.8942769768457843E-2"/>
    <n v="2.0961873121341561E-2"/>
    <n v="0.2900145455450675"/>
    <x v="1"/>
    <n v="60"/>
    <n v="5"/>
    <n v="573"/>
    <n v="7965"/>
    <n v="5631"/>
    <n v="7.1807081864620842E-2"/>
    <n v="60951"/>
    <n v="10539"/>
    <n v="50412"/>
    <s v="Germany"/>
    <d v="2019-11-05T00:00:00"/>
    <s v="Has no high school or college education"/>
    <x v="0"/>
    <x v="2"/>
    <n v="19"/>
    <x v="1"/>
  </r>
  <r>
    <s v="fd914d0456f341d7aded59149fdc6655"/>
    <n v="18038"/>
    <n v="1034"/>
    <n v="17.444874274661508"/>
    <n v="8.7662684797294013E-2"/>
    <s v="High Engagement"/>
    <n v="879"/>
    <n v="4.8730457922164322E-2"/>
    <n v="6.9530137636449926E-2"/>
    <n v="0.41757526429030745"/>
    <x v="1"/>
    <n v="169"/>
    <n v="180"/>
    <n v="2737"/>
    <n v="6115"/>
    <n v="7545"/>
    <n v="0.10318961942281955"/>
    <n v="87589"/>
    <n v="6877"/>
    <n v="80712"/>
    <s v="USA"/>
    <d v="2015-01-24T00:00:00"/>
    <s v="Has high school and/or college education"/>
    <x v="1"/>
    <x v="72"/>
    <n v="18"/>
    <x v="1"/>
  </r>
  <r>
    <s v="cecaf0ee033fe611ef0bf35cdaaf07ac"/>
    <n v="7679"/>
    <n v="442"/>
    <n v="17.373303167420815"/>
    <n v="8.7303030992064393E-2"/>
    <s v="High Engagement"/>
    <n v="135"/>
    <n v="1.758041411642141E-2"/>
    <n v="1.0678690080683437E-2"/>
    <n v="0.26873421932217467"/>
    <x v="1"/>
    <n v="9"/>
    <n v="4"/>
    <n v="200"/>
    <n v="3536"/>
    <n v="2364"/>
    <n v="7.2770777176679041E-2"/>
    <n v="61769"/>
    <n v="42564"/>
    <n v="19205"/>
    <s v="Netherlands"/>
    <d v="2019-07-30T00:00:00"/>
    <s v="Has no high school or college education"/>
    <x v="0"/>
    <x v="2"/>
    <n v="29"/>
    <x v="0"/>
  </r>
  <r>
    <s v="07b60ba8e2f160140972c0046c369df3"/>
    <n v="2188"/>
    <n v="126"/>
    <n v="17.365079365079364"/>
    <n v="8.7261705352157604E-2"/>
    <s v="High Engagement"/>
    <n v="18"/>
    <n v="8.2266910420475316E-3"/>
    <n v="1.4238253440911248E-3"/>
    <n v="0.19895524453701877"/>
    <x v="1"/>
    <n v="3"/>
    <n v="0"/>
    <n v="20"/>
    <n v="939"/>
    <n v="558"/>
    <n v="2.1584183144521308E-2"/>
    <n v="18321"/>
    <n v="1628"/>
    <n v="16693"/>
    <s v="Romania"/>
    <d v="2020-01-25T00:00:00"/>
    <s v="Has no high school or college education"/>
    <x v="0"/>
    <x v="73"/>
    <n v="22"/>
    <x v="0"/>
  </r>
  <r>
    <s v="87e6d3f89512c27673db4fff99f8a7d8"/>
    <n v="2726"/>
    <n v="157"/>
    <n v="17.363057324840764"/>
    <n v="8.7251544345933491E-2"/>
    <s v="High Engagement"/>
    <n v="82"/>
    <n v="3.008070432868672E-2"/>
    <n v="6.4863154564151239E-3"/>
    <n v="0.2287190514928803"/>
    <x v="1"/>
    <n v="33"/>
    <n v="0"/>
    <n v="130"/>
    <n v="1159"/>
    <n v="1360"/>
    <n v="4.124333188818307E-2"/>
    <n v="35008"/>
    <n v="415"/>
    <n v="34593"/>
    <s v="USA"/>
    <d v="2019-08-04T00:00:00"/>
    <s v="Has no high school or college education"/>
    <x v="1"/>
    <x v="74"/>
    <n v="31"/>
    <x v="3"/>
  </r>
  <r>
    <s v="ae82ca90c68b22112b705104b8e5293d"/>
    <n v="29906"/>
    <n v="1723"/>
    <n v="17.356935577481138"/>
    <n v="8.7220781796387634E-2"/>
    <s v="High Engagement"/>
    <n v="1208"/>
    <n v="4.0393232127332306E-2"/>
    <n v="9.5554500870115494E-2"/>
    <n v="0.65373551943377728"/>
    <x v="0"/>
    <n v="532"/>
    <n v="146"/>
    <n v="4998"/>
    <n v="4074"/>
    <n v="5243"/>
    <n v="0.28818495410077094"/>
    <n v="244616"/>
    <n v="235420"/>
    <n v="9196"/>
    <s v="Sweden"/>
    <d v="2015-04-26T00:00:00"/>
    <s v="Has high school and/or college education"/>
    <x v="0"/>
    <x v="75"/>
    <n v="21"/>
    <x v="0"/>
  </r>
  <r>
    <s v="b315dcb19ee3ed6993eba2ea25fad7cc"/>
    <n v="1962"/>
    <n v="114"/>
    <n v="17.210526315789473"/>
    <n v="8.6485056863263687E-2"/>
    <s v="High Engagement"/>
    <n v="15"/>
    <n v="7.6452599388379203E-3"/>
    <n v="1.1865211200759373E-3"/>
    <n v="0.18964189680097077"/>
    <x v="1"/>
    <n v="6"/>
    <n v="1"/>
    <n v="11"/>
    <n v="273"/>
    <n v="218"/>
    <n v="1.4298740834291531E-2"/>
    <n v="12137"/>
    <n v="701"/>
    <n v="11436"/>
    <s v="unknown"/>
    <d v="2020-10-05T00:00:00"/>
    <s v="Has no high school or college education"/>
    <x v="0"/>
    <x v="2"/>
    <n v="29"/>
    <x v="0"/>
  </r>
  <r>
    <s v="70d7c251c9169ae3b93891640d86d422"/>
    <n v="8394"/>
    <n v="490"/>
    <n v="17.130612244897961"/>
    <n v="8.6083478617577688E-2"/>
    <s v="High Engagement"/>
    <n v="482"/>
    <n v="5.7421968072432689E-2"/>
    <n v="3.8126878658440118E-2"/>
    <n v="0.2800671491150033"/>
    <x v="1"/>
    <n v="156"/>
    <n v="8"/>
    <n v="524"/>
    <n v="2902"/>
    <n v="2489"/>
    <n v="3.1646434562967708E-2"/>
    <n v="26862"/>
    <n v="2207"/>
    <n v="24655"/>
    <s v="USA"/>
    <d v="2019-09-08T00:00:00"/>
    <s v="Has no high school or college education"/>
    <x v="0"/>
    <x v="76"/>
    <n v="19"/>
    <x v="1"/>
  </r>
  <r>
    <s v="0d7f434fbfe43edd5fcf70c055f05a55"/>
    <n v="30165"/>
    <n v="1762"/>
    <n v="17.119750283768443"/>
    <n v="8.6028895898333888E-2"/>
    <s v="High Engagement"/>
    <n v="1356"/>
    <n v="4.4952759820984588E-2"/>
    <n v="0.10726150925486473"/>
    <n v="0.50234912758599615"/>
    <x v="1"/>
    <n v="425"/>
    <n v="150"/>
    <n v="4006"/>
    <n v="8082"/>
    <n v="7897"/>
    <n v="0.11576831727959888"/>
    <n v="98266"/>
    <n v="79113"/>
    <n v="19153"/>
    <s v="unknown"/>
    <d v="2014-08-20T00:00:00"/>
    <s v="Has high school and/or college education"/>
    <x v="0"/>
    <x v="2"/>
    <n v="19"/>
    <x v="1"/>
  </r>
  <r>
    <s v="af76185e511a45328a4cd6a7c5360fff"/>
    <n v="616"/>
    <n v="36"/>
    <n v="17.111111111111111"/>
    <n v="8.598548297040759E-2"/>
    <s v="High Engagement"/>
    <n v="18"/>
    <n v="2.922077922077922E-2"/>
    <n v="1.4238253440911248E-3"/>
    <n v="0.182995889441951"/>
    <x v="1"/>
    <n v="2"/>
    <n v="0"/>
    <n v="22"/>
    <n v="397"/>
    <n v="250"/>
    <n v="8.1772728129535736E-3"/>
    <n v="6941"/>
    <n v="1539"/>
    <n v="5402"/>
    <s v="Germany"/>
    <d v="2020-08-02T00:00:00"/>
    <s v="Has no high school or college education"/>
    <x v="0"/>
    <x v="2"/>
    <n v="26"/>
    <x v="0"/>
  </r>
  <r>
    <s v="008c29d66d5975b0127132144576201f"/>
    <n v="8725"/>
    <n v="513"/>
    <n v="17.007797270955166"/>
    <n v="8.5466317944498327E-2"/>
    <s v="High Engagement"/>
    <n v="162"/>
    <n v="1.8567335243553008E-2"/>
    <n v="1.2814428096820124E-2"/>
    <n v="0.28834110038408267"/>
    <x v="1"/>
    <n v="73"/>
    <n v="7"/>
    <n v="366"/>
    <n v="751"/>
    <n v="502"/>
    <n v="9.1779608301445784E-2"/>
    <n v="77904"/>
    <n v="6510"/>
    <n v="71394"/>
    <s v="USA"/>
    <d v="2019-08-31T00:00:00"/>
    <s v="Has no high school or college education"/>
    <x v="0"/>
    <x v="2"/>
    <n v="22"/>
    <x v="0"/>
  </r>
  <r>
    <s v="405e109c8904421b0c98955f31a04d46"/>
    <n v="8003"/>
    <n v="472"/>
    <n v="16.95550847457627"/>
    <n v="8.5203560173750095E-2"/>
    <s v="High Engagement"/>
    <n v="2133"/>
    <n v="0.26652505310508562"/>
    <n v="0.16872330327479829"/>
    <n v="0.57334966476820193"/>
    <x v="0"/>
    <n v="854"/>
    <n v="46"/>
    <n v="2731"/>
    <n v="3822"/>
    <n v="3242"/>
    <n v="6.5495937871105164E-2"/>
    <n v="55594"/>
    <n v="13773"/>
    <n v="41821"/>
    <s v="unknown"/>
    <d v="2019-03-26T00:00:00"/>
    <s v="Has no high school or college education"/>
    <x v="0"/>
    <x v="2"/>
    <n v="24"/>
    <x v="0"/>
  </r>
  <r>
    <s v="79547be32a2b7613f28fa253def8b3f2"/>
    <n v="5077"/>
    <n v="300"/>
    <n v="16.923333333333332"/>
    <n v="8.5041876046901166E-2"/>
    <s v="High Engagement"/>
    <n v="393"/>
    <n v="7.7407918061847547E-2"/>
    <n v="3.1086853345989558E-2"/>
    <n v="0.34339108491912484"/>
    <x v="1"/>
    <n v="139"/>
    <n v="34"/>
    <n v="889"/>
    <n v="3242"/>
    <n v="2647"/>
    <n v="0.11113362613334339"/>
    <n v="94332"/>
    <n v="18770"/>
    <n v="75562"/>
    <s v="USA"/>
    <d v="2020-02-09T00:00:00"/>
    <s v="Has no high school or college education"/>
    <x v="0"/>
    <x v="77"/>
    <n v="24"/>
    <x v="0"/>
  </r>
  <r>
    <s v="408bb6f8679ad3fa939c5fecd475d38b"/>
    <n v="169"/>
    <n v="10"/>
    <n v="16.899999999999999"/>
    <n v="8.4924623115577885E-2"/>
    <s v="High Engagement"/>
    <n v="100"/>
    <n v="0.59171597633136097"/>
    <n v="7.9101408005062494E-3"/>
    <n v="0.19088267178798438"/>
    <x v="1"/>
    <n v="47"/>
    <n v="14"/>
    <n v="24"/>
    <n v="696"/>
    <n v="930"/>
    <n v="5.2131439558161016E-3"/>
    <n v="4425"/>
    <n v="161"/>
    <n v="4264"/>
    <s v="unknown"/>
    <d v="2021-04-01T00:00:00"/>
    <s v="Has no high school or college education"/>
    <x v="1"/>
    <x v="2"/>
    <n v="31"/>
    <x v="3"/>
  </r>
  <r>
    <s v="79a2ab1efcc0b1b5fe6d842d842de7e4"/>
    <n v="4759"/>
    <n v="282"/>
    <n v="16.875886524822697"/>
    <n v="8.4803449873480888E-2"/>
    <s v="High Engagement"/>
    <n v="326"/>
    <n v="6.8501786089514599E-2"/>
    <n v="2.5787059009650372E-2"/>
    <n v="0.24045256778416979"/>
    <x v="1"/>
    <n v="93"/>
    <n v="5"/>
    <n v="419"/>
    <n v="2998"/>
    <n v="2793"/>
    <n v="1.9271550017907296E-2"/>
    <n v="16358"/>
    <n v="12479"/>
    <n v="3879"/>
    <s v="unknown"/>
    <d v="2019-12-24T00:00:00"/>
    <s v="Has no high school or college education"/>
    <x v="0"/>
    <x v="2"/>
    <n v="28"/>
    <x v="0"/>
  </r>
  <r>
    <s v="d757dbc969874c03ad1eff5f27bef006"/>
    <n v="371"/>
    <n v="22"/>
    <n v="16.863636363636363"/>
    <n v="8.4741891274554587E-2"/>
    <s v="High Engagement"/>
    <n v="9"/>
    <n v="2.4258760107816711E-2"/>
    <n v="7.1191267204556241E-4"/>
    <n v="0.17399426035969481"/>
    <x v="1"/>
    <n v="2"/>
    <n v="1"/>
    <n v="13"/>
    <n v="69"/>
    <n v="70"/>
    <n v="3.0866524664945054E-3"/>
    <n v="2620"/>
    <n v="2110"/>
    <n v="510"/>
    <s v="unknown"/>
    <d v="2020-12-12T00:00:00"/>
    <s v="Has no high school or college education"/>
    <x v="0"/>
    <x v="2"/>
    <n v="25"/>
    <x v="0"/>
  </r>
  <r>
    <s v="eeb17b87605691c1748fa6e1217860d0"/>
    <n v="3833"/>
    <n v="228"/>
    <n v="16.811403508771932"/>
    <n v="8.4479414616944373E-2"/>
    <s v="High Engagement"/>
    <n v="156"/>
    <n v="4.0699191234020347E-2"/>
    <n v="1.2339819648789748E-2"/>
    <n v="0.23207082607421012"/>
    <x v="1"/>
    <n v="32"/>
    <n v="19"/>
    <n v="1064"/>
    <n v="2352"/>
    <n v="2663"/>
    <n v="3.8432357542741886E-2"/>
    <n v="32622"/>
    <n v="4526"/>
    <n v="28096"/>
    <s v="unknown"/>
    <d v="2019-06-09T00:00:00"/>
    <s v="Has no high school or college education"/>
    <x v="1"/>
    <x v="2"/>
    <n v="22"/>
    <x v="0"/>
  </r>
  <r>
    <s v="b925497da364ff6a8e99f89e4a617b42"/>
    <n v="10406"/>
    <n v="621"/>
    <n v="16.756843800322063"/>
    <n v="8.4205245227749054E-2"/>
    <s v="High Engagement"/>
    <n v="697"/>
    <n v="6.6980588122237172E-2"/>
    <n v="5.5133681379528558E-2"/>
    <n v="0.4099312697382777"/>
    <x v="1"/>
    <n v="284"/>
    <n v="58"/>
    <n v="1553"/>
    <n v="2832"/>
    <n v="2103"/>
    <n v="0.13125341652372247"/>
    <n v="111410"/>
    <n v="34717"/>
    <n v="76693"/>
    <s v="USA"/>
    <d v="2013-12-08T00:00:00"/>
    <s v="Has high school and/or college education"/>
    <x v="0"/>
    <x v="78"/>
    <n v="15"/>
    <x v="1"/>
  </r>
  <r>
    <s v="bbde064a643a1d3eaf42658ed22b3069"/>
    <n v="5021"/>
    <n v="300"/>
    <n v="16.736666666666668"/>
    <n v="8.4103852596314921E-2"/>
    <s v="High Engagement"/>
    <n v="183"/>
    <n v="3.6446922923720378E-2"/>
    <n v="1.4475557664926435E-2"/>
    <n v="0.31198700472259205"/>
    <x v="1"/>
    <n v="54"/>
    <n v="40"/>
    <n v="781"/>
    <n v="791"/>
    <n v="1059"/>
    <n v="0.11482818420010933"/>
    <n v="97468"/>
    <n v="1961"/>
    <n v="95507"/>
    <s v="unknown"/>
    <d v="2020-03-21T00:00:00"/>
    <s v="Has no high school or college education"/>
    <x v="1"/>
    <x v="2"/>
    <n v="20"/>
    <x v="1"/>
  </r>
  <r>
    <s v="0eb998fdde77f9c123c07eace18a5cc1"/>
    <n v="11946"/>
    <n v="715"/>
    <n v="16.707692307692309"/>
    <n v="8.3958252802473918E-2"/>
    <s v="High Engagement"/>
    <n v="809"/>
    <n v="6.7721413025280425E-2"/>
    <n v="6.3993039076095548E-2"/>
    <n v="0.48067996778383026"/>
    <x v="1"/>
    <n v="296"/>
    <n v="13"/>
    <n v="1905"/>
    <n v="5527"/>
    <n v="6052"/>
    <n v="0.1847773840266913"/>
    <n v="156842"/>
    <n v="60169"/>
    <n v="96673"/>
    <s v="unknown"/>
    <d v="2017-11-17T00:00:00"/>
    <s v="Has no high school or college education"/>
    <x v="0"/>
    <x v="79"/>
    <n v="21"/>
    <x v="0"/>
  </r>
  <r>
    <s v="5f1202f11d8126949ae054d4a547d0cd"/>
    <n v="1469"/>
    <n v="88"/>
    <n v="16.693181818181817"/>
    <n v="8.3885335769757874E-2"/>
    <s v="High Engagement"/>
    <n v="461"/>
    <n v="0.31381892443839349"/>
    <n v="3.6465749090333809E-2"/>
    <n v="0.24863910776093662"/>
    <x v="1"/>
    <n v="102"/>
    <n v="50"/>
    <n v="405"/>
    <n v="3547"/>
    <n v="4495"/>
    <n v="7.9369380407532369E-3"/>
    <n v="6737"/>
    <n v="734"/>
    <n v="6003"/>
    <s v="Canada"/>
    <d v="2020-10-27T00:00:00"/>
    <s v="Has no high school or college education"/>
    <x v="1"/>
    <x v="27"/>
    <n v="18"/>
    <x v="1"/>
  </r>
  <r>
    <s v="d43dc0db1f7667fb0b20aef783805d1a"/>
    <n v="4289"/>
    <n v="257"/>
    <n v="16.688715953307394"/>
    <n v="8.3862894237725596E-2"/>
    <s v="High Engagement"/>
    <n v="624"/>
    <n v="0.14548845884821637"/>
    <n v="4.9359278595158991E-2"/>
    <n v="0.31160018627197827"/>
    <x v="1"/>
    <n v="139"/>
    <n v="17"/>
    <n v="545"/>
    <n v="2322"/>
    <n v="1871"/>
    <n v="4.515584060620912E-2"/>
    <n v="38329"/>
    <n v="13120"/>
    <n v="25209"/>
    <s v="unknown"/>
    <d v="2020-06-13T00:00:00"/>
    <s v="Has no high school or college education"/>
    <x v="0"/>
    <x v="2"/>
    <n v="20"/>
    <x v="1"/>
  </r>
  <r>
    <s v="29a2d5394445625ebb9f7dcc4e2a4326"/>
    <n v="4289"/>
    <n v="257"/>
    <n v="16.688715953307394"/>
    <n v="8.3862894237725596E-2"/>
    <s v="High Engagement"/>
    <n v="490"/>
    <n v="0.11424574492888785"/>
    <n v="3.875968992248062E-2"/>
    <n v="0.29040100892662157"/>
    <x v="1"/>
    <n v="92"/>
    <n v="11"/>
    <n v="545"/>
    <n v="1811"/>
    <n v="1437"/>
    <n v="4.515584060620912E-2"/>
    <n v="38329"/>
    <n v="13120"/>
    <n v="25209"/>
    <s v="unknown"/>
    <d v="2020-06-13T00:00:00"/>
    <s v="Has no high school or college education"/>
    <x v="0"/>
    <x v="2"/>
    <n v="20"/>
    <x v="1"/>
  </r>
  <r>
    <s v="64915d73ff46ffc781651d1dbf888c3b"/>
    <n v="4768"/>
    <n v="288"/>
    <n v="16.555555555555557"/>
    <n v="8.319374651032943E-2"/>
    <s v="High Engagement"/>
    <n v="134"/>
    <n v="2.8104026845637585E-2"/>
    <n v="1.0599588672678373E-2"/>
    <n v="0.23114616971569801"/>
    <x v="1"/>
    <n v="5"/>
    <n v="1"/>
    <n v="251"/>
    <n v="1599"/>
    <n v="1109"/>
    <n v="4.3559499349682382E-2"/>
    <n v="36974"/>
    <n v="6477"/>
    <n v="30497"/>
    <s v="Hungary"/>
    <d v="2019-09-15T00:00:00"/>
    <s v="Has no high school or college education"/>
    <x v="0"/>
    <x v="80"/>
    <n v="23"/>
    <x v="0"/>
  </r>
  <r>
    <s v="03371ac20f88c9c8843ef140a8704923"/>
    <n v="7243"/>
    <n v="438"/>
    <n v="16.536529680365298"/>
    <n v="8.3098139097313062E-2"/>
    <s v="High Engagement"/>
    <n v="1205"/>
    <n v="0.16636752726770676"/>
    <n v="9.5317196646100305E-2"/>
    <n v="0.43556740594989057"/>
    <x v="1"/>
    <n v="561"/>
    <n v="137"/>
    <n v="2523"/>
    <n v="4053"/>
    <n v="3468"/>
    <n v="7.873673446306384E-2"/>
    <n v="66833"/>
    <n v="8814"/>
    <n v="58019"/>
    <s v="USA"/>
    <d v="2020-01-24T00:00:00"/>
    <s v="Has no high school or college education"/>
    <x v="0"/>
    <x v="2"/>
    <n v="19"/>
    <x v="1"/>
  </r>
  <r>
    <s v="b586b962662e5fd0a48aa0aa7c6431ea"/>
    <n v="10375"/>
    <n v="628"/>
    <n v="16.520700636942674"/>
    <n v="8.3018596165541081E-2"/>
    <s v="High Engagement"/>
    <n v="554"/>
    <n v="5.3397590361445785E-2"/>
    <n v="4.382218003480462E-2"/>
    <n v="0.46737686445889953"/>
    <x v="1"/>
    <n v="261"/>
    <n v="8"/>
    <n v="532"/>
    <n v="3437"/>
    <n v="3323"/>
    <n v="0.21369531205820813"/>
    <n v="181388"/>
    <n v="45904"/>
    <n v="135484"/>
    <s v="unknown"/>
    <d v="2017-09-15T00:00:00"/>
    <s v="Has no high school or college education"/>
    <x v="0"/>
    <x v="2"/>
    <n v="18"/>
    <x v="1"/>
  </r>
  <r>
    <s v="b1c6788f96d54ae00037693ffdfdd0e8"/>
    <n v="4102"/>
    <n v="250"/>
    <n v="16.408000000000001"/>
    <n v="8.2452261306532673E-2"/>
    <s v="High Engagement"/>
    <n v="203"/>
    <n v="4.9488054607508533E-2"/>
    <n v="1.6057585825027684E-2"/>
    <n v="0.23302514185129058"/>
    <x v="1"/>
    <n v="75"/>
    <n v="10"/>
    <n v="297"/>
    <n v="852"/>
    <n v="658"/>
    <n v="3.6005447588169877E-2"/>
    <n v="30562"/>
    <n v="17739"/>
    <n v="12823"/>
    <s v="unknown"/>
    <d v="2019-12-21T00:00:00"/>
    <s v="Has no high school or college education"/>
    <x v="0"/>
    <x v="2"/>
    <n v="19"/>
    <x v="1"/>
  </r>
  <r>
    <s v="e1a9c69acde1a7db1d0da5e2b694bc80"/>
    <n v="1690"/>
    <n v="103"/>
    <n v="16.407766990291261"/>
    <n v="8.2451090403473676E-2"/>
    <s v="High Engagement"/>
    <n v="55"/>
    <n v="3.2544378698224852E-2"/>
    <n v="4.3505774402784365E-3"/>
    <n v="0.1969629330560741"/>
    <x v="1"/>
    <n v="14"/>
    <n v="2"/>
    <n v="93"/>
    <n v="963"/>
    <n v="697"/>
    <n v="2.3359597368569868E-2"/>
    <n v="19828"/>
    <n v="1211"/>
    <n v="18617"/>
    <s v="unknown"/>
    <d v="2020-12-21T00:00:00"/>
    <s v="Has no high school or college education"/>
    <x v="0"/>
    <x v="2"/>
    <n v="21"/>
    <x v="0"/>
  </r>
  <r>
    <s v="c2ec58cbdf9dd1d951500acae27ef319"/>
    <n v="2042"/>
    <n v="125"/>
    <n v="16.335999999999999"/>
    <n v="8.2090452261306526E-2"/>
    <s v="High Engagement"/>
    <n v="129"/>
    <n v="6.3173359451518113E-2"/>
    <n v="1.020408163265306E-2"/>
    <n v="0.19931664125496032"/>
    <x v="1"/>
    <n v="12"/>
    <n v="39"/>
    <n v="275"/>
    <n v="1224"/>
    <n v="1263"/>
    <n v="1.472757346704115E-2"/>
    <n v="12501"/>
    <n v="761"/>
    <n v="11740"/>
    <s v="unknown"/>
    <d v="2020-07-19T00:00:00"/>
    <s v="Has no high school or college education"/>
    <x v="1"/>
    <x v="2"/>
    <n v="23"/>
    <x v="0"/>
  </r>
  <r>
    <s v="92e8f60818d566590d8592d8dd268f76"/>
    <n v="424"/>
    <n v="26"/>
    <n v="16.307692307692307"/>
    <n v="8.1948202551217625E-2"/>
    <s v="High Engagement"/>
    <n v="1"/>
    <n v="2.3584905660377358E-3"/>
    <n v="7.9101408005062489E-5"/>
    <n v="0.167974185306242"/>
    <x v="1"/>
    <n v="0"/>
    <n v="0"/>
    <n v="1"/>
    <n v="16"/>
    <n v="20"/>
    <n v="3.9195773877966486E-3"/>
    <n v="3327"/>
    <n v="66"/>
    <n v="3261"/>
    <s v="unknown"/>
    <d v="2021-03-09T00:00:00"/>
    <s v="Has no high school or college education"/>
    <x v="0"/>
    <x v="2"/>
    <n v="24"/>
    <x v="0"/>
  </r>
  <r>
    <s v="872f5e29fe4d3d43de952222babb8a7d"/>
    <n v="2215"/>
    <n v="136"/>
    <n v="16.286764705882351"/>
    <n v="8.1843038723026895E-2"/>
    <s v="High Engagement"/>
    <n v="36"/>
    <n v="1.6252821670428894E-2"/>
    <n v="2.8476506881822496E-3"/>
    <n v="0.20854063123990335"/>
    <x v="1"/>
    <n v="7"/>
    <n v="0"/>
    <n v="69"/>
    <n v="896"/>
    <n v="1108"/>
    <n v="3.9159252417485059E-2"/>
    <n v="33239"/>
    <n v="4359"/>
    <n v="28880"/>
    <s v="unknown"/>
    <d v="2019-01-24T00:00:00"/>
    <s v="Has no high school or college education"/>
    <x v="0"/>
    <x v="2"/>
    <n v="26"/>
    <x v="0"/>
  </r>
  <r>
    <s v="b3af6adaaf2237a3345c3b734d1e27e6"/>
    <n v="2195"/>
    <n v="135"/>
    <n v="16.25925925925926"/>
    <n v="8.1704820398287734E-2"/>
    <s v="High Engagement"/>
    <n v="71"/>
    <n v="3.234624145785877E-2"/>
    <n v="5.6161999683594366E-3"/>
    <n v="0.18813730943699455"/>
    <x v="1"/>
    <n v="21"/>
    <n v="1"/>
    <n v="162"/>
    <n v="607"/>
    <n v="635"/>
    <n v="1.3495268703700212E-2"/>
    <n v="11455"/>
    <n v="2919"/>
    <n v="8536"/>
    <s v="unknown"/>
    <d v="2020-11-22T00:00:00"/>
    <s v="Has no high school or college education"/>
    <x v="0"/>
    <x v="81"/>
    <n v="22"/>
    <x v="0"/>
  </r>
  <r>
    <s v="a2d13075a665c9a0db9b27f7e7d43a76"/>
    <n v="1463"/>
    <n v="90"/>
    <n v="16.255555555555556"/>
    <n v="8.1686208821887221E-2"/>
    <s v="High Engagement"/>
    <n v="56"/>
    <n v="3.8277511961722487E-2"/>
    <n v="4.4296788482834993E-3"/>
    <n v="0.18799137459388993"/>
    <x v="1"/>
    <n v="7"/>
    <n v="11"/>
    <n v="141"/>
    <n v="366"/>
    <n v="436"/>
    <n v="1.5759599253548473E-2"/>
    <n v="13377"/>
    <n v="326"/>
    <n v="13051"/>
    <s v="USA"/>
    <d v="2019-10-18T00:00:00"/>
    <s v="Has no high school or college education"/>
    <x v="1"/>
    <x v="2"/>
    <n v="24"/>
    <x v="0"/>
  </r>
  <r>
    <s v="8d9a61219a10aba3bef393cf9ba37b47"/>
    <n v="11068"/>
    <n v="682"/>
    <n v="16.228739002932553"/>
    <n v="8.1551452276042977E-2"/>
    <s v="High Engagement"/>
    <n v="215"/>
    <n v="1.942537043729671E-2"/>
    <n v="1.7006802721088437E-2"/>
    <n v="0.37251376923537044"/>
    <x v="1"/>
    <n v="84"/>
    <n v="3"/>
    <n v="346"/>
    <n v="1779"/>
    <n v="1739"/>
    <n v="0.17539725924110761"/>
    <n v="148880"/>
    <n v="53762"/>
    <n v="95118"/>
    <s v="unknown"/>
    <d v="2018-05-22T00:00:00"/>
    <s v="Has no high school or college education"/>
    <x v="0"/>
    <x v="2"/>
    <n v="20"/>
    <x v="1"/>
  </r>
  <r>
    <s v="ee4305caafe8987ec5ba8c8e64dda0b7"/>
    <n v="1087"/>
    <n v="67"/>
    <n v="16.223880597014926"/>
    <n v="8.15270381759544E-2"/>
    <s v="High Engagement"/>
    <n v="34"/>
    <n v="3.1278748850046001E-2"/>
    <n v="2.6894478721721246E-3"/>
    <n v="0.17571134573671224"/>
    <x v="1"/>
    <n v="8"/>
    <n v="1"/>
    <n v="51"/>
    <n v="590"/>
    <n v="445"/>
    <n v="7.2783736404591808E-3"/>
    <n v="6178"/>
    <n v="2011"/>
    <n v="4167"/>
    <s v="USA"/>
    <d v="2019-08-24T00:00:00"/>
    <s v="Has no high school or college education"/>
    <x v="0"/>
    <x v="2"/>
    <n v="19"/>
    <x v="1"/>
  </r>
  <r>
    <s v="ae4043fa4c00ca66694c757e99e84cc0"/>
    <n v="1703"/>
    <n v="105"/>
    <n v="16.219047619047618"/>
    <n v="8.1502751854510641E-2"/>
    <s v="High Engagement"/>
    <n v="19"/>
    <n v="1.1156782149148562E-2"/>
    <n v="1.5029267520961873E-3"/>
    <n v="0.17236373511372449"/>
    <x v="1"/>
    <n v="0"/>
    <n v="0"/>
    <n v="17"/>
    <n v="389"/>
    <n v="305"/>
    <n v="6.3523779005108293E-3"/>
    <n v="5392"/>
    <n v="2131"/>
    <n v="3261"/>
    <s v="Germany"/>
    <d v="2020-11-30T00:00:00"/>
    <s v="Has no high school or college education"/>
    <x v="0"/>
    <x v="27"/>
    <n v="20"/>
    <x v="1"/>
  </r>
  <r>
    <s v="34671171b8f415e2d5cc94b054e62402"/>
    <n v="6896"/>
    <n v="427"/>
    <n v="16.149882903981265"/>
    <n v="8.1155190472267658E-2"/>
    <s v="High Engagement"/>
    <n v="1331"/>
    <n v="0.19301044083526683"/>
    <n v="0.10528397405473817"/>
    <n v="0.45284972450367333"/>
    <x v="1"/>
    <n v="477"/>
    <n v="348"/>
    <n v="1900"/>
    <n v="5947"/>
    <n v="8367"/>
    <n v="7.9971395449661642E-2"/>
    <n v="67881"/>
    <n v="4190"/>
    <n v="63691"/>
    <s v="United Kingdom"/>
    <d v="2019-07-17T00:00:00"/>
    <s v="Has no high school or college education"/>
    <x v="1"/>
    <x v="82"/>
    <n v="20"/>
    <x v="1"/>
  </r>
  <r>
    <s v="d22411b401188b0b0c2c45ba92b8972e"/>
    <n v="6459"/>
    <n v="400"/>
    <n v="16.147500000000001"/>
    <n v="8.1143216080402009E-2"/>
    <s v="High Engagement"/>
    <n v="396"/>
    <n v="6.1309800278680909E-2"/>
    <n v="3.1324157570004743E-2"/>
    <n v="0.28073129213502968"/>
    <x v="1"/>
    <n v="165"/>
    <n v="1"/>
    <n v="369"/>
    <n v="5876"/>
    <n v="5753"/>
    <n v="5.579654483421613E-2"/>
    <n v="47361"/>
    <n v="30588"/>
    <n v="16773"/>
    <s v="France"/>
    <d v="2020-03-02T00:00:00"/>
    <s v="Has no high school or college education"/>
    <x v="0"/>
    <x v="41"/>
    <n v="22"/>
    <x v="0"/>
  </r>
  <r>
    <s v="3eea1b94bd5a16309f161d1f087e63a4"/>
    <n v="8122"/>
    <n v="503"/>
    <n v="16.147117296222664"/>
    <n v="8.1141292945842533E-2"/>
    <s v="High Engagement"/>
    <n v="286"/>
    <n v="3.5213001723713368E-2"/>
    <n v="2.2623002689447873E-2"/>
    <n v="0.29688600206396826"/>
    <x v="1"/>
    <n v="117"/>
    <n v="1"/>
    <n v="221"/>
    <n v="6113"/>
    <n v="5419"/>
    <n v="8.9357410793387493E-2"/>
    <n v="75848"/>
    <n v="8151"/>
    <n v="67697"/>
    <s v="Belgium"/>
    <d v="2018-02-09T00:00:00"/>
    <s v="Has no high school or college education"/>
    <x v="0"/>
    <x v="2"/>
    <n v="26"/>
    <x v="0"/>
  </r>
  <r>
    <s v="9c8d0099403d29b1f2148f125c137caa"/>
    <n v="17243"/>
    <n v="1069"/>
    <n v="16.130028063610851"/>
    <n v="8.1055417405079655E-2"/>
    <s v="High Engagement"/>
    <n v="238"/>
    <n v="1.3802702545960679E-2"/>
    <n v="1.8826135105204873E-2"/>
    <n v="0.46244312047739361"/>
    <x v="1"/>
    <n v="58"/>
    <n v="3"/>
    <n v="233"/>
    <n v="2998"/>
    <n v="2657"/>
    <n v="0.26268001545682457"/>
    <n v="222967"/>
    <n v="66484"/>
    <n v="156483"/>
    <s v="USA"/>
    <d v="2017-07-29T00:00:00"/>
    <s v="Has no high school or college education"/>
    <x v="0"/>
    <x v="83"/>
    <n v="18"/>
    <x v="1"/>
  </r>
  <r>
    <s v="0e79be0f121bee1463cdfacf7124aa20"/>
    <n v="6772"/>
    <n v="420"/>
    <n v="16.123809523809523"/>
    <n v="8.1024168461354393E-2"/>
    <s v="High Engagement"/>
    <n v="65"/>
    <n v="9.5983461311281749E-3"/>
    <n v="5.141591520329062E-3"/>
    <n v="0.1819295954002107"/>
    <x v="1"/>
    <n v="18"/>
    <n v="0"/>
    <n v="253"/>
    <n v="706"/>
    <n v="1100"/>
    <n v="9.5980754368437914E-3"/>
    <n v="8147"/>
    <n v="2827"/>
    <n v="5320"/>
    <s v="Denmark"/>
    <d v="2019-07-26T00:00:00"/>
    <s v="Has no high school or college education"/>
    <x v="0"/>
    <x v="2"/>
    <n v="30"/>
    <x v="0"/>
  </r>
  <r>
    <s v="c856bb6c926cc0956ef32a738f74c391"/>
    <n v="2851"/>
    <n v="177"/>
    <n v="16.10734463276836"/>
    <n v="8.0941430315418894E-2"/>
    <s v="High Engagement"/>
    <n v="71"/>
    <n v="2.4903542616625744E-2"/>
    <n v="5.6161999683594366E-3"/>
    <n v="0.19462404456785826"/>
    <x v="1"/>
    <n v="7"/>
    <n v="1"/>
    <n v="77"/>
    <n v="3726"/>
    <n v="2597"/>
    <n v="2.1508784000301595E-2"/>
    <n v="18257"/>
    <n v="6867"/>
    <n v="11390"/>
    <s v="France"/>
    <d v="2020-10-12T00:00:00"/>
    <s v="Has no high school or college education"/>
    <x v="0"/>
    <x v="84"/>
    <n v="36"/>
    <x v="3"/>
  </r>
  <r>
    <s v="d11375c2cf1fa95ce2592bc3753d39da"/>
    <n v="4012"/>
    <n v="250"/>
    <n v="16.047999999999998"/>
    <n v="8.0643216080402008E-2"/>
    <s v="High Engagement"/>
    <n v="62"/>
    <n v="1.5453639082751745E-2"/>
    <n v="4.9042872963138747E-3"/>
    <n v="0.18888802667765561"/>
    <x v="1"/>
    <n v="23"/>
    <n v="1"/>
    <n v="97"/>
    <n v="423"/>
    <n v="362"/>
    <n v="1.7793019924223861E-2"/>
    <n v="15103"/>
    <n v="5943"/>
    <n v="9160"/>
    <s v="Austria"/>
    <d v="2017-10-23T00:00:00"/>
    <s v="Has no high school or college education"/>
    <x v="0"/>
    <x v="2"/>
    <n v="20"/>
    <x v="1"/>
  </r>
  <r>
    <s v="648d5473c13b88ae41332a0aec689aaf"/>
    <n v="4010"/>
    <n v="251"/>
    <n v="15.97609561752988"/>
    <n v="8.0281887525275777E-2"/>
    <s v="High Engagement"/>
    <n v="251"/>
    <n v="6.2593516209476313E-2"/>
    <n v="1.9854453409270684E-2"/>
    <n v="0.2582181023135709"/>
    <x v="1"/>
    <n v="68"/>
    <n v="4"/>
    <n v="136"/>
    <n v="2103"/>
    <n v="1339"/>
    <n v="5.7945420444477952E-2"/>
    <n v="49185"/>
    <n v="9109"/>
    <n v="40076"/>
    <s v="USA"/>
    <d v="2020-08-02T00:00:00"/>
    <s v="Has no high school or college education"/>
    <x v="0"/>
    <x v="85"/>
    <n v="25"/>
    <x v="0"/>
  </r>
  <r>
    <s v="3c075b3a6b200f98f721065ff2b73efe"/>
    <n v="4041"/>
    <n v="253"/>
    <n v="15.972332015810277"/>
    <n v="8.0262974953820496E-2"/>
    <s v="High Engagement"/>
    <n v="171"/>
    <n v="4.2316258351893093E-2"/>
    <n v="1.3526340768865686E-2"/>
    <n v="0.22064586863223029"/>
    <x v="1"/>
    <n v="44"/>
    <n v="1"/>
    <n v="448"/>
    <n v="1900"/>
    <n v="1066"/>
    <n v="3.3067237186857931E-2"/>
    <n v="28068"/>
    <n v="16032"/>
    <n v="12036"/>
    <s v="Canada"/>
    <d v="2020-03-31T00:00:00"/>
    <s v="Has no high school or college education"/>
    <x v="0"/>
    <x v="2"/>
    <n v="21"/>
    <x v="0"/>
  </r>
  <r>
    <s v="0803a210f1121f30a8c739878a348808"/>
    <n v="21136"/>
    <n v="1325"/>
    <n v="15.951698113207547"/>
    <n v="8.0159287001042953E-2"/>
    <s v="High Engagement"/>
    <n v="1054"/>
    <n v="4.9867524602573807E-2"/>
    <n v="8.3372884037335865E-2"/>
    <n v="0.50611139114275083"/>
    <x v="1"/>
    <n v="154"/>
    <n v="353"/>
    <n v="4821"/>
    <n v="9724"/>
    <n v="9531"/>
    <n v="0.17904704906599311"/>
    <n v="151978"/>
    <n v="108872"/>
    <n v="43106"/>
    <s v="Brazil"/>
    <d v="2014-06-12T00:00:00"/>
    <s v="Has high school and/or college education"/>
    <x v="0"/>
    <x v="2"/>
    <n v="14"/>
    <x v="1"/>
  </r>
  <r>
    <s v="c06f7aed0e4639ad40d74bf1d68d9cba"/>
    <n v="3539"/>
    <n v="222"/>
    <n v="15.941441441441441"/>
    <n v="8.0107745936891669E-2"/>
    <s v="High Engagement"/>
    <n v="66"/>
    <n v="1.8649335970613169E-2"/>
    <n v="5.2206929283341247E-3"/>
    <n v="0.22668433244384062"/>
    <x v="1"/>
    <n v="16"/>
    <n v="0"/>
    <n v="77"/>
    <n v="990"/>
    <n v="1037"/>
    <n v="5.6027454713389005E-2"/>
    <n v="47557"/>
    <n v="6877"/>
    <n v="40680"/>
    <s v="France"/>
    <d v="2020-05-16T00:00:00"/>
    <s v="Has no high school or college education"/>
    <x v="0"/>
    <x v="2"/>
    <n v="27"/>
    <x v="0"/>
  </r>
  <r>
    <s v="1958b06cc28c78a2b7517e342a788bad"/>
    <n v="2274"/>
    <n v="143"/>
    <n v="15.902097902097902"/>
    <n v="7.991003970903468E-2"/>
    <s v="High Engagement"/>
    <n v="35"/>
    <n v="1.5391380826737027E-2"/>
    <n v="2.7685492801771874E-3"/>
    <n v="0.27632586848378654"/>
    <x v="1"/>
    <n v="9"/>
    <n v="5"/>
    <n v="156"/>
    <n v="290"/>
    <n v="337"/>
    <n v="0.11096869050536276"/>
    <n v="94192"/>
    <n v="1142"/>
    <n v="93050"/>
    <s v="Canada"/>
    <d v="2020-09-09T00:00:00"/>
    <s v="Has no high school or college education"/>
    <x v="1"/>
    <x v="2"/>
    <n v="26"/>
    <x v="0"/>
  </r>
  <r>
    <s v="871ba64bd808e05d3eb331b26c77d7cc"/>
    <n v="17541"/>
    <n v="1110"/>
    <n v="15.802702702702703"/>
    <n v="7.9410566345239714E-2"/>
    <s v="High Engagement"/>
    <n v="628"/>
    <n v="3.5801835699218972E-2"/>
    <n v="4.9675684227179245E-2"/>
    <n v="0.37790987650062763"/>
    <x v="1"/>
    <n v="205"/>
    <n v="2"/>
    <n v="835"/>
    <n v="4408"/>
    <n v="5605"/>
    <n v="0.11973737535578971"/>
    <n v="101635"/>
    <n v="26377"/>
    <n v="75258"/>
    <s v="unknown"/>
    <d v="2018-02-19T00:00:00"/>
    <s v="Has no high school or college education"/>
    <x v="0"/>
    <x v="2"/>
    <n v="25"/>
    <x v="0"/>
  </r>
  <r>
    <s v="edb78d076d524c6f9c2f56ecc1537303"/>
    <n v="979"/>
    <n v="62"/>
    <n v="15.790322580645162"/>
    <n v="7.9348354676608848E-2"/>
    <s v="High Engagement"/>
    <n v="15"/>
    <n v="1.5321756894790603E-2"/>
    <n v="1.1865211200759373E-3"/>
    <n v="0.16909033555974154"/>
    <x v="1"/>
    <n v="1"/>
    <n v="9"/>
    <n v="48"/>
    <n v="215"/>
    <n v="248"/>
    <n v="8.020583966371982E-3"/>
    <n v="6808"/>
    <n v="5662"/>
    <n v="1146"/>
    <s v="Argentina"/>
    <d v="2021-02-07T00:00:00"/>
    <s v="Has no high school or college education"/>
    <x v="0"/>
    <x v="3"/>
    <n v="27"/>
    <x v="0"/>
  </r>
  <r>
    <s v="24b97537ea1f2dc68fdf944dbbe8830c"/>
    <n v="1550"/>
    <n v="99"/>
    <n v="15.656565656565656"/>
    <n v="7.8676209329475652E-2"/>
    <s v="High Engagement"/>
    <n v="96"/>
    <n v="6.1935483870967742E-2"/>
    <n v="7.5937351684859994E-3"/>
    <n v="0.20382935573547578"/>
    <x v="1"/>
    <n v="29"/>
    <n v="54"/>
    <n v="403"/>
    <n v="128"/>
    <n v="195"/>
    <n v="3.1289466739552504E-2"/>
    <n v="26559"/>
    <n v="17243"/>
    <n v="9316"/>
    <s v="Canada"/>
    <d v="2020-07-11T00:00:00"/>
    <s v="Has no high school or college education"/>
    <x v="0"/>
    <x v="2"/>
    <n v="18"/>
    <x v="1"/>
  </r>
  <r>
    <s v="d07ae9d2d4d1a6682519830b29a5af80"/>
    <n v="172"/>
    <n v="11"/>
    <n v="15.636363636363637"/>
    <n v="7.8574691640018277E-2"/>
    <s v="High Engagement"/>
    <n v="10"/>
    <n v="5.8139534883720929E-2"/>
    <n v="7.9101408005062491E-4"/>
    <n v="0.1598730016080894"/>
    <x v="1"/>
    <n v="0"/>
    <n v="8"/>
    <n v="23"/>
    <n v="14"/>
    <n v="25"/>
    <n v="1.1415901679515937E-3"/>
    <n v="969"/>
    <n v="50"/>
    <n v="919"/>
    <s v="unknown"/>
    <d v="2020-10-29T00:00:00"/>
    <s v="Has no high school or college education"/>
    <x v="0"/>
    <x v="86"/>
    <n v="24"/>
    <x v="0"/>
  </r>
  <r>
    <s v="c961defc543fa9ee172fd66d49658a81"/>
    <n v="1029"/>
    <n v="66"/>
    <n v="15.590909090909092"/>
    <n v="7.8346276838739154E-2"/>
    <s v="High Engagement"/>
    <n v="54"/>
    <n v="5.2478134110787174E-2"/>
    <n v="4.2714760322733747E-3"/>
    <n v="0.17801683879889485"/>
    <x v="1"/>
    <n v="15"/>
    <n v="2"/>
    <n v="101"/>
    <n v="918"/>
    <n v="670"/>
    <n v="1.2781333056869805E-2"/>
    <n v="10849"/>
    <n v="2520"/>
    <n v="8329"/>
    <s v="unknown"/>
    <d v="2020-01-30T00:00:00"/>
    <s v="Has no high school or college education"/>
    <x v="0"/>
    <x v="2"/>
    <n v="21"/>
    <x v="0"/>
  </r>
  <r>
    <s v="917afaed05d7440c22fdde168c52b850"/>
    <n v="2352"/>
    <n v="151"/>
    <n v="15.576158940397351"/>
    <n v="7.8272155479383668E-2"/>
    <s v="High Engagement"/>
    <n v="56"/>
    <n v="2.3809523809523808E-2"/>
    <n v="4.4296788482834993E-3"/>
    <n v="0.20702988682275814"/>
    <x v="1"/>
    <n v="7"/>
    <n v="25"/>
    <n v="654"/>
    <n v="376"/>
    <n v="426"/>
    <n v="4.1626218167423797E-2"/>
    <n v="35333"/>
    <n v="5808"/>
    <n v="29525"/>
    <s v="unknown"/>
    <d v="2020-10-24T00:00:00"/>
    <s v="Has no high school or college education"/>
    <x v="0"/>
    <x v="2"/>
    <n v="27"/>
    <x v="0"/>
  </r>
  <r>
    <s v="78bf35a24cf1c2a93c36ac25b9239bcf"/>
    <n v="498"/>
    <n v="32"/>
    <n v="15.5625"/>
    <n v="7.8203517587939697E-2"/>
    <s v="High Engagement"/>
    <n v="9"/>
    <n v="1.8072289156626505E-2"/>
    <n v="7.1191267204556241E-4"/>
    <n v="0.16163262674492387"/>
    <x v="1"/>
    <n v="2"/>
    <n v="2"/>
    <n v="97"/>
    <n v="31"/>
    <n v="23"/>
    <n v="3.8017662249533466E-3"/>
    <n v="3227"/>
    <n v="1986"/>
    <n v="1241"/>
    <s v="unknown"/>
    <d v="2021-02-14T00:00:00"/>
    <s v="Has no high school or college education"/>
    <x v="0"/>
    <x v="2"/>
    <n v="21"/>
    <x v="0"/>
  </r>
  <r>
    <s v="24b34e806295a8d845787297c1701a83"/>
    <n v="2424"/>
    <n v="156"/>
    <n v="15.538461538461538"/>
    <n v="7.8082721298801699E-2"/>
    <s v="High Engagement"/>
    <n v="2743"/>
    <n v="1.1316006600660067"/>
    <n v="0.2169751621578864"/>
    <n v="0.69340434771298409"/>
    <x v="0"/>
    <n v="1257"/>
    <n v="82"/>
    <n v="3801"/>
    <n v="12922"/>
    <n v="10040"/>
    <n v="0.10328858079960793"/>
    <n v="87673"/>
    <n v="78469"/>
    <n v="9204"/>
    <s v="unknown"/>
    <d v="2019-09-23T00:00:00"/>
    <s v="Has no high school or college education"/>
    <x v="0"/>
    <x v="2"/>
    <n v="25"/>
    <x v="0"/>
  </r>
  <r>
    <s v="1c612b623df213a489188bc74dc5c05a"/>
    <n v="295"/>
    <n v="19"/>
    <n v="15.526315789473685"/>
    <n v="7.802168738428987E-2"/>
    <s v="High Engagement"/>
    <n v="49"/>
    <n v="0.16610169491525423"/>
    <n v="3.875968992248062E-3"/>
    <n v="0.17043868422580966"/>
    <x v="1"/>
    <n v="4"/>
    <n v="2"/>
    <n v="22"/>
    <n v="1043"/>
    <n v="799"/>
    <n v="6.6433714727337848E-3"/>
    <n v="5639"/>
    <n v="1272"/>
    <n v="4367"/>
    <s v="Brazil"/>
    <d v="2021-03-26T00:00:00"/>
    <s v="Has no high school or college education"/>
    <x v="0"/>
    <x v="2"/>
    <n v="25"/>
    <x v="0"/>
  </r>
  <r>
    <s v="2fa5e046d9413c4b0060b3c4db72365b"/>
    <n v="6284"/>
    <n v="405"/>
    <n v="15.51604938271605"/>
    <n v="7.7970097400583166E-2"/>
    <s v="High Engagement"/>
    <n v="295"/>
    <n v="4.6944621260343732E-2"/>
    <n v="2.3334915361493434E-2"/>
    <n v="0.32127885363295416"/>
    <x v="1"/>
    <n v="73"/>
    <n v="1"/>
    <n v="314"/>
    <n v="4403"/>
    <n v="3019"/>
    <n v="0.11866882810880096"/>
    <n v="100728"/>
    <n v="22172"/>
    <n v="78556"/>
    <s v="Australia"/>
    <d v="2019-01-24T00:00:00"/>
    <s v="Has no high school or college education"/>
    <x v="0"/>
    <x v="2"/>
    <n v="21"/>
    <x v="0"/>
  </r>
  <r>
    <s v="8da313c5d942ff7ca9a5c8762e6fccc7"/>
    <n v="1159"/>
    <n v="75"/>
    <n v="15.453333333333333"/>
    <n v="7.7654941373534334E-2"/>
    <s v="High Engagement"/>
    <n v="36"/>
    <n v="3.1061259706643658E-2"/>
    <n v="2.8476506881822496E-3"/>
    <n v="0.17261665233326901"/>
    <x v="1"/>
    <n v="3"/>
    <n v="1"/>
    <n v="81"/>
    <n v="359"/>
    <n v="291"/>
    <n v="1.1611468209835819E-2"/>
    <n v="9856"/>
    <n v="8058"/>
    <n v="1798"/>
    <s v="Brazil"/>
    <d v="2020-09-21T00:00:00"/>
    <s v="Has no high school or college education"/>
    <x v="0"/>
    <x v="2"/>
    <n v="22"/>
    <x v="0"/>
  </r>
  <r>
    <s v="632c58b5b9133f5dca41072a72580fef"/>
    <n v="3136"/>
    <n v="203"/>
    <n v="15.448275862068966"/>
    <n v="7.7629526945070179E-2"/>
    <s v="High Engagement"/>
    <n v="52"/>
    <n v="1.6581632653061226E-2"/>
    <n v="4.1132732162632493E-3"/>
    <n v="0.18644346162594105"/>
    <x v="1"/>
    <n v="19"/>
    <n v="2"/>
    <n v="338"/>
    <n v="603"/>
    <n v="615"/>
    <n v="2.2957861303274207E-2"/>
    <n v="19487"/>
    <n v="17361"/>
    <n v="2126"/>
    <s v="Germany"/>
    <d v="2020-05-23T00:00:00"/>
    <s v="Has no high school or college education"/>
    <x v="0"/>
    <x v="87"/>
    <n v="27"/>
    <x v="0"/>
  </r>
  <r>
    <s v="1a6bc90a124bed79741b441929c4d365"/>
    <n v="7368"/>
    <n v="477"/>
    <n v="15.446540880503145"/>
    <n v="7.7620808444739425E-2"/>
    <s v="High Engagement"/>
    <n v="258"/>
    <n v="3.5016286644951142E-2"/>
    <n v="2.0408163265306121E-2"/>
    <n v="0.25247299685923458"/>
    <x v="1"/>
    <n v="75"/>
    <n v="27"/>
    <n v="3295"/>
    <n v="3460"/>
    <n v="3164"/>
    <n v="5.6415053439143464E-2"/>
    <n v="47886"/>
    <n v="25138"/>
    <n v="22748"/>
    <s v="USA"/>
    <d v="2016-01-01T00:00:00"/>
    <s v="Has high school and/or college education"/>
    <x v="1"/>
    <x v="1"/>
    <n v="40"/>
    <x v="3"/>
  </r>
  <r>
    <s v="1e6bee7bb02d7cbbb40e050464202570"/>
    <n v="6082"/>
    <n v="394"/>
    <n v="15.436548223350254"/>
    <n v="7.7570594087187208E-2"/>
    <s v="High Engagement"/>
    <n v="800"/>
    <n v="0.13153567905294311"/>
    <n v="6.3281126404049995E-2"/>
    <n v="0.36002783637558666"/>
    <x v="1"/>
    <n v="129"/>
    <n v="195"/>
    <n v="1823"/>
    <n v="4766"/>
    <n v="5908"/>
    <n v="7.8324395393112284E-2"/>
    <n v="66483"/>
    <n v="4093"/>
    <n v="62390"/>
    <s v="unknown"/>
    <d v="2017-03-02T00:00:00"/>
    <s v="Has high school and/or college education"/>
    <x v="1"/>
    <x v="2"/>
    <n v="18"/>
    <x v="1"/>
  </r>
  <r>
    <s v="e8cb93c34fc8df3783e0adbd8eae2efe"/>
    <n v="6316"/>
    <n v="412"/>
    <n v="15.330097087378642"/>
    <n v="7.7035663755671571E-2"/>
    <s v="High Engagement"/>
    <n v="30"/>
    <n v="4.7498416719442688E-3"/>
    <n v="2.3730422401518746E-3"/>
    <n v="0.20399563671879625"/>
    <x v="1"/>
    <n v="14"/>
    <n v="0"/>
    <n v="400"/>
    <n v="684"/>
    <n v="436"/>
    <n v="4.5178224727149344E-2"/>
    <n v="38348"/>
    <n v="35796"/>
    <n v="2552"/>
    <s v="Luxembourg"/>
    <d v="2018-05-31T00:00:00"/>
    <s v="Has no high school or college education"/>
    <x v="0"/>
    <x v="88"/>
    <n v="21"/>
    <x v="0"/>
  </r>
  <r>
    <s v="3fc0e9a0143e958f2b5bd6b0544601df"/>
    <n v="1854"/>
    <n v="121"/>
    <n v="15.322314049586776"/>
    <n v="7.6996553012998875E-2"/>
    <s v="High Engagement"/>
    <n v="91"/>
    <n v="4.908306364617044E-2"/>
    <n v="7.1982281284606866E-3"/>
    <n v="0.22645161577861195"/>
    <x v="1"/>
    <n v="49"/>
    <n v="2"/>
    <n v="77"/>
    <n v="512"/>
    <n v="603"/>
    <n v="5.8062053495692822E-2"/>
    <n v="49284"/>
    <n v="20172"/>
    <n v="29112"/>
    <s v="unknown"/>
    <d v="2020-12-12T00:00:00"/>
    <s v="Has no high school or college education"/>
    <x v="0"/>
    <x v="2"/>
    <n v="25"/>
    <x v="0"/>
  </r>
  <r>
    <s v="e7f54b0a39641fb50d2bdd4653d6093c"/>
    <n v="8188"/>
    <n v="535"/>
    <n v="15.304672897196262"/>
    <n v="7.6907904006011371E-2"/>
    <s v="High Engagement"/>
    <n v="255"/>
    <n v="3.1143136297020028E-2"/>
    <n v="2.0170859041290935E-2"/>
    <n v="0.22069095619017304"/>
    <x v="1"/>
    <n v="112"/>
    <n v="15"/>
    <n v="415"/>
    <n v="1068"/>
    <n v="1005"/>
    <n v="2.6533430095568415E-2"/>
    <n v="22522"/>
    <n v="12655"/>
    <n v="9867"/>
    <s v="Switzerland"/>
    <d v="2018-09-27T00:00:00"/>
    <s v="Has no high school or college education"/>
    <x v="0"/>
    <x v="2"/>
    <n v="38"/>
    <x v="3"/>
  </r>
  <r>
    <s v="6d23ee63ff54b91c848f57b9da5586ae"/>
    <n v="1178"/>
    <n v="77"/>
    <n v="15.2987012987013"/>
    <n v="7.687789597337337E-2"/>
    <s v="High Engagement"/>
    <n v="20"/>
    <n v="1.6977928692699491E-2"/>
    <n v="1.5820281601012498E-3"/>
    <n v="0.16430543006559584"/>
    <x v="1"/>
    <n v="4"/>
    <n v="1"/>
    <n v="36"/>
    <n v="1755"/>
    <n v="1860"/>
    <n v="7.3855817986465851E-3"/>
    <n v="6269"/>
    <n v="1441"/>
    <n v="4828"/>
    <s v="unknown"/>
    <d v="2021-01-19T00:00:00"/>
    <s v="Has no high school or college education"/>
    <x v="0"/>
    <x v="2"/>
    <n v="31"/>
    <x v="3"/>
  </r>
  <r>
    <s v="9a2aa467dfd9d2ac51b1e79d231b0c00"/>
    <n v="183"/>
    <n v="12"/>
    <n v="15.25"/>
    <n v="7.6633165829145727E-2"/>
    <s v="High Engagement"/>
    <n v="27"/>
    <n v="0.14754098360655737"/>
    <n v="2.1357380161366873E-3"/>
    <n v="0.1650518036567106"/>
    <x v="1"/>
    <n v="6"/>
    <n v="5"/>
    <n v="171"/>
    <n v="486"/>
    <n v="348"/>
    <n v="7.5139959661457839E-3"/>
    <n v="6378"/>
    <n v="1235"/>
    <n v="5143"/>
    <s v="New Zealand"/>
    <d v="2020-09-19T00:00:00"/>
    <s v="Has no high school or college education"/>
    <x v="1"/>
    <x v="2"/>
    <n v="30"/>
    <x v="0"/>
  </r>
  <r>
    <s v="7c3d07e6212c7813e6eba01609815b68"/>
    <n v="13522"/>
    <n v="888"/>
    <n v="15.227477477477477"/>
    <n v="7.6519987324007416E-2"/>
    <s v="High Engagement"/>
    <n v="535"/>
    <n v="3.9565153083863332E-2"/>
    <n v="4.2319253282708434E-2"/>
    <n v="0.33674353182510725"/>
    <x v="1"/>
    <n v="208"/>
    <n v="22"/>
    <n v="1084"/>
    <n v="2951"/>
    <n v="2280"/>
    <n v="9.9065050611675559E-2"/>
    <n v="84088"/>
    <n v="71438"/>
    <n v="12650"/>
    <s v="unknown"/>
    <d v="2015-03-21T00:00:00"/>
    <s v="Has high school and/or college education"/>
    <x v="0"/>
    <x v="1"/>
    <n v="26"/>
    <x v="0"/>
  </r>
  <r>
    <s v="e2379c35029c6c397fb426b03a760fbb"/>
    <n v="20200"/>
    <n v="1330"/>
    <n v="15.18796992481203"/>
    <n v="7.6321456908603161E-2"/>
    <s v="High Engagement"/>
    <n v="390"/>
    <n v="1.9306930693069307E-2"/>
    <n v="3.0849549121974372E-2"/>
    <n v="0.27565329742806616"/>
    <x v="1"/>
    <n v="157"/>
    <n v="1"/>
    <n v="422"/>
    <n v="8579"/>
    <n v="8332"/>
    <n v="6.1311285366911085E-2"/>
    <n v="52042"/>
    <n v="27120"/>
    <n v="24922"/>
    <s v="Sweden"/>
    <d v="2014-11-16T00:00:00"/>
    <s v="Has high school and/or college education"/>
    <x v="0"/>
    <x v="2"/>
    <n v="33"/>
    <x v="3"/>
  </r>
  <r>
    <s v="5bd3d116a1fe0c31f7b03a8758f652d7"/>
    <n v="33791"/>
    <n v="2232"/>
    <n v="15.139336917562725"/>
    <n v="7.6077069937501129E-2"/>
    <s v="High Engagement"/>
    <n v="552"/>
    <n v="1.6335710692196147E-2"/>
    <n v="4.3663977218794496E-2"/>
    <n v="0.47286482979354355"/>
    <x v="1"/>
    <n v="86"/>
    <n v="140"/>
    <n v="2944"/>
    <n v="2703"/>
    <n v="2530"/>
    <n v="0.23338273548095229"/>
    <n v="198099"/>
    <n v="127981"/>
    <n v="70118"/>
    <s v="Canada"/>
    <d v="2014-01-15T00:00:00"/>
    <s v="Has high school and/or college education"/>
    <x v="0"/>
    <x v="2"/>
    <n v="23"/>
    <x v="0"/>
  </r>
  <r>
    <s v="1343910ac11737e06691b18484b28aea"/>
    <n v="3868"/>
    <n v="257"/>
    <n v="15.050583657587548"/>
    <n v="7.5631073656218836E-2"/>
    <s v="High Engagement"/>
    <n v="125"/>
    <n v="3.2316442605997933E-2"/>
    <n v="9.8876760006328113E-3"/>
    <n v="0.20624300910616716"/>
    <x v="1"/>
    <n v="28"/>
    <n v="36"/>
    <n v="291"/>
    <n v="834"/>
    <n v="1112"/>
    <n v="3.5205509792463854E-2"/>
    <n v="29883"/>
    <n v="739"/>
    <n v="29144"/>
    <s v="unknown"/>
    <d v="2018-07-15T00:00:00"/>
    <s v="Has no high school or college education"/>
    <x v="1"/>
    <x v="2"/>
    <n v="18"/>
    <x v="1"/>
  </r>
  <r>
    <s v="c97effa10b4dca25b7ca4f4ad9388706"/>
    <n v="1037"/>
    <n v="69"/>
    <n v="15.028985507246377"/>
    <n v="7.5522540237418986E-2"/>
    <s v="High Engagement"/>
    <n v="52"/>
    <n v="5.0144648023143681E-2"/>
    <n v="4.1132732162632493E-3"/>
    <n v="0.16350458198832429"/>
    <x v="1"/>
    <n v="21"/>
    <n v="0"/>
    <n v="85"/>
    <n v="472"/>
    <n v="378"/>
    <n v="4.2329550809598309E-3"/>
    <n v="3593"/>
    <n v="1149"/>
    <n v="2444"/>
    <s v="Denmark"/>
    <d v="2020-04-04T00:00:00"/>
    <s v="Has no high school or college education"/>
    <x v="0"/>
    <x v="2"/>
    <n v="24"/>
    <x v="0"/>
  </r>
  <r>
    <s v="ec0e38df7c51a68227d674b22a4e55f6"/>
    <n v="284"/>
    <n v="19"/>
    <n v="14.947368421052632"/>
    <n v="7.5112404125892623E-2"/>
    <s v="High Engagement"/>
    <n v="6"/>
    <n v="2.1126760563380281E-2"/>
    <n v="4.7460844803037496E-4"/>
    <n v="0.15236391789256334"/>
    <x v="1"/>
    <n v="0"/>
    <n v="0"/>
    <n v="25"/>
    <n v="153"/>
    <n v="147"/>
    <n v="1.1898927447173474E-3"/>
    <n v="1010"/>
    <n v="50"/>
    <n v="960"/>
    <s v="unknown"/>
    <d v="2020-02-28T00:00:00"/>
    <s v="Has no high school or college education"/>
    <x v="1"/>
    <x v="2"/>
    <n v="24"/>
    <x v="0"/>
  </r>
  <r>
    <s v="4bd6b41e863bcf347479da7b3e54527a"/>
    <n v="11401"/>
    <n v="765"/>
    <n v="14.903267973856209"/>
    <n v="7.4890793838473413E-2"/>
    <s v="High Engagement"/>
    <n v="38"/>
    <n v="3.3330409613191825E-3"/>
    <n v="3.0058535041923747E-3"/>
    <n v="0.23642207642365884"/>
    <x v="1"/>
    <n v="2"/>
    <n v="7"/>
    <n v="690"/>
    <n v="465"/>
    <n v="434"/>
    <n v="8.0628781738327271E-2"/>
    <n v="68439"/>
    <n v="51971"/>
    <n v="16468"/>
    <s v="unknown"/>
    <d v="2018-10-14T00:00:00"/>
    <s v="Has no high school or college education"/>
    <x v="0"/>
    <x v="58"/>
    <n v="26"/>
    <x v="0"/>
  </r>
  <r>
    <s v="a1a5de4adcc0da3cbf8af1aaf6305316"/>
    <n v="9285"/>
    <n v="628"/>
    <n v="14.785031847133759"/>
    <n v="7.4296642447908331E-2"/>
    <s v="High Engagement"/>
    <n v="971"/>
    <n v="0.10457727517501346"/>
    <n v="7.6807467172915672E-2"/>
    <n v="0.36644829011684354"/>
    <x v="1"/>
    <n v="226"/>
    <n v="102"/>
    <n v="2045"/>
    <n v="5790"/>
    <n v="8090"/>
    <n v="6.4240070875195565E-2"/>
    <n v="54528"/>
    <n v="4577"/>
    <n v="49951"/>
    <s v="USA"/>
    <d v="2019-01-04T00:00:00"/>
    <s v="Has no high school or college education"/>
    <x v="1"/>
    <x v="2"/>
    <n v="19"/>
    <x v="1"/>
  </r>
  <r>
    <s v="4bae60790120dc8892e04ab168e16874"/>
    <n v="1034"/>
    <n v="70"/>
    <n v="14.771428571428572"/>
    <n v="7.4228284278535533E-2"/>
    <s v="High Engagement"/>
    <n v="8"/>
    <n v="7.7369439071566732E-3"/>
    <n v="6.3281126404049991E-4"/>
    <n v="0.16251412714667776"/>
    <x v="1"/>
    <n v="3"/>
    <n v="1"/>
    <n v="55"/>
    <n v="15"/>
    <n v="18"/>
    <n v="1.2791936061525701E-2"/>
    <n v="10858"/>
    <n v="7183"/>
    <n v="3675"/>
    <s v="unknown"/>
    <d v="2021-01-02T00:00:00"/>
    <s v="Has no high school or college education"/>
    <x v="0"/>
    <x v="2"/>
    <n v="21"/>
    <x v="0"/>
  </r>
  <r>
    <s v="6c73b0892147c245d3aaa95dce174a04"/>
    <n v="9390"/>
    <n v="636"/>
    <n v="14.764150943396226"/>
    <n v="7.4191713283398117E-2"/>
    <s v="High Engagement"/>
    <n v="162"/>
    <n v="1.7252396166134186E-2"/>
    <n v="1.2814428096820124E-2"/>
    <n v="0.27097558222698753"/>
    <x v="1"/>
    <n v="65"/>
    <n v="17"/>
    <n v="766"/>
    <n v="816"/>
    <n v="724"/>
    <n v="9.6963299466551051E-2"/>
    <n v="82304"/>
    <n v="9285"/>
    <n v="73019"/>
    <s v="unknown"/>
    <d v="2019-03-18T00:00:00"/>
    <s v="Has no high school or college education"/>
    <x v="0"/>
    <x v="2"/>
    <n v="18"/>
    <x v="1"/>
  </r>
  <r>
    <s v="d330608bfc66cafd16397a1586d082d7"/>
    <n v="310"/>
    <n v="21"/>
    <n v="14.761904761904763"/>
    <n v="7.4180425939219918E-2"/>
    <s v="High Engagement"/>
    <n v="12"/>
    <n v="3.870967741935484E-2"/>
    <n v="9.4921689606074992E-4"/>
    <n v="0.15819740182294301"/>
    <x v="1"/>
    <n v="2"/>
    <n v="0"/>
    <n v="21"/>
    <n v="159"/>
    <n v="190"/>
    <n v="7.9381161523816701E-3"/>
    <n v="6738"/>
    <n v="51"/>
    <n v="6687"/>
    <s v="USA"/>
    <d v="2019-07-19T00:00:00"/>
    <s v="Has no high school or college education"/>
    <x v="1"/>
    <x v="2"/>
    <n v="18"/>
    <x v="1"/>
  </r>
  <r>
    <s v="78d303f4c054f427ee81da797474f894"/>
    <n v="2207"/>
    <n v="150"/>
    <n v="14.713333333333333"/>
    <n v="7.3936348408710217E-2"/>
    <s v="High Engagement"/>
    <n v="12"/>
    <n v="5.4372451291345722E-3"/>
    <n v="9.4921689606074992E-4"/>
    <n v="0.16326522120161374"/>
    <x v="1"/>
    <n v="1"/>
    <n v="0"/>
    <n v="16"/>
    <n v="106"/>
    <n v="58"/>
    <n v="1.3494090592071781E-2"/>
    <n v="11454"/>
    <n v="1994"/>
    <n v="9460"/>
    <s v="USA"/>
    <d v="2020-06-29T00:00:00"/>
    <s v="Has no high school or college education"/>
    <x v="0"/>
    <x v="2"/>
    <n v="39"/>
    <x v="3"/>
  </r>
  <r>
    <s v="19a0fb3d0ee7bc5d1d94f18c0adf587f"/>
    <n v="11575"/>
    <n v="793"/>
    <n v="14.596469104665825"/>
    <n v="7.3349090978220233E-2"/>
    <s v="High Engagement"/>
    <n v="363"/>
    <n v="3.1360691144708422E-2"/>
    <n v="2.8713811105837685E-2"/>
    <n v="0.44029241742705533"/>
    <x v="1"/>
    <n v="98"/>
    <n v="3"/>
    <n v="483"/>
    <n v="5380"/>
    <n v="3954"/>
    <n v="0.23616661325893951"/>
    <n v="200462"/>
    <n v="34364"/>
    <n v="166098"/>
    <s v="unknown"/>
    <d v="2018-10-10T00:00:00"/>
    <s v="Has no high school or college education"/>
    <x v="0"/>
    <x v="2"/>
    <n v="23"/>
    <x v="0"/>
  </r>
  <r>
    <s v="9c7021c01442dee08246ee559a6a2ff0"/>
    <n v="1093"/>
    <n v="75"/>
    <n v="14.573333333333334"/>
    <n v="7.323283082077052E-2"/>
    <s v="High Engagement"/>
    <n v="355"/>
    <n v="0.32479414455626715"/>
    <n v="2.8080999841797183E-2"/>
    <n v="0.21229406723642832"/>
    <x v="1"/>
    <n v="200"/>
    <n v="12"/>
    <n v="139"/>
    <n v="886"/>
    <n v="655"/>
    <n v="9.6664059112929069E-3"/>
    <n v="8205"/>
    <n v="7755"/>
    <n v="450"/>
    <s v="USA"/>
    <d v="2020-11-21T00:00:00"/>
    <s v="Has no high school or college education"/>
    <x v="0"/>
    <x v="89"/>
    <n v="20"/>
    <x v="1"/>
  </r>
  <r>
    <s v="d81b5d32c63759d8a91b6ca430e45748"/>
    <n v="2031"/>
    <n v="140"/>
    <n v="14.507142857142858"/>
    <n v="7.2900215362526929E-2"/>
    <s v="High Engagement"/>
    <n v="222"/>
    <n v="0.10930576070901034"/>
    <n v="1.7560512577123873E-2"/>
    <n v="0.19154802276776742"/>
    <x v="1"/>
    <n v="21"/>
    <n v="88"/>
    <n v="826"/>
    <n v="5"/>
    <n v="51"/>
    <n v="1.0626566888465815E-2"/>
    <n v="9020"/>
    <n v="956"/>
    <n v="8064"/>
    <s v="unknown"/>
    <d v="2014-03-08T00:00:00"/>
    <s v="Has high school and/or college education"/>
    <x v="1"/>
    <x v="2"/>
    <n v="17"/>
    <x v="1"/>
  </r>
  <r>
    <s v="b3bd98372fa6b9072cc52860581742b8"/>
    <n v="3463"/>
    <n v="239"/>
    <n v="14.489539748953975"/>
    <n v="7.2811757532432034E-2"/>
    <s v="High Engagement"/>
    <n v="85"/>
    <n v="2.4545192030031766E-2"/>
    <n v="6.723619680430312E-3"/>
    <n v="0.17277454888765753"/>
    <x v="1"/>
    <n v="18"/>
    <n v="16"/>
    <n v="99"/>
    <n v="817"/>
    <n v="1073"/>
    <n v="1.3703794461932857E-2"/>
    <n v="11632"/>
    <n v="149"/>
    <n v="11483"/>
    <s v="Germany"/>
    <d v="2020-01-29T00:00:00"/>
    <s v="Has no high school or college education"/>
    <x v="1"/>
    <x v="2"/>
    <n v="20"/>
    <x v="1"/>
  </r>
  <r>
    <s v="532f0eaeccfd3cfc16c3f19c01986d37"/>
    <n v="6905"/>
    <n v="477"/>
    <n v="14.475890985324948"/>
    <n v="7.2743170780527375E-2"/>
    <s v="High Engagement"/>
    <n v="624"/>
    <n v="9.0369297610427224E-2"/>
    <n v="4.9359278595158991E-2"/>
    <n v="0.30180042004220609"/>
    <x v="1"/>
    <n v="188"/>
    <n v="54"/>
    <n v="3316"/>
    <n v="3460"/>
    <n v="3279"/>
    <n v="5.7595521290833347E-2"/>
    <n v="48888"/>
    <n v="24371"/>
    <n v="24517"/>
    <s v="Norway"/>
    <d v="2016-01-01T00:00:00"/>
    <s v="Has high school and/or college education"/>
    <x v="0"/>
    <x v="1"/>
    <n v="18"/>
    <x v="1"/>
  </r>
  <r>
    <s v="8cbe2a81738420f023dea9b645ca9e22"/>
    <n v="101"/>
    <n v="7"/>
    <n v="14.428571428571429"/>
    <n v="7.2505384063173015E-2"/>
    <s v="High Engagement"/>
    <n v="58"/>
    <n v="0.57425742574257421"/>
    <n v="4.5878816642936247E-3"/>
    <n v="0.15835586850795771"/>
    <x v="1"/>
    <n v="16"/>
    <n v="3"/>
    <n v="61"/>
    <n v="210"/>
    <n v="190"/>
    <n v="4.1693370530244481E-3"/>
    <n v="3539"/>
    <n v="1276"/>
    <n v="2263"/>
    <s v="unknown"/>
    <d v="2021-03-26T00:00:00"/>
    <s v="Has no high school or college education"/>
    <x v="0"/>
    <x v="2"/>
    <n v="28"/>
    <x v="0"/>
  </r>
  <r>
    <s v="86796a0b4f7f6785e099cd08cd34b7fb"/>
    <n v="6417"/>
    <n v="445"/>
    <n v="14.420224719101123"/>
    <n v="7.2463440799503134E-2"/>
    <s v="High Engagement"/>
    <n v="143"/>
    <n v="2.228455664640798E-2"/>
    <n v="1.1311501344723937E-2"/>
    <n v="0.20717802513405553"/>
    <x v="1"/>
    <n v="37"/>
    <n v="14"/>
    <n v="643"/>
    <n v="1363"/>
    <n v="1684"/>
    <n v="3.9628140845601401E-2"/>
    <n v="33637"/>
    <n v="10466"/>
    <n v="23171"/>
    <s v="unknown"/>
    <d v="2018-04-07T00:00:00"/>
    <s v="Has no high school or college education"/>
    <x v="0"/>
    <x v="90"/>
    <n v="21"/>
    <x v="0"/>
  </r>
  <r>
    <s v="25de3b1499b09f9b6ea56ba12f29a095"/>
    <n v="532"/>
    <n v="37"/>
    <n v="14.378378378378379"/>
    <n v="7.2253157680293362E-2"/>
    <s v="High Engagement"/>
    <n v="56"/>
    <n v="0.10526315789473684"/>
    <n v="4.4296788482834993E-3"/>
    <n v="0.16143927204680519"/>
    <x v="1"/>
    <n v="14"/>
    <n v="0"/>
    <n v="90"/>
    <n v="311"/>
    <n v="204"/>
    <n v="8.073598989651468E-3"/>
    <n v="6853"/>
    <n v="1136"/>
    <n v="5717"/>
    <s v="USA"/>
    <d v="2019-07-02T00:00:00"/>
    <s v="Has no high school or college education"/>
    <x v="0"/>
    <x v="2"/>
    <n v="18"/>
    <x v="1"/>
  </r>
  <r>
    <s v="c14b20e3359eb533b170e46710cfd5bd"/>
    <n v="560"/>
    <n v="39"/>
    <n v="14.358974358974359"/>
    <n v="7.2155650045097289E-2"/>
    <s v="High Engagement"/>
    <n v="45"/>
    <n v="8.0357142857142863E-2"/>
    <n v="3.559563360227812E-3"/>
    <n v="0.17717334400354007"/>
    <x v="1"/>
    <n v="24"/>
    <n v="1"/>
    <n v="50"/>
    <n v="172"/>
    <n v="146"/>
    <n v="2.5742917192889861E-2"/>
    <n v="21851"/>
    <n v="6011"/>
    <n v="15840"/>
    <s v="USA"/>
    <d v="2020-10-16T00:00:00"/>
    <s v="Has no high school or college education"/>
    <x v="0"/>
    <x v="2"/>
    <n v="20"/>
    <x v="1"/>
  </r>
  <r>
    <s v="99e641413b4771ac8ebb80d69c0274a0"/>
    <n v="12186"/>
    <n v="849"/>
    <n v="14.353356890459365"/>
    <n v="7.2127421560097313E-2"/>
    <s v="High Engagement"/>
    <n v="250"/>
    <n v="2.0515345478417858E-2"/>
    <n v="1.9775352001265623E-2"/>
    <n v="0.35629876119974613"/>
    <x v="1"/>
    <n v="65"/>
    <n v="25"/>
    <n v="632"/>
    <n v="1230"/>
    <n v="1335"/>
    <n v="0.17249321407702023"/>
    <n v="146415"/>
    <n v="103751"/>
    <n v="42664"/>
    <s v="unknown"/>
    <d v="2015-07-13T00:00:00"/>
    <s v="Has high school and/or college education"/>
    <x v="0"/>
    <x v="91"/>
    <n v="19"/>
    <x v="1"/>
  </r>
  <r>
    <s v="24c9a152a0d39a615a389314c56bbf51"/>
    <n v="2569"/>
    <n v="179"/>
    <n v="14.351955307262569"/>
    <n v="7.2120378428455117E-2"/>
    <s v="High Engagement"/>
    <n v="410"/>
    <n v="0.15959517321915143"/>
    <n v="3.2431577282075623E-2"/>
    <n v="0.21795742030873561"/>
    <x v="1"/>
    <n v="35"/>
    <n v="124"/>
    <n v="552"/>
    <n v="9316"/>
    <n v="10464"/>
    <n v="8.8535088876741247E-3"/>
    <n v="7515"/>
    <n v="3531"/>
    <n v="3984"/>
    <s v="unknown"/>
    <d v="2020-07-01T00:00:00"/>
    <s v="Has no high school or college education"/>
    <x v="1"/>
    <x v="2"/>
    <n v="28"/>
    <x v="0"/>
  </r>
  <r>
    <s v="0b3b3b8ff62da70443889b8f02c43bbe"/>
    <n v="7787"/>
    <n v="543"/>
    <n v="14.340699815837937"/>
    <n v="7.2063818170039887E-2"/>
    <s v="High Engagement"/>
    <n v="345"/>
    <n v="4.4304610247848979E-2"/>
    <n v="2.7289985761746557E-2"/>
    <n v="0.3327661081745944"/>
    <x v="1"/>
    <n v="75"/>
    <n v="117"/>
    <n v="1486"/>
    <n v="1422"/>
    <n v="1328"/>
    <n v="0.13405850031102148"/>
    <n v="113791"/>
    <n v="34743"/>
    <n v="79048"/>
    <s v="USA"/>
    <d v="2019-05-20T00:00:00"/>
    <s v="Has no high school or college education"/>
    <x v="0"/>
    <x v="2"/>
    <n v="31"/>
    <x v="3"/>
  </r>
  <r>
    <s v="00b74e27ad1cbb2ded8e907fcc49eaaf"/>
    <n v="6839"/>
    <n v="477"/>
    <n v="14.337526205450734"/>
    <n v="7.204787037914942E-2"/>
    <s v="High Engagement"/>
    <n v="739"/>
    <n v="0.10805673344056149"/>
    <n v="5.8455940515741177E-2"/>
    <n v="0.31705039195433982"/>
    <x v="1"/>
    <n v="226"/>
    <n v="66"/>
    <n v="3408"/>
    <n v="3360"/>
    <n v="3261"/>
    <n v="5.6042770164558629E-2"/>
    <n v="47570"/>
    <n v="23341"/>
    <n v="24229"/>
    <s v="Norway"/>
    <d v="2016-01-01T00:00:00"/>
    <s v="Has high school and/or college education"/>
    <x v="0"/>
    <x v="2"/>
    <n v="40"/>
    <x v="3"/>
  </r>
  <r>
    <s v="b9c40e100cb37b69a548fa01f42822f5"/>
    <n v="6261"/>
    <n v="437"/>
    <n v="14.327231121281464"/>
    <n v="7.1996136287846554E-2"/>
    <s v="High Engagement"/>
    <n v="25"/>
    <n v="3.9929723686312089E-3"/>
    <n v="1.9775352001265623E-3"/>
    <n v="0.19709580389091483"/>
    <x v="1"/>
    <n v="2"/>
    <n v="1"/>
    <n v="68"/>
    <n v="469"/>
    <n v="499"/>
    <n v="4.9148460914968613E-2"/>
    <n v="41718"/>
    <n v="186"/>
    <n v="41532"/>
    <s v="United Kingdom"/>
    <d v="2019-07-06T00:00:00"/>
    <s v="Has no high school or college education"/>
    <x v="1"/>
    <x v="92"/>
    <n v="24"/>
    <x v="0"/>
  </r>
  <r>
    <s v="af571eb968ef03a34130778b447b77f9"/>
    <n v="7119"/>
    <n v="497"/>
    <n v="14.32394366197183"/>
    <n v="7.1979616391818241E-2"/>
    <s v="High Engagement"/>
    <n v="410"/>
    <n v="5.7592358477314226E-2"/>
    <n v="3.2431577282075623E-2"/>
    <n v="0.25685164221574497"/>
    <x v="1"/>
    <n v="196"/>
    <n v="65"/>
    <n v="1305"/>
    <n v="2415"/>
    <n v="2267"/>
    <n v="4.8029254867957248E-2"/>
    <n v="40768"/>
    <n v="38582"/>
    <n v="2186"/>
    <s v="unknown"/>
    <d v="2014-09-06T00:00:00"/>
    <s v="Has no high school or college education"/>
    <x v="0"/>
    <x v="2"/>
    <n v="20"/>
    <x v="1"/>
  </r>
  <r>
    <s v="2edb159ccdf73d8ecab52f59ccf89169"/>
    <n v="3663"/>
    <n v="257"/>
    <n v="14.252918287937744"/>
    <n v="7.1622704964511272E-2"/>
    <s v="High Engagement"/>
    <n v="304"/>
    <n v="8.2992082992082994E-2"/>
    <n v="2.4046828033538997E-2"/>
    <n v="0.27214103014380747"/>
    <x v="1"/>
    <n v="58"/>
    <n v="86"/>
    <n v="827"/>
    <n v="2282"/>
    <n v="3314"/>
    <n v="8.080196414770692E-2"/>
    <n v="68586"/>
    <n v="1562"/>
    <n v="67024"/>
    <s v="unknown"/>
    <d v="2019-12-27T00:00:00"/>
    <s v="Has no high school or college education"/>
    <x v="1"/>
    <x v="2"/>
    <n v="18"/>
    <x v="1"/>
  </r>
  <r>
    <s v="917a39fac991c4aada567defc42af19c"/>
    <n v="23828"/>
    <n v="1672"/>
    <n v="14.251196172248804"/>
    <n v="7.1614051116828156E-2"/>
    <s v="High Engagement"/>
    <n v="1269"/>
    <n v="5.3256672821890214E-2"/>
    <n v="0.10037968675842431"/>
    <n v="0.9036694327352931"/>
    <x v="0"/>
    <n v="426"/>
    <n v="201"/>
    <n v="5722"/>
    <n v="6935"/>
    <n v="8020"/>
    <n v="0.55968195698478818"/>
    <n v="475067"/>
    <n v="21079"/>
    <n v="453988"/>
    <s v="unknown"/>
    <d v="2014-06-03T00:00:00"/>
    <s v="Has high school and/or college education"/>
    <x v="1"/>
    <x v="93"/>
    <n v="20"/>
    <x v="1"/>
  </r>
  <r>
    <s v="75611bae5d243a12e2d46e904fcaa483"/>
    <n v="4043"/>
    <n v="284"/>
    <n v="14.235915492957746"/>
    <n v="7.1537263783707269E-2"/>
    <s v="High Engagement"/>
    <n v="118"/>
    <n v="2.9186247835765521E-2"/>
    <n v="9.3339661445973731E-3"/>
    <n v="0.2813349274821017"/>
    <x v="1"/>
    <n v="21"/>
    <n v="44"/>
    <n v="331"/>
    <n v="809"/>
    <n v="1083"/>
    <n v="0.11959246762549246"/>
    <n v="101512"/>
    <n v="959"/>
    <n v="100553"/>
    <s v="USA"/>
    <d v="2020-05-08T00:00:00"/>
    <s v="Has no high school or college education"/>
    <x v="1"/>
    <x v="94"/>
    <n v="34"/>
    <x v="3"/>
  </r>
  <r>
    <s v="21936b10efa4faf19cfc7573d663293b"/>
    <n v="6670"/>
    <n v="471"/>
    <n v="14.161358811040341"/>
    <n v="7.1162607090654972E-2"/>
    <s v="High Engagement"/>
    <n v="240"/>
    <n v="3.5982008995502246E-2"/>
    <n v="1.8984337921214997E-2"/>
    <n v="0.25627973383441272"/>
    <x v="1"/>
    <n v="36"/>
    <n v="9"/>
    <n v="292"/>
    <n v="5143"/>
    <n v="5080"/>
    <n v="7.5985843810672749E-2"/>
    <n v="64498"/>
    <n v="10804"/>
    <n v="53694"/>
    <s v="Brazil"/>
    <d v="2019-05-17T00:00:00"/>
    <s v="Has no high school or college education"/>
    <x v="0"/>
    <x v="2"/>
    <n v="18"/>
    <x v="1"/>
  </r>
  <r>
    <s v="b1e50f194d0031faf570569f5bd3740c"/>
    <n v="1515"/>
    <n v="107"/>
    <n v="14.158878504672897"/>
    <n v="7.11501432395623E-2"/>
    <s v="High Engagement"/>
    <n v="107"/>
    <n v="7.062706270627063E-2"/>
    <n v="8.4638506565416858E-3"/>
    <n v="0.17344308270088077"/>
    <x v="1"/>
    <n v="20"/>
    <n v="2"/>
    <n v="111"/>
    <n v="1682"/>
    <n v="1331"/>
    <n v="1.4215094908672787E-2"/>
    <n v="12066"/>
    <n v="4811"/>
    <n v="7255"/>
    <s v="unknown"/>
    <d v="2020-09-27T00:00:00"/>
    <s v="Has no high school or college education"/>
    <x v="0"/>
    <x v="3"/>
    <n v="31"/>
    <x v="3"/>
  </r>
  <r>
    <s v="6e44326de993a40e45268937de72d0b8"/>
    <n v="6206"/>
    <n v="440"/>
    <n v="14.104545454545455"/>
    <n v="7.0877112836911838E-2"/>
    <s v="High Engagement"/>
    <n v="21"/>
    <n v="3.3838221076377701E-3"/>
    <n v="1.6611295681063123E-3"/>
    <n v="0.21129224888611403"/>
    <x v="1"/>
    <n v="0"/>
    <n v="19"/>
    <n v="286"/>
    <n v="14"/>
    <n v="38"/>
    <n v="6.6215764076077738E-2"/>
    <n v="56205"/>
    <n v="27291"/>
    <n v="28914"/>
    <s v="Germany"/>
    <d v="2020-01-27T00:00:00"/>
    <s v="Has no high school or college education"/>
    <x v="0"/>
    <x v="2"/>
    <n v="21"/>
    <x v="0"/>
  </r>
  <r>
    <s v="6f8d4b4d6a07344e0ba1f5020f110cf7"/>
    <n v="12729"/>
    <n v="905"/>
    <n v="14.065193370165746"/>
    <n v="7.06793636691746E-2"/>
    <s v="High Engagement"/>
    <n v="144"/>
    <n v="1.1312750412444025E-2"/>
    <n v="1.1390602752728999E-2"/>
    <n v="0.24400176391202458"/>
    <x v="1"/>
    <n v="65"/>
    <n v="0"/>
    <n v="438"/>
    <n v="1180"/>
    <n v="1234"/>
    <n v="7.986183106821737E-2"/>
    <n v="67788"/>
    <n v="41299"/>
    <n v="26489"/>
    <s v="Ireland"/>
    <d v="2017-09-27T00:00:00"/>
    <s v="Has no high school or college education"/>
    <x v="0"/>
    <x v="95"/>
    <n v="24"/>
    <x v="0"/>
  </r>
  <r>
    <s v="0054c12d2889e9428e54a3fd06600bd3"/>
    <n v="4483"/>
    <n v="319"/>
    <n v="14.053291536050157"/>
    <n v="7.061955545753848E-2"/>
    <s v="High Engagement"/>
    <n v="159"/>
    <n v="3.546732099040821E-2"/>
    <n v="1.2577123872804937E-2"/>
    <n v="0.18282094720755682"/>
    <x v="1"/>
    <n v="35"/>
    <n v="53"/>
    <n v="303"/>
    <n v="615"/>
    <n v="544"/>
    <n v="1.6427588546869994E-2"/>
    <n v="13944"/>
    <n v="8177"/>
    <n v="5767"/>
    <s v="unknown"/>
    <d v="2016-08-11T00:00:00"/>
    <s v="Has high school and/or college education"/>
    <x v="0"/>
    <x v="2"/>
    <n v="22"/>
    <x v="0"/>
  </r>
  <r>
    <s v="927c25117389efc9ed400593fdfa4f39"/>
    <n v="13853"/>
    <n v="986"/>
    <n v="14.049695740365111"/>
    <n v="7.0601486132487998E-2"/>
    <s v="High Engagement"/>
    <n v="143"/>
    <n v="1.0322673789070959E-2"/>
    <n v="1.1311501344723937E-2"/>
    <n v="0.3024308080395684"/>
    <x v="1"/>
    <n v="65"/>
    <n v="4"/>
    <n v="115"/>
    <n v="413"/>
    <n v="208"/>
    <n v="0.13860483308514449"/>
    <n v="117650"/>
    <n v="49695"/>
    <n v="67955"/>
    <s v="USA"/>
    <d v="2015-12-28T00:00:00"/>
    <s v="Has high school and/or college education"/>
    <x v="0"/>
    <x v="2"/>
    <n v="30"/>
    <x v="0"/>
  </r>
  <r>
    <s v="9621a1584faba5aae6169514a71440e2"/>
    <n v="1152"/>
    <n v="82"/>
    <n v="14.048780487804878"/>
    <n v="7.0596886873391343E-2"/>
    <s v="High Engagement"/>
    <n v="556"/>
    <n v="0.4826388888888889"/>
    <n v="4.3980382850814743E-2"/>
    <n v="0.23984708058807025"/>
    <x v="1"/>
    <n v="187"/>
    <n v="1"/>
    <n v="595"/>
    <n v="3661"/>
    <n v="3455"/>
    <n v="1.0692541139658064E-2"/>
    <n v="9076"/>
    <n v="4579"/>
    <n v="4497"/>
    <s v="Czechia"/>
    <d v="2021-01-21T00:00:00"/>
    <s v="Has no high school or college education"/>
    <x v="0"/>
    <x v="2"/>
    <n v="22"/>
    <x v="0"/>
  </r>
  <r>
    <s v="5bb2027e35326f5ff77734c43cef8ebe"/>
    <n v="997"/>
    <n v="71"/>
    <n v="14.04225352112676"/>
    <n v="7.0564088045863116E-2"/>
    <s v="High Engagement"/>
    <n v="28"/>
    <n v="2.8084252758274825E-2"/>
    <n v="2.2148394241417496E-3"/>
    <n v="0.14886717050427806"/>
    <x v="1"/>
    <n v="12"/>
    <n v="3"/>
    <n v="76"/>
    <n v="124"/>
    <n v="132"/>
    <n v="3.3093155642683458E-3"/>
    <n v="2809"/>
    <n v="1486"/>
    <n v="1323"/>
    <s v="USA"/>
    <d v="2020-08-17T00:00:00"/>
    <s v="Has no high school or college education"/>
    <x v="0"/>
    <x v="2"/>
    <n v="19"/>
    <x v="1"/>
  </r>
  <r>
    <s v="879d7037342891ec4380dcfd065f73c0"/>
    <n v="24624"/>
    <n v="1754"/>
    <n v="14.038768529076396"/>
    <n v="7.0546575522996965E-2"/>
    <s v="High Engagement"/>
    <n v="2335"/>
    <n v="9.4826185834957763E-2"/>
    <n v="0.18470178769182091"/>
    <n v="0.95722369670352325"/>
    <x v="0"/>
    <n v="636"/>
    <n v="168"/>
    <n v="4956"/>
    <n v="7702"/>
    <n v="7874"/>
    <n v="0.44672697027388741"/>
    <n v="379189"/>
    <n v="13921"/>
    <n v="365268"/>
    <s v="Australia"/>
    <d v="2015-01-03T00:00:00"/>
    <s v="Has high school and/or college education"/>
    <x v="1"/>
    <x v="96"/>
    <n v="20"/>
    <x v="1"/>
  </r>
  <r>
    <s v="0f9ecf65b113bb8bbff9b1e997913eba"/>
    <n v="1818"/>
    <n v="130"/>
    <n v="13.984615384615385"/>
    <n v="7.0274449168921532E-2"/>
    <s v="High Engagement"/>
    <n v="37"/>
    <n v="2.0352035203520351E-2"/>
    <n v="2.9267520961873119E-3"/>
    <n v="0.2173094071107157"/>
    <x v="1"/>
    <n v="18"/>
    <n v="1"/>
    <n v="77"/>
    <n v="127"/>
    <n v="75"/>
    <n v="7.0907004580498006E-2"/>
    <n v="60187"/>
    <n v="12821"/>
    <n v="47366"/>
    <s v="Germany"/>
    <d v="2020-04-20T00:00:00"/>
    <s v="Has no high school or college education"/>
    <x v="0"/>
    <x v="2"/>
    <n v="23"/>
    <x v="0"/>
  </r>
  <r>
    <s v="ab6acb18b762737b0bbedf68011885b1"/>
    <n v="2333"/>
    <n v="167"/>
    <n v="13.970059880239521"/>
    <n v="7.0201305930851859E-2"/>
    <s v="High Engagement"/>
    <n v="94"/>
    <n v="4.0291470210030003E-2"/>
    <n v="7.4355323524758739E-3"/>
    <n v="0.17247646256503441"/>
    <x v="1"/>
    <n v="43"/>
    <n v="2"/>
    <n v="97"/>
    <n v="376"/>
    <n v="258"/>
    <n v="1.7202785998378919E-2"/>
    <n v="14602"/>
    <n v="7224"/>
    <n v="7378"/>
    <s v="unknown"/>
    <d v="2020-09-03T00:00:00"/>
    <s v="Has no high school or college education"/>
    <x v="0"/>
    <x v="2"/>
    <n v="24"/>
    <x v="0"/>
  </r>
  <r>
    <s v="8f8a4664e2aa864c7caac3985d0c3e17"/>
    <n v="765"/>
    <n v="55"/>
    <n v="13.909090909090908"/>
    <n v="6.9894929191411603E-2"/>
    <s v="High Engagement"/>
    <n v="16"/>
    <n v="2.0915032679738561E-2"/>
    <n v="1.2656225280809998E-3"/>
    <n v="0.15756351168765159"/>
    <x v="1"/>
    <n v="5"/>
    <n v="2"/>
    <n v="83"/>
    <n v="56"/>
    <n v="64"/>
    <n v="1.5242408248666378E-2"/>
    <n v="12938"/>
    <n v="1831"/>
    <n v="11107"/>
    <s v="United Kingdom"/>
    <d v="2019-07-14T00:00:00"/>
    <s v="Has no high school or college education"/>
    <x v="0"/>
    <x v="2"/>
    <n v="18"/>
    <x v="1"/>
  </r>
  <r>
    <s v="81dd31b1671eabeadf6e81dac069b6cb"/>
    <n v="8910"/>
    <n v="641"/>
    <n v="13.90015600624025"/>
    <n v="6.9850030182111805E-2"/>
    <s v="High Engagement"/>
    <n v="787"/>
    <n v="8.8327721661055E-2"/>
    <n v="6.225280809998418E-2"/>
    <n v="0.34127184873813782"/>
    <x v="1"/>
    <n v="286"/>
    <n v="1"/>
    <n v="1049"/>
    <n v="7683"/>
    <n v="6649"/>
    <n v="7.7066172173945832E-2"/>
    <n v="65415"/>
    <n v="35108"/>
    <n v="30307"/>
    <s v="unknown"/>
    <d v="2018-10-30T00:00:00"/>
    <s v="Has no high school or college education"/>
    <x v="0"/>
    <x v="2"/>
    <n v="20"/>
    <x v="1"/>
  </r>
  <r>
    <s v="331e904c2f25299315e7c1302537b6f9"/>
    <n v="569"/>
    <n v="41"/>
    <n v="13.878048780487806"/>
    <n v="6.9738938595416106E-2"/>
    <s v="High Engagement"/>
    <n v="36"/>
    <n v="6.32688927943761E-2"/>
    <n v="2.8476506881822496E-3"/>
    <n v="0.16686692609316231"/>
    <x v="1"/>
    <n v="5"/>
    <n v="7"/>
    <n v="19"/>
    <n v="193"/>
    <n v="127"/>
    <n v="2.1693747525965579E-2"/>
    <n v="18414"/>
    <n v="250"/>
    <n v="18164"/>
    <s v="unknown"/>
    <d v="2021-03-03T00:00:00"/>
    <s v="Has no high school or college education"/>
    <x v="0"/>
    <x v="2"/>
    <n v="25"/>
    <x v="0"/>
  </r>
  <r>
    <s v="42e7f8dfe8d07e007fe0246d1ee83304"/>
    <n v="3495"/>
    <n v="252"/>
    <n v="13.869047619047619"/>
    <n v="6.9693706628379995E-2"/>
    <s v="High Engagement"/>
    <n v="147"/>
    <n v="4.2060085836909872E-2"/>
    <n v="1.1627906976744186E-2"/>
    <n v="0.21406073112157897"/>
    <x v="1"/>
    <n v="46"/>
    <n v="1"/>
    <n v="332"/>
    <n v="1019"/>
    <n v="744"/>
    <n v="5.1417503911330605E-2"/>
    <n v="43644"/>
    <n v="24736"/>
    <n v="18908"/>
    <s v="Sweden"/>
    <d v="2019-07-31T00:00:00"/>
    <s v="Has no high school or college education"/>
    <x v="0"/>
    <x v="8"/>
    <n v="22"/>
    <x v="0"/>
  </r>
  <r>
    <s v="1c2f3d5f9d2ca312136fdf6e018a177d"/>
    <n v="1245"/>
    <n v="90"/>
    <n v="13.833333333333334"/>
    <n v="6.9514237855946404E-2"/>
    <s v="High Engagement"/>
    <n v="79"/>
    <n v="6.3453815261044183E-2"/>
    <n v="6.2490112323999366E-3"/>
    <n v="0.15300385015874768"/>
    <x v="1"/>
    <n v="34"/>
    <n v="1"/>
    <n v="87"/>
    <n v="289"/>
    <n v="207"/>
    <n v="1.4773519820550037E-3"/>
    <n v="1254"/>
    <n v="774"/>
    <n v="480"/>
    <s v="unknown"/>
    <d v="2019-10-06T00:00:00"/>
    <s v="Has no high school or college education"/>
    <x v="0"/>
    <x v="2"/>
    <n v="25"/>
    <x v="0"/>
  </r>
  <r>
    <s v="19b418ce85ee67f92141aa08ac81fe09"/>
    <n v="21545"/>
    <n v="1558"/>
    <n v="13.828626444159179"/>
    <n v="6.9490585146528533E-2"/>
    <s v="High Engagement"/>
    <n v="404"/>
    <n v="1.8751450452541191E-2"/>
    <n v="3.1956968834045245E-2"/>
    <n v="0.43279416735682341"/>
    <x v="1"/>
    <n v="77"/>
    <n v="61"/>
    <n v="1833"/>
    <n v="4344"/>
    <n v="4119"/>
    <n v="0.22989905939567587"/>
    <n v="195142"/>
    <n v="46365"/>
    <n v="148777"/>
    <s v="France"/>
    <d v="2015-07-21T00:00:00"/>
    <s v="Has high school and/or college education"/>
    <x v="0"/>
    <x v="2"/>
    <n v="24"/>
    <x v="0"/>
  </r>
  <r>
    <s v="2e66410a8038d8f049e16b764d09f59f"/>
    <n v="17452"/>
    <n v="1263"/>
    <n v="13.817893903404592"/>
    <n v="6.9436652780927602E-2"/>
    <s v="High Engagement"/>
    <n v="377"/>
    <n v="2.1602108640843456E-2"/>
    <n v="2.9821230817908558E-2"/>
    <n v="0.33530159592851622"/>
    <x v="1"/>
    <n v="64"/>
    <n v="154"/>
    <n v="1846"/>
    <n v="2688"/>
    <n v="3153"/>
    <n v="0.13678582873084391"/>
    <n v="116106"/>
    <n v="8568"/>
    <n v="107538"/>
    <s v="USA"/>
    <d v="2016-01-09T00:00:00"/>
    <s v="Has high school and/or college education"/>
    <x v="0"/>
    <x v="41"/>
    <n v="19"/>
    <x v="1"/>
  </r>
  <r>
    <s v="5a79f37a3076116084c636588910d101"/>
    <n v="400"/>
    <n v="29"/>
    <n v="13.793103448275861"/>
    <n v="6.9312077629526944E-2"/>
    <s v="High Engagement"/>
    <n v="23"/>
    <n v="5.7500000000000002E-2"/>
    <n v="1.8193323841164373E-3"/>
    <n v="0.14322887156260183"/>
    <x v="1"/>
    <n v="7"/>
    <n v="2"/>
    <n v="126"/>
    <n v="352"/>
    <n v="475"/>
    <n v="9.6605153531507417E-4"/>
    <n v="820"/>
    <n v="268"/>
    <n v="552"/>
    <s v="unknown"/>
    <d v="2020-12-21T00:00:00"/>
    <s v="Has no high school or college education"/>
    <x v="1"/>
    <x v="2"/>
    <n v="24"/>
    <x v="0"/>
  </r>
  <r>
    <s v="2dd520a7053f17e18761b70c395dbe53"/>
    <n v="1309"/>
    <n v="95"/>
    <n v="13.778947368421052"/>
    <n v="6.9240941549854537E-2"/>
    <s v="High Engagement"/>
    <n v="15"/>
    <n v="1.145912910618793E-2"/>
    <n v="1.1865211200759373E-3"/>
    <n v="0.15054371537209407"/>
    <x v="1"/>
    <n v="3"/>
    <n v="0"/>
    <n v="119"/>
    <n v="166"/>
    <n v="161"/>
    <n v="9.6887900322331338E-3"/>
    <n v="8224"/>
    <n v="4878"/>
    <n v="3346"/>
    <s v="unknown"/>
    <d v="2020-10-24T00:00:00"/>
    <s v="Has no high school or college education"/>
    <x v="0"/>
    <x v="2"/>
    <n v="25"/>
    <x v="0"/>
  </r>
  <r>
    <s v="8eb3b732db9c00778a6047a8dd05313e"/>
    <n v="922"/>
    <n v="67"/>
    <n v="13.761194029850746"/>
    <n v="6.9151728793219833E-2"/>
    <s v="High Engagement"/>
    <n v="16"/>
    <n v="1.735357917570499E-2"/>
    <n v="1.2656225280809998E-3"/>
    <n v="0.14658742172424011"/>
    <x v="1"/>
    <n v="0"/>
    <n v="0"/>
    <n v="53"/>
    <n v="396"/>
    <n v="323"/>
    <n v="5.7527190816384233E-3"/>
    <n v="4883"/>
    <n v="1663"/>
    <n v="3220"/>
    <s v="Italy"/>
    <d v="2020-08-31T00:00:00"/>
    <s v="Has no high school or college education"/>
    <x v="0"/>
    <x v="2"/>
    <n v="25"/>
    <x v="0"/>
  </r>
  <r>
    <s v="cde294f69662d61290d77d35c0e83d5e"/>
    <n v="13619"/>
    <n v="991"/>
    <n v="13.74268415741675"/>
    <n v="6.9058714358878143E-2"/>
    <s v="High Engagement"/>
    <n v="343"/>
    <n v="2.518540274616345E-2"/>
    <n v="2.7131782945736434E-2"/>
    <n v="0.28578404073465563"/>
    <x v="1"/>
    <n v="115"/>
    <n v="13"/>
    <n v="823"/>
    <n v="3862"/>
    <n v="4417"/>
    <n v="9.3403046125426478E-2"/>
    <n v="79282"/>
    <n v="54437"/>
    <n v="24845"/>
    <s v="United Kingdom"/>
    <d v="2015-07-01T00:00:00"/>
    <s v="Has high school and/or college education"/>
    <x v="0"/>
    <x v="2"/>
    <n v="20"/>
    <x v="1"/>
  </r>
  <r>
    <s v="df9f212778953af42299232ab4e32cba"/>
    <n v="1620"/>
    <n v="118"/>
    <n v="13.728813559322035"/>
    <n v="6.8989012860914745E-2"/>
    <s v="High Engagement"/>
    <n v="71"/>
    <n v="4.3827160493827164E-2"/>
    <n v="5.6161999683594366E-3"/>
    <n v="0.17907084299281162"/>
    <x v="1"/>
    <n v="13"/>
    <n v="15"/>
    <n v="186"/>
    <n v="683"/>
    <n v="644"/>
    <n v="2.9860417334263256E-2"/>
    <n v="25346"/>
    <n v="750"/>
    <n v="24596"/>
    <s v="unknown"/>
    <d v="2019-06-10T00:00:00"/>
    <s v="Has no high school or college education"/>
    <x v="1"/>
    <x v="2"/>
    <n v="18"/>
    <x v="1"/>
  </r>
  <r>
    <s v="619ffdfc9cc247fb06eef67753cde562"/>
    <n v="876"/>
    <n v="64"/>
    <n v="13.6875"/>
    <n v="6.8781407035175879E-2"/>
    <s v="High Engagement"/>
    <n v="40"/>
    <n v="4.5662100456621002E-2"/>
    <n v="3.1640563202024997E-3"/>
    <n v="0.16578613132518438"/>
    <x v="1"/>
    <n v="3"/>
    <n v="8"/>
    <n v="103"/>
    <n v="905"/>
    <n v="794"/>
    <n v="2.1895204614427625E-2"/>
    <n v="18585"/>
    <n v="239"/>
    <n v="18346"/>
    <s v="unknown"/>
    <d v="2020-08-04T00:00:00"/>
    <s v="Has no high school or college education"/>
    <x v="1"/>
    <x v="2"/>
    <n v="28"/>
    <x v="0"/>
  </r>
  <r>
    <s v="6b83141d06b457fb4e31acb4f1eb4f56"/>
    <n v="7423"/>
    <n v="544"/>
    <n v="13.645220588235293"/>
    <n v="6.8568947679574332E-2"/>
    <s v="High Engagement"/>
    <n v="196"/>
    <n v="2.6404418698639364E-2"/>
    <n v="1.5503875968992248E-2"/>
    <n v="0.28950646047690359"/>
    <x v="1"/>
    <n v="30"/>
    <n v="12"/>
    <n v="435"/>
    <n v="7549"/>
    <n v="6559"/>
    <n v="0.1213608131797704"/>
    <n v="103013"/>
    <n v="3397"/>
    <n v="99616"/>
    <s v="Finland"/>
    <d v="2016-03-27T00:00:00"/>
    <s v="Has high school and/or college education"/>
    <x v="1"/>
    <x v="97"/>
    <n v="35"/>
    <x v="3"/>
  </r>
  <r>
    <s v="66d6359183404315a1e90fdc4fa51fb2"/>
    <n v="2913"/>
    <n v="215"/>
    <n v="13.548837209302325"/>
    <n v="6.808460909197149E-2"/>
    <s v="High Engagement"/>
    <n v="31"/>
    <n v="1.0641949879848954E-2"/>
    <n v="2.4521436481569374E-3"/>
    <n v="0.18646614652378102"/>
    <x v="1"/>
    <n v="5"/>
    <n v="1"/>
    <n v="101"/>
    <n v="302"/>
    <n v="253"/>
    <n v="4.5392641043524154E-2"/>
    <n v="38530"/>
    <n v="15823"/>
    <n v="22707"/>
    <s v="unknown"/>
    <d v="2020-02-01T00:00:00"/>
    <s v="Has no high school or college education"/>
    <x v="0"/>
    <x v="2"/>
    <n v="24"/>
    <x v="0"/>
  </r>
  <r>
    <s v="a935f71ec678e425f019853362dda58d"/>
    <n v="4332"/>
    <n v="321"/>
    <n v="13.495327102803738"/>
    <n v="6.7815714084440898E-2"/>
    <s v="High Engagement"/>
    <n v="176"/>
    <n v="4.0627885503231764E-2"/>
    <n v="1.3921847808890999E-2"/>
    <n v="0.17049902531538144"/>
    <x v="1"/>
    <n v="68"/>
    <n v="1"/>
    <n v="182"/>
    <n v="848"/>
    <n v="934"/>
    <n v="7.0239015287176495E-3"/>
    <n v="5962"/>
    <n v="4033"/>
    <n v="1929"/>
    <s v="Germany"/>
    <d v="2020-04-19T00:00:00"/>
    <s v="Has no high school or college education"/>
    <x v="0"/>
    <x v="2"/>
    <n v="24"/>
    <x v="0"/>
  </r>
  <r>
    <s v="2de0d28b284e6704535f99daa1f35d0a"/>
    <n v="16438"/>
    <n v="1222"/>
    <n v="13.451718494271686"/>
    <n v="6.7596575348098931E-2"/>
    <s v="High Engagement"/>
    <n v="12"/>
    <n v="7.3001581700936856E-4"/>
    <n v="9.4921689606074992E-4"/>
    <n v="0.71135385098659465"/>
    <x v="0"/>
    <n v="7"/>
    <n v="0"/>
    <n v="26"/>
    <n v="130"/>
    <n v="124"/>
    <n v="0.57426226649827528"/>
    <n v="487443"/>
    <n v="3595"/>
    <n v="483848"/>
    <s v="Australia"/>
    <d v="2015-04-05T00:00:00"/>
    <s v="Has high school and/or college education"/>
    <x v="0"/>
    <x v="1"/>
    <n v="23"/>
    <x v="0"/>
  </r>
  <r>
    <s v="5a5e0899682e1b46edc0cc89145a7b3f"/>
    <n v="10463"/>
    <n v="778"/>
    <n v="13.448586118251928"/>
    <n v="6.7580834765085071E-2"/>
    <s v="High Engagement"/>
    <n v="310"/>
    <n v="2.9628213705438212E-2"/>
    <n v="2.4521436481569372E-2"/>
    <n v="0.22071657808170497"/>
    <x v="1"/>
    <n v="108"/>
    <n v="22"/>
    <n v="1461"/>
    <n v="4295"/>
    <n v="4097"/>
    <n v="3.6512035588396073E-2"/>
    <n v="30992"/>
    <n v="21944"/>
    <n v="9048"/>
    <s v="unknown"/>
    <d v="2018-02-11T00:00:00"/>
    <s v="Has no high school or college education"/>
    <x v="0"/>
    <x v="27"/>
    <n v="20"/>
    <x v="1"/>
  </r>
  <r>
    <s v="4bad274544c5e4f8f27b7aff1ecaeee5"/>
    <n v="2567"/>
    <n v="191"/>
    <n v="13.439790575916231"/>
    <n v="6.7536636059880556E-2"/>
    <s v="High Engagement"/>
    <n v="128"/>
    <n v="4.9863654070899883E-2"/>
    <n v="1.0124980224647999E-2"/>
    <n v="0.17827284709093227"/>
    <x v="1"/>
    <n v="58"/>
    <n v="8"/>
    <n v="216"/>
    <n v="579"/>
    <n v="482"/>
    <n v="2.2949614521875175E-2"/>
    <n v="19480"/>
    <n v="2357"/>
    <n v="17123"/>
    <s v="USA"/>
    <d v="2020-06-19T00:00:00"/>
    <s v="Has no high school or college education"/>
    <x v="0"/>
    <x v="2"/>
    <n v="27"/>
    <x v="0"/>
  </r>
  <r>
    <s v="4d4b3775d3c6ebe38e4c98aca0d64971"/>
    <n v="7130"/>
    <n v="535"/>
    <n v="13.327102803738319"/>
    <n v="6.6970365847931243E-2"/>
    <s v="High Engagement"/>
    <n v="596"/>
    <n v="8.359046283309958E-2"/>
    <n v="4.7144439171017245E-2"/>
    <n v="0.27826165467419034"/>
    <x v="1"/>
    <n v="144"/>
    <n v="39"/>
    <n v="1395"/>
    <n v="7209"/>
    <n v="7213"/>
    <n v="5.0032044636293377E-2"/>
    <n v="42468"/>
    <n v="20317"/>
    <n v="22151"/>
    <s v="USA"/>
    <d v="2019-07-11T00:00:00"/>
    <s v="Has no high school or college education"/>
    <x v="0"/>
    <x v="2"/>
    <n v="41"/>
    <x v="2"/>
  </r>
  <r>
    <s v="72f35c8a85258f1852321dfb29b729ec"/>
    <n v="10953"/>
    <n v="822"/>
    <n v="13.324817518248175"/>
    <n v="6.6958882001247111E-2"/>
    <s v="High Engagement"/>
    <n v="141"/>
    <n v="1.2873185428649686E-2"/>
    <n v="1.1153298528713811E-2"/>
    <n v="0.32753239483873847"/>
    <x v="1"/>
    <n v="55"/>
    <n v="13"/>
    <n v="702"/>
    <n v="503"/>
    <n v="490"/>
    <n v="0.17130803377881662"/>
    <n v="145409"/>
    <n v="16543"/>
    <n v="128866"/>
    <s v="unknown"/>
    <d v="2015-07-21T00:00:00"/>
    <s v="Has high school and/or college education"/>
    <x v="0"/>
    <x v="98"/>
    <n v="19"/>
    <x v="1"/>
  </r>
  <r>
    <s v="5861915cf3690b6a5c8e6ebebbc134de"/>
    <n v="14280"/>
    <n v="1076"/>
    <n v="13.271375464684015"/>
    <n v="6.6690328968261381E-2"/>
    <s v="High Engagement"/>
    <n v="357"/>
    <n v="2.5000000000000001E-2"/>
    <n v="2.823920265780731E-2"/>
    <n v="0.45694168186441614"/>
    <x v="1"/>
    <n v="83"/>
    <n v="15"/>
    <n v="644"/>
    <n v="6959"/>
    <n v="5022"/>
    <n v="0.26708261861227878"/>
    <n v="226704"/>
    <n v="86707"/>
    <n v="139997"/>
    <s v="unknown"/>
    <d v="2015-01-21T00:00:00"/>
    <s v="Has high school and/or college education"/>
    <x v="0"/>
    <x v="2"/>
    <n v="28"/>
    <x v="0"/>
  </r>
  <r>
    <s v="941d5b206c586b468779fa7ab2930117"/>
    <n v="4593"/>
    <n v="347"/>
    <n v="13.236311239193084"/>
    <n v="6.6514126830115997E-2"/>
    <s v="High Engagement"/>
    <n v="178"/>
    <n v="3.8754626605704334E-2"/>
    <n v="1.4080050624901124E-2"/>
    <n v="0.17943612592283326"/>
    <x v="1"/>
    <n v="50"/>
    <n v="2"/>
    <n v="258"/>
    <n v="4498"/>
    <n v="4121"/>
    <n v="1.8247771012799004E-2"/>
    <n v="15489"/>
    <n v="4338"/>
    <n v="11151"/>
    <s v="Belgium"/>
    <d v="2019-04-02T00:00:00"/>
    <s v="Has no high school or college education"/>
    <x v="0"/>
    <x v="2"/>
    <n v="29"/>
    <x v="0"/>
  </r>
  <r>
    <s v="6ae0dbc00043e894acb5b0596356ab37"/>
    <n v="6376"/>
    <n v="482"/>
    <n v="13.228215767634854"/>
    <n v="6.647344606851685E-2"/>
    <s v="High Engagement"/>
    <n v="300"/>
    <n v="4.7051442910915932E-2"/>
    <n v="2.3730422401518746E-2"/>
    <n v="0.25113331232979053"/>
    <x v="1"/>
    <n v="82"/>
    <n v="11"/>
    <n v="689"/>
    <n v="4704"/>
    <n v="4339"/>
    <n v="7.0725575389719325E-2"/>
    <n v="60033"/>
    <n v="28083"/>
    <n v="31950"/>
    <s v="Australia"/>
    <d v="2019-11-10T00:00:00"/>
    <s v="Has no high school or college education"/>
    <x v="0"/>
    <x v="80"/>
    <n v="23"/>
    <x v="0"/>
  </r>
  <r>
    <s v="048dd37565ad9cbc24c163ffedffbf58"/>
    <n v="2077"/>
    <n v="158"/>
    <n v="13.145569620253164"/>
    <n v="6.6058138795242027E-2"/>
    <s v="High Engagement"/>
    <n v="47"/>
    <n v="2.2628791526239769E-2"/>
    <n v="3.717766176237937E-3"/>
    <n v="0.15677933628553595"/>
    <x v="1"/>
    <n v="3"/>
    <n v="0"/>
    <n v="94"/>
    <n v="371"/>
    <n v="224"/>
    <n v="1.7227526342576013E-2"/>
    <n v="14623"/>
    <n v="6724"/>
    <n v="7899"/>
    <s v="Canada"/>
    <d v="2019-09-25T00:00:00"/>
    <s v="Has no high school or college education"/>
    <x v="0"/>
    <x v="2"/>
    <n v="21"/>
    <x v="0"/>
  </r>
  <r>
    <s v="a8f4e7b23ac4c66b8bce7b04bb9aeeb9"/>
    <n v="2458"/>
    <n v="187"/>
    <n v="13.144385026737968"/>
    <n v="6.6052186064009893E-2"/>
    <s v="High Engagement"/>
    <n v="1325"/>
    <n v="0.53905614320585837"/>
    <n v="0.1048093656067078"/>
    <n v="0.35317434836980433"/>
    <x v="1"/>
    <n v="212"/>
    <n v="988"/>
    <n v="2451"/>
    <n v="775"/>
    <n v="3111"/>
    <n v="1.1451245028368928E-2"/>
    <n v="9720"/>
    <n v="5077"/>
    <n v="4643"/>
    <s v="unknown"/>
    <d v="2020-09-20T00:00:00"/>
    <s v="Has no high school or college education"/>
    <x v="1"/>
    <x v="99"/>
    <n v="19"/>
    <x v="1"/>
  </r>
  <r>
    <s v="f2d07685c2e479d07cfb242599c77e89"/>
    <n v="4986"/>
    <n v="380"/>
    <n v="13.121052631578948"/>
    <n v="6.5934937847130393E-2"/>
    <s v="High Engagement"/>
    <n v="311"/>
    <n v="6.2374649017248297E-2"/>
    <n v="2.4600537889574434E-2"/>
    <n v="0.23424737604599075"/>
    <x v="1"/>
    <n v="62"/>
    <n v="12"/>
    <n v="730"/>
    <n v="2778"/>
    <n v="2131"/>
    <n v="5.3176424572581101E-2"/>
    <n v="45137"/>
    <n v="19515"/>
    <n v="25622"/>
    <s v="unknown"/>
    <d v="2017-05-25T00:00:00"/>
    <s v="Has high school and/or college education"/>
    <x v="0"/>
    <x v="2"/>
    <n v="31"/>
    <x v="3"/>
  </r>
  <r>
    <s v="58e9fbb5513486c5e10db8315ebba9c6"/>
    <n v="12314"/>
    <n v="939"/>
    <n v="13.11395101171459"/>
    <n v="6.5899251315148691E-2"/>
    <s v="High Engagement"/>
    <n v="643"/>
    <n v="5.2216988793243463E-2"/>
    <n v="5.0862205347255184E-2"/>
    <n v="0.38721346581203703"/>
    <x v="1"/>
    <n v="205"/>
    <n v="259"/>
    <n v="2611"/>
    <n v="1487"/>
    <n v="2048"/>
    <n v="0.15369055248722926"/>
    <n v="130455"/>
    <n v="24419"/>
    <n v="106036"/>
    <s v="USA"/>
    <d v="2018-08-01T00:00:00"/>
    <s v="Has no high school or college education"/>
    <x v="0"/>
    <x v="2"/>
    <n v="25"/>
    <x v="0"/>
  </r>
  <r>
    <s v="de0486af63fea1e8603ba21b10e04277"/>
    <n v="6684"/>
    <n v="510"/>
    <n v="13.105882352941176"/>
    <n v="6.5858705291161695E-2"/>
    <s v="High Engagement"/>
    <n v="564"/>
    <n v="8.4380610412926396E-2"/>
    <n v="4.4613194114855245E-2"/>
    <n v="0.25354450379403237"/>
    <x v="1"/>
    <n v="226"/>
    <n v="16"/>
    <n v="911"/>
    <n v="3861"/>
    <n v="4731"/>
    <n v="3.2600704981998456E-2"/>
    <n v="27672"/>
    <n v="11400"/>
    <n v="16272"/>
    <s v="unknown"/>
    <d v="2017-05-06T00:00:00"/>
    <s v="Has no high school or college education"/>
    <x v="0"/>
    <x v="100"/>
    <n v="27"/>
    <x v="0"/>
  </r>
  <r>
    <s v="8fba655babf1f120f65986570f0d9a55"/>
    <n v="366"/>
    <n v="28"/>
    <n v="13.071428571428571"/>
    <n v="6.5685570710696334E-2"/>
    <s v="High Engagement"/>
    <n v="34"/>
    <n v="9.2896174863387984E-2"/>
    <n v="2.6894478721721246E-3"/>
    <n v="0.13976011237638328"/>
    <x v="1"/>
    <n v="14"/>
    <n v="6"/>
    <n v="56"/>
    <n v="116"/>
    <n v="85"/>
    <n v="3.0100752106463594E-3"/>
    <n v="2555"/>
    <n v="2492"/>
    <n v="63"/>
    <s v="unknown"/>
    <d v="2021-03-15T00:00:00"/>
    <s v="Has no high school or college education"/>
    <x v="0"/>
    <x v="2"/>
    <n v="27"/>
    <x v="0"/>
  </r>
  <r>
    <s v="56211e6992c95697c1ddd176ab661210"/>
    <n v="5346"/>
    <n v="413"/>
    <n v="12.944309927360775"/>
    <n v="6.5046783554576756E-2"/>
    <s v="High Engagement"/>
    <n v="223"/>
    <n v="4.1713430602319489E-2"/>
    <n v="1.7639613985128935E-2"/>
    <n v="0.24046916461061721"/>
    <x v="1"/>
    <n v="69"/>
    <n v="14"/>
    <n v="426"/>
    <n v="920"/>
    <n v="1034"/>
    <n v="7.5096369531205825E-2"/>
    <n v="63743"/>
    <n v="19142"/>
    <n v="44601"/>
    <s v="USA"/>
    <d v="2019-09-04T00:00:00"/>
    <s v="Has no high school or college education"/>
    <x v="0"/>
    <x v="101"/>
    <n v="29"/>
    <x v="0"/>
  </r>
  <r>
    <s v="58788ed73c72f1642ed17ea17f35bb3e"/>
    <n v="2977"/>
    <n v="230"/>
    <n v="12.943478260869565"/>
    <n v="6.5042604325977707E-2"/>
    <s v="High Engagement"/>
    <n v="223"/>
    <n v="7.4907625125965743E-2"/>
    <n v="1.7639613985128935E-2"/>
    <n v="0.18623939656641791"/>
    <x v="1"/>
    <n v="111"/>
    <n v="17"/>
    <n v="773"/>
    <n v="964"/>
    <n v="857"/>
    <n v="2.0874959944204633E-2"/>
    <n v="17719"/>
    <n v="7093"/>
    <n v="10626"/>
    <s v="unknown"/>
    <d v="2020-06-09T00:00:00"/>
    <s v="Has no high school or college education"/>
    <x v="0"/>
    <x v="2"/>
    <n v="23"/>
    <x v="0"/>
  </r>
  <r>
    <s v="fa80d186a0ff64f0c1abde2d06ab7552"/>
    <n v="2058"/>
    <n v="159"/>
    <n v="12.943396226415095"/>
    <n v="6.504219209253817E-2"/>
    <s v="High Engagement"/>
    <n v="62"/>
    <n v="3.0126336248785229E-2"/>
    <n v="4.9042872963138747E-3"/>
    <n v="0.17929961463716007"/>
    <x v="1"/>
    <n v="10"/>
    <n v="2"/>
    <n v="221"/>
    <n v="892"/>
    <n v="771"/>
    <n v="3.9406655859455998E-2"/>
    <n v="33449"/>
    <n v="11007"/>
    <n v="22442"/>
    <s v="Sweden"/>
    <d v="2020-08-18T00:00:00"/>
    <s v="Has no high school or college education"/>
    <x v="0"/>
    <x v="3"/>
    <n v="25"/>
    <x v="0"/>
  </r>
  <r>
    <s v="00b113ee72d90509f1ae8589044076ee"/>
    <n v="8438"/>
    <n v="656"/>
    <n v="12.862804878048781"/>
    <n v="6.4637210442456183E-2"/>
    <s v="High Engagement"/>
    <n v="0"/>
    <n v="0"/>
    <n v="0"/>
    <n v="0.18108423596851117"/>
    <x v="1"/>
    <n v="0"/>
    <n v="0"/>
    <n v="2023"/>
    <n v="4793"/>
    <n v="4764"/>
    <n v="5.1809815083598804E-2"/>
    <n v="43977"/>
    <n v="15315"/>
    <n v="28662"/>
    <s v="Czechia"/>
    <d v="2018-06-10T00:00:00"/>
    <s v="Has no high school or college education"/>
    <x v="0"/>
    <x v="2"/>
    <n v="21"/>
    <x v="0"/>
  </r>
  <r>
    <s v="9fcc84cdacce689be974f21071a81cbd"/>
    <n v="11706"/>
    <n v="912"/>
    <n v="12.835526315789474"/>
    <n v="6.4500132240148111E-2"/>
    <s v="High Engagement"/>
    <n v="249"/>
    <n v="2.1271143003587904E-2"/>
    <n v="1.9696250593260561E-2"/>
    <n v="0.36781761156981635"/>
    <x v="1"/>
    <n v="142"/>
    <n v="8"/>
    <n v="435"/>
    <n v="768"/>
    <n v="798"/>
    <n v="0.199424845902999"/>
    <n v="169275"/>
    <n v="13931"/>
    <n v="155344"/>
    <s v="unknown"/>
    <d v="2015-10-14T00:00:00"/>
    <s v="Has high school and/or college education"/>
    <x v="0"/>
    <x v="3"/>
    <n v="23"/>
    <x v="0"/>
  </r>
  <r>
    <s v="0a5e3dd8489fe67485ddb7d6adb26ebd"/>
    <n v="3196"/>
    <n v="249"/>
    <n v="12.835341365461847"/>
    <n v="6.449920284151682E-2"/>
    <s v="High Engagement"/>
    <n v="303"/>
    <n v="9.4806007509386739E-2"/>
    <n v="2.3967726625533935E-2"/>
    <n v="0.19128208045678724"/>
    <x v="1"/>
    <n v="106"/>
    <n v="17"/>
    <n v="548"/>
    <n v="1291"/>
    <n v="1152"/>
    <n v="1.4348221522685717E-2"/>
    <n v="12179"/>
    <n v="6679"/>
    <n v="5500"/>
    <s v="unknown"/>
    <d v="2019-07-01T00:00:00"/>
    <s v="Has no high school or college education"/>
    <x v="0"/>
    <x v="2"/>
    <n v="21"/>
    <x v="0"/>
  </r>
  <r>
    <s v="d65ad983521008382fbd607f3a850f03"/>
    <n v="2899"/>
    <n v="226"/>
    <n v="12.827433628318584"/>
    <n v="6.4459465468937605E-2"/>
    <s v="High Engagement"/>
    <n v="122"/>
    <n v="4.2083477061055537E-2"/>
    <n v="9.650371776617624E-3"/>
    <n v="0.20795700272243503"/>
    <x v="1"/>
    <n v="38"/>
    <n v="3"/>
    <n v="260"/>
    <n v="908"/>
    <n v="1011"/>
    <n v="5.9737328231324577E-2"/>
    <n v="50706"/>
    <n v="4851"/>
    <n v="45855"/>
    <s v="USA"/>
    <d v="2020-03-21T00:00:00"/>
    <s v="Has no high school or college education"/>
    <x v="0"/>
    <x v="2"/>
    <n v="20"/>
    <x v="1"/>
  </r>
  <r>
    <s v="d2db2e8b2080136972bfd04aeb000cd2"/>
    <n v="2532"/>
    <n v="198"/>
    <n v="12.787878787878787"/>
    <n v="6.426069742652657E-2"/>
    <s v="High Engagement"/>
    <n v="98"/>
    <n v="3.8704581358609796E-2"/>
    <n v="7.7519379844961239E-3"/>
    <n v="0.15362570248214605"/>
    <x v="1"/>
    <n v="27"/>
    <n v="2"/>
    <n v="119"/>
    <n v="749"/>
    <n v="905"/>
    <n v="9.6004316601006577E-3"/>
    <n v="8149"/>
    <n v="3692"/>
    <n v="4457"/>
    <s v="unknown"/>
    <d v="2020-06-21T00:00:00"/>
    <s v="Has no high school or college education"/>
    <x v="0"/>
    <x v="2"/>
    <n v="30"/>
    <x v="0"/>
  </r>
  <r>
    <s v="6b2ef23737aee995f8469f0aee4b9c8a"/>
    <n v="932"/>
    <n v="73"/>
    <n v="12.767123287671232"/>
    <n v="6.4156398430508702E-2"/>
    <s v="High Engagement"/>
    <n v="128"/>
    <n v="0.13733905579399142"/>
    <n v="1.0124980224647999E-2"/>
    <n v="0.16676576008123195"/>
    <x v="1"/>
    <n v="33"/>
    <n v="70"/>
    <n v="137"/>
    <n v="153"/>
    <n v="258"/>
    <n v="1.8203002770918551E-2"/>
    <n v="15451"/>
    <n v="9081"/>
    <n v="6370"/>
    <s v="USA"/>
    <d v="2020-10-02T00:00:00"/>
    <s v="Has no high school or college education"/>
    <x v="0"/>
    <x v="3"/>
    <n v="24"/>
    <x v="0"/>
  </r>
  <r>
    <s v="5862323c0e2699aad17a79418a0709a6"/>
    <n v="14404"/>
    <n v="1132"/>
    <n v="12.724381625441696"/>
    <n v="6.394161620824973E-2"/>
    <s v="High Engagement"/>
    <n v="471"/>
    <n v="3.2699250208275479E-2"/>
    <n v="3.7256763170384434E-2"/>
    <n v="0.5476411933579356"/>
    <x v="1"/>
    <n v="223"/>
    <n v="52"/>
    <n v="1370"/>
    <n v="2593"/>
    <n v="2366"/>
    <n v="0.34524443460066728"/>
    <n v="293049"/>
    <n v="143093"/>
    <n v="149956"/>
    <s v="France"/>
    <d v="2016-07-14T00:00:00"/>
    <s v="Has no high school or college education"/>
    <x v="0"/>
    <x v="102"/>
    <n v="21"/>
    <x v="0"/>
  </r>
  <r>
    <s v="17ba997d0f1e58349429c1084729dfc5"/>
    <n v="3824"/>
    <n v="304"/>
    <n v="12.578947368421053"/>
    <n v="6.32107907960857E-2"/>
    <s v="High Engagement"/>
    <n v="95"/>
    <n v="2.4843096234309622E-2"/>
    <n v="7.5146337604809366E-3"/>
    <n v="0.15440065213286899"/>
    <x v="1"/>
    <n v="30"/>
    <n v="3"/>
    <n v="234"/>
    <n v="981"/>
    <n v="908"/>
    <n v="1.2949803019735726E-2"/>
    <n v="10992"/>
    <n v="4751"/>
    <n v="6241"/>
    <s v="unknown"/>
    <d v="2019-10-26T00:00:00"/>
    <s v="Has no high school or college education"/>
    <x v="0"/>
    <x v="3"/>
    <n v="23"/>
    <x v="0"/>
  </r>
  <r>
    <s v="8f509883c4f47d1257de9d39c39bb64e"/>
    <n v="3020"/>
    <n v="241"/>
    <n v="12.531120331950207"/>
    <n v="6.2970453929398026E-2"/>
    <s v="High Engagement"/>
    <n v="213"/>
    <n v="7.0529801324503316E-2"/>
    <n v="1.684859990507831E-2"/>
    <n v="0.1842523939218037"/>
    <x v="1"/>
    <n v="68"/>
    <n v="2"/>
    <n v="332"/>
    <n v="996"/>
    <n v="589"/>
    <n v="2.4614286252851031E-2"/>
    <n v="20893"/>
    <n v="15817"/>
    <n v="5076"/>
    <s v="USA"/>
    <d v="2020-06-05T00:00:00"/>
    <s v="Has no high school or college education"/>
    <x v="0"/>
    <x v="2"/>
    <n v="25"/>
    <x v="0"/>
  </r>
  <r>
    <s v="7f1f34b58bd31e248f37c68770a33136"/>
    <n v="19895"/>
    <n v="1588"/>
    <n v="12.528337531486146"/>
    <n v="6.2956470007468068E-2"/>
    <s v="High Engagement"/>
    <n v="1424"/>
    <n v="7.1575772807237995E-2"/>
    <n v="0.11264040499920899"/>
    <n v="0.51774339092492982"/>
    <x v="1"/>
    <n v="352"/>
    <n v="30"/>
    <n v="1755"/>
    <n v="7682"/>
    <n v="5493"/>
    <n v="0.16654964091157565"/>
    <n v="141370"/>
    <n v="139532"/>
    <n v="1838"/>
    <s v="USA"/>
    <d v="2013-05-20T00:00:00"/>
    <s v="Has high school and/or college education"/>
    <x v="0"/>
    <x v="103"/>
    <n v="19"/>
    <x v="1"/>
  </r>
  <r>
    <s v="a0c34ee01f3ed723eecf6b5b79accf11"/>
    <n v="1509"/>
    <n v="121"/>
    <n v="12.471074380165289"/>
    <n v="6.2668715478217535E-2"/>
    <s v="High Engagement"/>
    <n v="312"/>
    <n v="0.20675944333996024"/>
    <n v="2.4679639297579496E-2"/>
    <n v="0.19137052342880656"/>
    <x v="1"/>
    <n v="191"/>
    <n v="6"/>
    <n v="142"/>
    <n v="1035"/>
    <n v="872"/>
    <n v="1.6673813877212493E-2"/>
    <n v="14153"/>
    <n v="9102"/>
    <n v="5051"/>
    <s v="Czechia"/>
    <d v="2020-12-08T00:00:00"/>
    <s v="Has no high school or college education"/>
    <x v="0"/>
    <x v="104"/>
    <n v="23"/>
    <x v="0"/>
  </r>
  <r>
    <s v="735f47cf6ca1c55946fe1602e5db2340"/>
    <n v="1905"/>
    <n v="153"/>
    <n v="12.450980392156863"/>
    <n v="6.2567740664104837E-2"/>
    <s v="High Engagement"/>
    <n v="66"/>
    <n v="3.4645669291338582E-2"/>
    <n v="5.2206929283341247E-3"/>
    <n v="0.16028893670288891"/>
    <x v="1"/>
    <n v="11"/>
    <n v="19"/>
    <n v="224"/>
    <n v="674"/>
    <n v="546"/>
    <n v="2.4712069518010971E-2"/>
    <n v="20976"/>
    <n v="3237"/>
    <n v="17739"/>
    <s v="France"/>
    <d v="2019-01-21T00:00:00"/>
    <s v="Has no high school or college education"/>
    <x v="0"/>
    <x v="1"/>
    <n v="20"/>
    <x v="1"/>
  </r>
  <r>
    <s v="7d0bbc373433dd7c6a502abffb811fe1"/>
    <n v="236"/>
    <n v="19"/>
    <n v="12.421052631578947"/>
    <n v="6.2417349907431897E-2"/>
    <s v="High Engagement"/>
    <n v="11"/>
    <n v="4.6610169491525424E-2"/>
    <n v="8.7011548805568742E-4"/>
    <n v="0.13324657694279135"/>
    <x v="2"/>
    <n v="5"/>
    <n v="3"/>
    <n v="5"/>
    <n v="39"/>
    <n v="41"/>
    <n v="6.6716461518161766E-3"/>
    <n v="5663"/>
    <n v="482"/>
    <n v="5181"/>
    <s v="Switzerland"/>
    <d v="2021-03-26T00:00:00"/>
    <s v="Has no high school or college education"/>
    <x v="0"/>
    <x v="105"/>
    <n v="31"/>
    <x v="3"/>
  </r>
  <r>
    <s v="4bc492e5a9626a4ba3e2ee8dcf7c73b1"/>
    <n v="7069"/>
    <n v="571"/>
    <n v="12.380035026269702"/>
    <n v="6.2211231287787445E-2"/>
    <s v="High Engagement"/>
    <n v="176"/>
    <n v="2.4897439524685247E-2"/>
    <n v="1.3921847808890999E-2"/>
    <n v="0.26442238522018013"/>
    <x v="1"/>
    <n v="59"/>
    <n v="10"/>
    <n v="231"/>
    <n v="1153"/>
    <n v="1044"/>
    <n v="0.11215622702682325"/>
    <n v="95200"/>
    <n v="15722"/>
    <n v="79478"/>
    <s v="Greece"/>
    <d v="2019-01-11T00:00:00"/>
    <s v="Has no high school or college education"/>
    <x v="0"/>
    <x v="2"/>
    <n v="18"/>
    <x v="1"/>
  </r>
  <r>
    <s v="58176e5c0af83a48a99dbac8df9eabcf"/>
    <n v="17171"/>
    <n v="1387"/>
    <n v="12.379956741167989"/>
    <n v="6.2210837895316527E-2"/>
    <s v="High Engagement"/>
    <n v="1076"/>
    <n v="6.2663793605497647E-2"/>
    <n v="8.5113115013447233E-2"/>
    <n v="0.63722156135653718"/>
    <x v="0"/>
    <n v="485"/>
    <n v="149"/>
    <n v="1668"/>
    <n v="4808"/>
    <n v="5879"/>
    <n v="0.34257365553900965"/>
    <n v="290782"/>
    <n v="155456"/>
    <n v="135326"/>
    <s v="United Kingdom"/>
    <d v="2014-02-02T00:00:00"/>
    <s v="Has high school and/or college education"/>
    <x v="0"/>
    <x v="2"/>
    <n v="25"/>
    <x v="0"/>
  </r>
  <r>
    <s v="970f31114023669ea030aa2d5d806671"/>
    <n v="10001"/>
    <n v="809"/>
    <n v="12.362175525339925"/>
    <n v="6.212148505195942E-2"/>
    <s v="High Engagement"/>
    <n v="157"/>
    <n v="1.56984301569843E-2"/>
    <n v="1.2418921056794811E-2"/>
    <n v="0.2902032698526143"/>
    <x v="1"/>
    <n v="49"/>
    <n v="17"/>
    <n v="468"/>
    <n v="1303"/>
    <n v="1272"/>
    <n v="0.14112245763510584"/>
    <n v="119787"/>
    <n v="47163"/>
    <n v="72624"/>
    <s v="Australia"/>
    <d v="2014-07-17T00:00:00"/>
    <s v="Has high school and/or college education"/>
    <x v="0"/>
    <x v="2"/>
    <n v="29"/>
    <x v="0"/>
  </r>
  <r>
    <s v="70713028344f515a384235d571dfff88"/>
    <n v="1159"/>
    <n v="94"/>
    <n v="12.329787234042554"/>
    <n v="6.1958729819309319E-2"/>
    <s v="High Engagement"/>
    <n v="9"/>
    <n v="7.7653149266609144E-3"/>
    <n v="7.1191267204556241E-4"/>
    <n v="0.12955067783110094"/>
    <x v="2"/>
    <n v="1"/>
    <n v="0"/>
    <n v="24"/>
    <n v="359"/>
    <n v="198"/>
    <n v="4.2093928483911709E-3"/>
    <n v="3573"/>
    <n v="1053"/>
    <n v="2520"/>
    <s v="unknown"/>
    <d v="2020-05-04T00:00:00"/>
    <s v="Has no high school or college education"/>
    <x v="0"/>
    <x v="2"/>
    <n v="26"/>
    <x v="0"/>
  </r>
  <r>
    <s v="e521c6f902062cf4f7ca12a49f9266a2"/>
    <n v="4426"/>
    <n v="361"/>
    <n v="12.260387811634349"/>
    <n v="6.1609989003187683E-2"/>
    <s v="High Engagement"/>
    <n v="135"/>
    <n v="3.0501581563488478E-2"/>
    <n v="1.0678690080683437E-2"/>
    <n v="0.15379136921371686"/>
    <x v="1"/>
    <n v="11"/>
    <n v="1"/>
    <n v="226"/>
    <n v="3311"/>
    <n v="3435"/>
    <n v="9.214011045974628E-3"/>
    <n v="7821"/>
    <n v="2078"/>
    <n v="5743"/>
    <s v="Romania"/>
    <d v="2019-10-10T00:00:00"/>
    <s v="Has no high school or college education"/>
    <x v="0"/>
    <x v="106"/>
    <n v="27"/>
    <x v="0"/>
  </r>
  <r>
    <s v="7758c9e89c52141ab8704233ab7be33e"/>
    <n v="527"/>
    <n v="43"/>
    <n v="12.255813953488373"/>
    <n v="6.1587004791398857E-2"/>
    <s v="High Engagement"/>
    <n v="7"/>
    <n v="1.3282732447817837E-2"/>
    <n v="5.5370985603543741E-4"/>
    <n v="0.13138897674920499"/>
    <x v="2"/>
    <n v="0"/>
    <n v="0"/>
    <n v="11"/>
    <n v="174"/>
    <n v="159"/>
    <n v="7.1075474543363937E-3"/>
    <n v="6033"/>
    <n v="1027"/>
    <n v="5006"/>
    <s v="unknown"/>
    <d v="2021-02-07T00:00:00"/>
    <s v="Has no high school or college education"/>
    <x v="0"/>
    <x v="2"/>
    <n v="25"/>
    <x v="0"/>
  </r>
  <r>
    <s v="94400c76b2a67e2f4fd4c7c21c1b4b2e"/>
    <n v="5799"/>
    <n v="475"/>
    <n v="12.208421052631579"/>
    <n v="6.1348849510711449E-2"/>
    <s v="High Engagement"/>
    <n v="252"/>
    <n v="4.3455768235902741E-2"/>
    <n v="1.9933554817275746E-2"/>
    <n v="0.27946411309886898"/>
    <x v="1"/>
    <n v="80"/>
    <n v="62"/>
    <n v="957"/>
    <n v="920"/>
    <n v="946"/>
    <n v="0.11689930444289458"/>
    <n v="99226"/>
    <n v="14819"/>
    <n v="84407"/>
    <s v="Germany"/>
    <d v="2019-12-07T00:00:00"/>
    <s v="Has no high school or college education"/>
    <x v="0"/>
    <x v="2"/>
    <n v="22"/>
    <x v="0"/>
  </r>
  <r>
    <s v="38fb5e8645dae72a9a41b9152355d110"/>
    <n v="962"/>
    <n v="79"/>
    <n v="12.177215189873417"/>
    <n v="6.1192036130017169E-2"/>
    <s v="High Engagement"/>
    <n v="29"/>
    <n v="3.0145530145530147E-2"/>
    <n v="2.2939408321468123E-3"/>
    <n v="0.13787773326873243"/>
    <x v="1"/>
    <n v="7"/>
    <n v="2"/>
    <n v="81"/>
    <n v="270"/>
    <n v="164"/>
    <n v="1.0905779344404442E-2"/>
    <n v="9257"/>
    <n v="4848"/>
    <n v="4409"/>
    <s v="Austria"/>
    <d v="2019-06-16T00:00:00"/>
    <s v="Has no high school or college education"/>
    <x v="0"/>
    <x v="107"/>
    <n v="27"/>
    <x v="0"/>
  </r>
  <r>
    <s v="c79296907b699ef5c9eb82130c5ee63a"/>
    <n v="14133"/>
    <n v="1162"/>
    <n v="12.162650602409638"/>
    <n v="6.1118847248289636E-2"/>
    <s v="High Engagement"/>
    <n v="293"/>
    <n v="2.0731621028797848E-2"/>
    <n v="2.317671254548331E-2"/>
    <n v="0.40864550122031434"/>
    <x v="1"/>
    <n v="117"/>
    <n v="15"/>
    <n v="417"/>
    <n v="2298"/>
    <n v="2151"/>
    <n v="0.24005438163276846"/>
    <n v="203762"/>
    <n v="14803"/>
    <n v="188959"/>
    <s v="unknown"/>
    <d v="2017-08-09T00:00:00"/>
    <s v="Has high school and/or college education"/>
    <x v="0"/>
    <x v="108"/>
    <n v="29"/>
    <x v="0"/>
  </r>
  <r>
    <s v="72bbe06cfd45e7607593a2b21038eccc"/>
    <n v="4950"/>
    <n v="408"/>
    <n v="12.132352941176471"/>
    <n v="6.0966597694354127E-2"/>
    <s v="High Engagement"/>
    <n v="157"/>
    <n v="3.171717171717172E-2"/>
    <n v="1.2418921056794811E-2"/>
    <n v="0.25916170874317929"/>
    <x v="1"/>
    <n v="52"/>
    <n v="5"/>
    <n v="249"/>
    <n v="1294"/>
    <n v="1054"/>
    <n v="0.11239067124088141"/>
    <n v="95399"/>
    <n v="26936"/>
    <n v="68463"/>
    <s v="United Kingdom"/>
    <d v="2018-09-13T00:00:00"/>
    <s v="Has no high school or college education"/>
    <x v="0"/>
    <x v="2"/>
    <n v="24"/>
    <x v="0"/>
  </r>
  <r>
    <s v="d904d98bfa0e558f6d47b5c40fee7a21"/>
    <n v="15672"/>
    <n v="1296"/>
    <n v="12.092592592592593"/>
    <n v="6.0766796947701478E-2"/>
    <s v="High Engagement"/>
    <n v="1271"/>
    <n v="8.1100051046452265E-2"/>
    <n v="0.10053788957443442"/>
    <n v="0.38168224631716019"/>
    <x v="1"/>
    <n v="591"/>
    <n v="21"/>
    <n v="3397"/>
    <n v="9533"/>
    <n v="8078"/>
    <n v="5.9072873272888356E-2"/>
    <n v="50142"/>
    <n v="20221"/>
    <n v="29921"/>
    <s v="unknown"/>
    <d v="2013-05-01T00:00:00"/>
    <s v="Has high school and/or college education"/>
    <x v="0"/>
    <x v="2"/>
    <n v="22"/>
    <x v="0"/>
  </r>
  <r>
    <s v="437683797fd8a178cdc138677bfe39e8"/>
    <n v="3304"/>
    <n v="274"/>
    <n v="12.058394160583942"/>
    <n v="6.0594945530572576E-2"/>
    <s v="High Engagement"/>
    <n v="80"/>
    <n v="2.4213075060532687E-2"/>
    <n v="6.3281126404049993E-3"/>
    <n v="0.16427320536949469"/>
    <x v="1"/>
    <n v="33"/>
    <n v="8"/>
    <n v="307"/>
    <n v="358"/>
    <n v="434"/>
    <n v="3.0427089027539538E-2"/>
    <n v="25827"/>
    <n v="3661"/>
    <n v="22166"/>
    <s v="USA"/>
    <d v="2019-05-30T00:00:00"/>
    <s v="Has no high school or college education"/>
    <x v="0"/>
    <x v="2"/>
    <n v="21"/>
    <x v="0"/>
  </r>
  <r>
    <s v="2057ea510896a025db5790675c90b7d6"/>
    <n v="17302"/>
    <n v="1437"/>
    <n v="12.040361864996521"/>
    <n v="6.0504330979882018E-2"/>
    <s v="High Engagement"/>
    <n v="1580"/>
    <n v="9.1318922667899663E-2"/>
    <n v="0.12498022464799874"/>
    <n v="0.48547802720456551"/>
    <x v="1"/>
    <n v="498"/>
    <n v="297"/>
    <n v="5075"/>
    <n v="7538"/>
    <n v="8674"/>
    <n v="0.11450891594880398"/>
    <n v="97197"/>
    <n v="52133"/>
    <n v="45064"/>
    <s v="unknown"/>
    <d v="2015-11-15T00:00:00"/>
    <s v="Has high school and/or college education"/>
    <x v="0"/>
    <x v="2"/>
    <n v="19"/>
    <x v="1"/>
  </r>
  <r>
    <s v="2f64cbb8138f85660138d63ece54e2ae"/>
    <n v="18466"/>
    <n v="1534"/>
    <n v="12.03780964797914"/>
    <n v="6.0491505768739399E-2"/>
    <s v="High Engagement"/>
    <n v="1071"/>
    <n v="5.7998483699772556E-2"/>
    <n v="8.4717607973421927E-2"/>
    <n v="0.54567378345876238"/>
    <x v="1"/>
    <n v="521"/>
    <n v="82"/>
    <n v="2866"/>
    <n v="3158"/>
    <n v="3312"/>
    <n v="0.25525555597443966"/>
    <n v="216665"/>
    <n v="146164"/>
    <n v="70501"/>
    <s v="Portugal"/>
    <d v="2014-07-30T00:00:00"/>
    <s v="Has high school and/or college education"/>
    <x v="0"/>
    <x v="16"/>
    <n v="21"/>
    <x v="0"/>
  </r>
  <r>
    <s v="4a34edb0b86d4e4483d818b46a859251"/>
    <n v="4459"/>
    <n v="371"/>
    <n v="12.018867924528301"/>
    <n v="6.0396321228785431E-2"/>
    <s v="High Engagement"/>
    <n v="289"/>
    <n v="6.4812738282126039E-2"/>
    <n v="2.2860306913463059E-2"/>
    <n v="0.19280988594275034"/>
    <x v="1"/>
    <n v="65"/>
    <n v="24"/>
    <n v="1284"/>
    <n v="3128"/>
    <n v="2642"/>
    <n v="2.6296629658253377E-2"/>
    <n v="22321"/>
    <n v="10861"/>
    <n v="11460"/>
    <s v="unknown"/>
    <d v="2019-08-29T00:00:00"/>
    <s v="Has no high school or college education"/>
    <x v="0"/>
    <x v="2"/>
    <n v="20"/>
    <x v="1"/>
  </r>
  <r>
    <s v="1a797d0c68e3f3800298f08173b9f147"/>
    <n v="574"/>
    <n v="48"/>
    <n v="11.958333333333334"/>
    <n v="6.0092127303182585E-2"/>
    <s v="High Engagement"/>
    <n v="24"/>
    <n v="4.1811846689895474E-2"/>
    <n v="1.8984337921214998E-3"/>
    <n v="0.13959699182548782"/>
    <x v="1"/>
    <n v="5"/>
    <n v="0"/>
    <n v="40"/>
    <n v="427"/>
    <n v="648"/>
    <n v="1.5615869634879645E-2"/>
    <n v="13255"/>
    <n v="5296"/>
    <n v="7959"/>
    <s v="Brazil"/>
    <d v="2020-03-30T00:00:00"/>
    <s v="Has no high school or college education"/>
    <x v="0"/>
    <x v="2"/>
    <n v="21"/>
    <x v="0"/>
  </r>
  <r>
    <s v="ba45ff4ae887b04bfda9df0caa04d497"/>
    <n v="15892"/>
    <n v="1329"/>
    <n v="11.957863054928518"/>
    <n v="6.0089764095118181E-2"/>
    <s v="High Engagement"/>
    <n v="1276"/>
    <n v="8.0291970802919707E-2"/>
    <n v="0.10093339661445974"/>
    <n v="0.4107887579425013"/>
    <x v="1"/>
    <n v="106"/>
    <n v="21"/>
    <n v="1890"/>
    <n v="22643"/>
    <n v="14231"/>
    <n v="8.8742436523345458E-2"/>
    <n v="75326"/>
    <n v="73793"/>
    <n v="1533"/>
    <s v="unknown"/>
    <d v="2015-08-20T00:00:00"/>
    <s v="Has no high school or college education"/>
    <x v="0"/>
    <x v="2"/>
    <n v="23"/>
    <x v="0"/>
  </r>
  <r>
    <s v="6ccffaff307121aee75e2e6c19d53e22"/>
    <n v="1195"/>
    <n v="100"/>
    <n v="11.95"/>
    <n v="6.0050251256281405E-2"/>
    <s v="High Engagement"/>
    <n v="215"/>
    <n v="0.1799163179916318"/>
    <n v="1.7006802721088437E-2"/>
    <n v="0.16272728207021347"/>
    <x v="1"/>
    <n v="40"/>
    <n v="105"/>
    <n v="429"/>
    <n v="641"/>
    <n v="1286"/>
    <n v="8.6131741154737897E-3"/>
    <n v="7311"/>
    <n v="794"/>
    <n v="6517"/>
    <s v="Canada"/>
    <d v="2020-09-02T00:00:00"/>
    <s v="Has no high school or college education"/>
    <x v="1"/>
    <x v="79"/>
    <n v="22"/>
    <x v="0"/>
  </r>
  <r>
    <s v="d7ca129d2d6ee9a14f11a8496d78ea00"/>
    <n v="1857"/>
    <n v="156"/>
    <n v="11.903846153846153"/>
    <n v="5.9818322381136449E-2"/>
    <s v="High Engagement"/>
    <n v="52"/>
    <n v="2.8002154011847066E-2"/>
    <n v="4.1132732162632493E-3"/>
    <n v="0.1308320324984506"/>
    <x v="2"/>
    <n v="20"/>
    <n v="1"/>
    <n v="142"/>
    <n v="273"/>
    <n v="243"/>
    <n v="2.9688413036512034E-3"/>
    <n v="2520"/>
    <n v="1907"/>
    <n v="613"/>
    <s v="Sweden"/>
    <d v="2020-09-21T00:00:00"/>
    <s v="Has no high school or college education"/>
    <x v="0"/>
    <x v="1"/>
    <n v="24"/>
    <x v="0"/>
  </r>
  <r>
    <s v="334f4695dec01d2bab772868c9695b86"/>
    <n v="23833"/>
    <n v="2005"/>
    <n v="11.886783042394015"/>
    <n v="5.9732578102482489E-2"/>
    <s v="High Engagement"/>
    <n v="1655"/>
    <n v="6.9441530650778335E-2"/>
    <n v="0.13091283024837841"/>
    <n v="0.66743174712716147"/>
    <x v="0"/>
    <n v="728"/>
    <n v="297"/>
    <n v="4400"/>
    <n v="3731"/>
    <n v="2998"/>
    <n v="0.28614093042543964"/>
    <n v="242881"/>
    <n v="102575"/>
    <n v="140306"/>
    <s v="USA"/>
    <d v="2014-03-12T00:00:00"/>
    <s v="Has no high school or college education"/>
    <x v="0"/>
    <x v="2"/>
    <n v="18"/>
    <x v="1"/>
  </r>
  <r>
    <s v="703bd2a713157be3ee868b6c70ca0b62"/>
    <n v="3303"/>
    <n v="278"/>
    <n v="11.881294964028777"/>
    <n v="5.9704999819240087E-2"/>
    <s v="High Engagement"/>
    <n v="186"/>
    <n v="5.6312443233424159E-2"/>
    <n v="1.4712861888941622E-2"/>
    <n v="0.17134354607757621"/>
    <x v="1"/>
    <n v="16"/>
    <n v="87"/>
    <n v="332"/>
    <n v="1454"/>
    <n v="1354"/>
    <n v="2.2507822661212797E-2"/>
    <n v="19105"/>
    <n v="713"/>
    <n v="18392"/>
    <s v="USA"/>
    <d v="2020-04-25T00:00:00"/>
    <s v="Has no high school or college education"/>
    <x v="1"/>
    <x v="109"/>
    <n v="26"/>
    <x v="0"/>
  </r>
  <r>
    <s v="464516b7548a3a00bdf87fd60394f23b"/>
    <n v="867"/>
    <n v="73"/>
    <n v="11.876712328767123"/>
    <n v="5.9681971501342329E-2"/>
    <s v="High Engagement"/>
    <n v="45"/>
    <n v="5.1903114186851208E-2"/>
    <n v="3.559563360227812E-3"/>
    <n v="0.13649584045319249"/>
    <x v="1"/>
    <n v="15"/>
    <n v="3"/>
    <n v="58"/>
    <n v="319"/>
    <n v="359"/>
    <n v="1.0012770730052214E-2"/>
    <n v="8499"/>
    <n v="2041"/>
    <n v="6458"/>
    <s v="unknown"/>
    <d v="2021-01-30T00:00:00"/>
    <s v="Has no high school or college education"/>
    <x v="0"/>
    <x v="2"/>
    <n v="33"/>
    <x v="3"/>
  </r>
  <r>
    <s v="b4be096eaaf8ca70dc4d22e31f6b7e44"/>
    <n v="71"/>
    <n v="6"/>
    <n v="11.833333333333334"/>
    <n v="5.9463986599664995E-2"/>
    <s v="High Engagement"/>
    <n v="17"/>
    <n v="0.23943661971830985"/>
    <n v="1.3447239360860623E-3"/>
    <n v="0.1233150799280741"/>
    <x v="2"/>
    <n v="7"/>
    <n v="2"/>
    <n v="32"/>
    <n v="33"/>
    <n v="41"/>
    <n v="1.697658856571978E-3"/>
    <n v="1441"/>
    <n v="106"/>
    <n v="1335"/>
    <s v="unknown"/>
    <d v="2020-02-19T00:00:00"/>
    <s v="Has no high school or college education"/>
    <x v="0"/>
    <x v="3"/>
    <n v="23"/>
    <x v="0"/>
  </r>
  <r>
    <s v="51784815e1d5d079eaf7d1990a6f95e7"/>
    <n v="295"/>
    <n v="25"/>
    <n v="11.8"/>
    <n v="5.9296482412060307E-2"/>
    <s v="High Engagement"/>
    <n v="22"/>
    <n v="7.4576271186440682E-2"/>
    <n v="1.7402309761113748E-3"/>
    <n v="0.1370637191365251"/>
    <x v="1"/>
    <n v="9"/>
    <n v="0"/>
    <n v="6"/>
    <n v="368"/>
    <n v="272"/>
    <n v="1.4990292360181711E-2"/>
    <n v="12724"/>
    <n v="1005"/>
    <n v="11719"/>
    <s v="unknown"/>
    <d v="2021-03-20T00:00:00"/>
    <s v="Has no high school or college education"/>
    <x v="0"/>
    <x v="2"/>
    <n v="33"/>
    <x v="3"/>
  </r>
  <r>
    <s v="37601885df3e3da58489ed9b7d4dd467"/>
    <n v="2118"/>
    <n v="180"/>
    <n v="11.766666666666667"/>
    <n v="5.9128978224455613E-2"/>
    <s v="High Engagement"/>
    <n v="54"/>
    <n v="2.5495750708215296E-2"/>
    <n v="4.2714760322733747E-3"/>
    <n v="0.15210910251545606"/>
    <x v="1"/>
    <n v="12"/>
    <n v="6"/>
    <n v="182"/>
    <n v="640"/>
    <n v="486"/>
    <n v="2.5308194001998078E-2"/>
    <n v="21482"/>
    <n v="15061"/>
    <n v="6421"/>
    <s v="USA"/>
    <d v="2020-05-02T00:00:00"/>
    <s v="Has no high school or college education"/>
    <x v="0"/>
    <x v="2"/>
    <n v="19"/>
    <x v="1"/>
  </r>
  <r>
    <s v="680f96fbcee51697dc5df4a527a8e8e1"/>
    <n v="1716"/>
    <n v="146"/>
    <n v="11.753424657534246"/>
    <n v="5.9062435464996212E-2"/>
    <s v="High Engagement"/>
    <n v="57"/>
    <n v="3.3216783216783216E-2"/>
    <n v="4.508780256288562E-3"/>
    <n v="0.16628047785074282"/>
    <x v="1"/>
    <n v="26"/>
    <n v="3"/>
    <n v="43"/>
    <n v="215"/>
    <n v="178"/>
    <n v="3.9138046408173269E-2"/>
    <n v="33221"/>
    <n v="2861"/>
    <n v="30360"/>
    <s v="USA"/>
    <d v="2020-11-17T00:00:00"/>
    <s v="Has no high school or college education"/>
    <x v="0"/>
    <x v="110"/>
    <n v="24"/>
    <x v="0"/>
  </r>
  <r>
    <s v="e1cf4fa9848a05a641f34cf1c47bc1f4"/>
    <n v="18181"/>
    <n v="1550"/>
    <n v="11.729677419354839"/>
    <n v="5.8943102609823314E-2"/>
    <s v="High Engagement"/>
    <n v="2730"/>
    <n v="0.15015675705406745"/>
    <n v="0.2159468438538206"/>
    <n v="0.68899734405921742"/>
    <x v="0"/>
    <n v="1128"/>
    <n v="133"/>
    <n v="4089"/>
    <n v="11485"/>
    <n v="14031"/>
    <n v="0.13921745113192965"/>
    <n v="118170"/>
    <n v="14216"/>
    <n v="103954"/>
    <s v="USA"/>
    <d v="2014-04-08T00:00:00"/>
    <s v="Has high school and/or college education"/>
    <x v="0"/>
    <x v="111"/>
    <n v="20"/>
    <x v="1"/>
  </r>
  <r>
    <s v="ae9e965241bd5cf15f91297167525b6c"/>
    <n v="5257"/>
    <n v="449"/>
    <n v="11.708240534521158"/>
    <n v="5.8835379570458084E-2"/>
    <s v="High Engagement"/>
    <n v="292"/>
    <n v="5.5544987635533574E-2"/>
    <n v="2.3097611137478248E-2"/>
    <n v="0.19640778081644944"/>
    <x v="1"/>
    <n v="101"/>
    <n v="18"/>
    <n v="739"/>
    <n v="2193"/>
    <n v="1993"/>
    <n v="3.2541799400576804E-2"/>
    <n v="27622"/>
    <n v="6356"/>
    <n v="21266"/>
    <s v="Sweden"/>
    <d v="2015-11-16T00:00:00"/>
    <s v="Has high school and/or college education"/>
    <x v="0"/>
    <x v="1"/>
    <n v="19"/>
    <x v="1"/>
  </r>
  <r>
    <s v="536368ab4f43a607953cb91a9789d95f"/>
    <n v="6530"/>
    <n v="558"/>
    <n v="11.702508960573477"/>
    <n v="5.8806577691324004E-2"/>
    <s v="Medium Engagement"/>
    <n v="173"/>
    <n v="2.6493108728943338E-2"/>
    <n v="1.3684543584875811E-2"/>
    <n v="0.24915558518496073"/>
    <x v="1"/>
    <n v="32"/>
    <n v="21"/>
    <n v="524"/>
    <n v="1859"/>
    <n v="2005"/>
    <n v="0.10417334263256112"/>
    <n v="88424"/>
    <n v="2867"/>
    <n v="85557"/>
    <s v="USA"/>
    <d v="2013-08-25T00:00:00"/>
    <s v="Has high school and/or college education"/>
    <x v="1"/>
    <x v="2"/>
    <n v="27"/>
    <x v="0"/>
  </r>
  <r>
    <s v="c066928f27c0915b27d57a76c33b1fcf"/>
    <n v="8581"/>
    <n v="734"/>
    <n v="11.690735694822889"/>
    <n v="5.8747415551873815E-2"/>
    <s v="Medium Engagement"/>
    <n v="550"/>
    <n v="6.4095093811910031E-2"/>
    <n v="4.3505774402784372E-2"/>
    <n v="0.23814735745922119"/>
    <x v="1"/>
    <n v="258"/>
    <n v="31"/>
    <n v="2190"/>
    <n v="2417"/>
    <n v="2047"/>
    <n v="3.3640977549904812E-2"/>
    <n v="28555"/>
    <n v="17963"/>
    <n v="10592"/>
    <s v="unknown"/>
    <d v="2017-11-05T00:00:00"/>
    <s v="Has high school and/or college education"/>
    <x v="0"/>
    <x v="2"/>
    <n v="18"/>
    <x v="1"/>
  </r>
  <r>
    <s v="6477f01d42f3c284d0686bf3e4ee1821"/>
    <n v="11019"/>
    <n v="946"/>
    <n v="11.64799154334038"/>
    <n v="5.8532620820805931E-2"/>
    <s v="Medium Engagement"/>
    <n v="214"/>
    <n v="1.9421000090752337E-2"/>
    <n v="1.6927701313083372E-2"/>
    <n v="0.36016505059376686"/>
    <x v="1"/>
    <n v="99"/>
    <n v="2"/>
    <n v="412"/>
    <n v="2241"/>
    <n v="1994"/>
    <n v="0.2092444063259882"/>
    <n v="177610"/>
    <n v="141151"/>
    <n v="36459"/>
    <s v="unknown"/>
    <d v="2015-02-16T00:00:00"/>
    <s v="Has high school and/or college education"/>
    <x v="0"/>
    <x v="2"/>
    <n v="23"/>
    <x v="0"/>
  </r>
  <r>
    <s v="7fc00d576ce2284d0645bd9a05923b04"/>
    <n v="3229"/>
    <n v="278"/>
    <n v="11.615107913669064"/>
    <n v="5.8367376450598314E-2"/>
    <s v="Medium Engagement"/>
    <n v="5"/>
    <n v="1.548467017652524E-3"/>
    <n v="3.9550704002531246E-4"/>
    <n v="0.13397456153742904"/>
    <x v="2"/>
    <n v="2"/>
    <n v="0"/>
    <n v="14"/>
    <n v="37"/>
    <n v="28"/>
    <n v="1.6448794556181787E-2"/>
    <n v="13962"/>
    <n v="1884"/>
    <n v="12078"/>
    <s v="unknown"/>
    <d v="2016-07-01T00:00:00"/>
    <s v="Has no high school or college education"/>
    <x v="0"/>
    <x v="2"/>
    <n v="16"/>
    <x v="1"/>
  </r>
  <r>
    <s v="50a80674299455bee9043e6dece2351b"/>
    <n v="417"/>
    <n v="36"/>
    <n v="11.583333333333334"/>
    <n v="5.820770519262982E-2"/>
    <s v="Medium Engagement"/>
    <n v="8"/>
    <n v="1.9184652278177457E-2"/>
    <n v="6.3281126404049991E-4"/>
    <n v="0.12340429920426824"/>
    <x v="2"/>
    <n v="1"/>
    <n v="0"/>
    <n v="13"/>
    <n v="35"/>
    <n v="28"/>
    <n v="5.7232662909275983E-3"/>
    <n v="4858"/>
    <n v="3009"/>
    <n v="1849"/>
    <s v="unknown"/>
    <d v="2021-02-24T00:00:00"/>
    <s v="Has no high school or college education"/>
    <x v="0"/>
    <x v="112"/>
    <n v="21"/>
    <x v="0"/>
  </r>
  <r>
    <s v="87fc707a151200c21d2e4a93a308367b"/>
    <n v="8047"/>
    <n v="695"/>
    <n v="11.578417266187051"/>
    <n v="5.8183001337623372E-2"/>
    <s v="Medium Engagement"/>
    <n v="2"/>
    <n v="2.4853982850751833E-4"/>
    <n v="1.5820281601012498E-4"/>
    <n v="0.14400635130551398"/>
    <x v="1"/>
    <n v="1"/>
    <n v="0"/>
    <n v="1"/>
    <n v="4"/>
    <n v="2"/>
    <n v="2.7323942998246972E-2"/>
    <n v="23193"/>
    <n v="346"/>
    <n v="22847"/>
    <s v="Ireland"/>
    <d v="2017-11-20T00:00:00"/>
    <s v="Has no high school or college education"/>
    <x v="0"/>
    <x v="2"/>
    <n v="35"/>
    <x v="3"/>
  </r>
  <r>
    <s v="eaa848e0e1ea752af84be7eff2ff5430"/>
    <n v="2260"/>
    <n v="196"/>
    <n v="11.530612244897959"/>
    <n v="5.7942775099989748E-2"/>
    <s v="Medium Engagement"/>
    <n v="315"/>
    <n v="0.13938053097345132"/>
    <n v="2.4916943521594685E-2"/>
    <n v="0.18508994863786452"/>
    <x v="1"/>
    <n v="154"/>
    <n v="7"/>
    <n v="508"/>
    <n v="1415"/>
    <n v="1012"/>
    <n v="1.9370511394695668E-2"/>
    <n v="16442"/>
    <n v="10194"/>
    <n v="6248"/>
    <s v="unknown"/>
    <d v="2020-02-25T00:00:00"/>
    <s v="Has no high school or college education"/>
    <x v="0"/>
    <x v="2"/>
    <n v="18"/>
    <x v="1"/>
  </r>
  <r>
    <s v="7d729999389ad88a507431af3b718918"/>
    <n v="10614"/>
    <n v="925"/>
    <n v="11.474594594594594"/>
    <n v="5.7661279369822079E-2"/>
    <s v="Medium Engagement"/>
    <n v="672"/>
    <n v="6.3312605992085921E-2"/>
    <n v="5.3156146179401995E-2"/>
    <n v="0.40292384659334923"/>
    <x v="1"/>
    <n v="142"/>
    <n v="21"/>
    <n v="760"/>
    <n v="11887"/>
    <n v="7459"/>
    <n v="0.18128899549490113"/>
    <n v="153881"/>
    <n v="29984"/>
    <n v="123897"/>
    <s v="Australia"/>
    <d v="2013-09-02T00:00:00"/>
    <s v="Has high school and/or college education"/>
    <x v="0"/>
    <x v="113"/>
    <n v="32"/>
    <x v="3"/>
  </r>
  <r>
    <s v="9d179a572c16a2c9391d3c04f8d4f022"/>
    <n v="10075"/>
    <n v="880"/>
    <n v="11.448863636363637"/>
    <n v="5.753197807217908E-2"/>
    <s v="Medium Engagement"/>
    <n v="1020"/>
    <n v="0.10124069478908189"/>
    <n v="8.0683436165163741E-2"/>
    <n v="0.44197671827883639"/>
    <x v="1"/>
    <n v="163"/>
    <n v="63"/>
    <n v="2098"/>
    <n v="8917"/>
    <n v="13163"/>
    <n v="0.16554588980415072"/>
    <n v="140518"/>
    <n v="4472"/>
    <n v="136046"/>
    <s v="Israel"/>
    <d v="2018-05-12T00:00:00"/>
    <s v="Has no high school or college education"/>
    <x v="1"/>
    <x v="114"/>
    <n v="23"/>
    <x v="0"/>
  </r>
  <r>
    <s v="958c6bec7b46c6baf490eb531a0a0223"/>
    <n v="4351"/>
    <n v="382"/>
    <n v="11.390052356020943"/>
    <n v="5.723644400010524E-2"/>
    <s v="Medium Engagement"/>
    <n v="211"/>
    <n v="4.8494598942771777E-2"/>
    <n v="1.6690397089068186E-2"/>
    <n v="0.23974521108449376"/>
    <x v="1"/>
    <n v="60"/>
    <n v="16"/>
    <n v="438"/>
    <n v="2471"/>
    <n v="2681"/>
    <n v="9.1891528906146921E-2"/>
    <n v="77999"/>
    <n v="39026"/>
    <n v="38973"/>
    <s v="unknown"/>
    <d v="2019-12-30T00:00:00"/>
    <s v="Has no high school or college education"/>
    <x v="0"/>
    <x v="5"/>
    <n v="32"/>
    <x v="3"/>
  </r>
  <r>
    <s v="36903a2b7aad04cb4e56cdf08c58679d"/>
    <n v="10689"/>
    <n v="941"/>
    <n v="11.359192348565356"/>
    <n v="5.7081368585755562E-2"/>
    <s v="Medium Engagement"/>
    <n v="447"/>
    <n v="4.1818692113387596E-2"/>
    <n v="3.5358329378262936E-2"/>
    <n v="0.25165947547413414"/>
    <x v="1"/>
    <n v="214"/>
    <n v="11"/>
    <n v="909"/>
    <n v="1944"/>
    <n v="1549"/>
    <n v="6.6780079546097146E-2"/>
    <n v="56684"/>
    <n v="29909"/>
    <n v="26775"/>
    <s v="unknown"/>
    <d v="2017-08-25T00:00:00"/>
    <s v="Has no high school or college education"/>
    <x v="0"/>
    <x v="2"/>
    <n v="18"/>
    <x v="1"/>
  </r>
  <r>
    <s v="507be9dcb7b5d3971a41354fdb0a7c7f"/>
    <n v="3309"/>
    <n v="292"/>
    <n v="11.332191780821917"/>
    <n v="5.6945687340813657E-2"/>
    <s v="Medium Engagement"/>
    <n v="49"/>
    <n v="1.4808099123602297E-2"/>
    <n v="3.875968992248062E-3"/>
    <n v="0.15505809278336913"/>
    <x v="1"/>
    <n v="19"/>
    <n v="7"/>
    <n v="354"/>
    <n v="282"/>
    <n v="254"/>
    <n v="3.341478011724567E-2"/>
    <n v="28363"/>
    <n v="19894"/>
    <n v="8469"/>
    <s v="Denmark"/>
    <d v="2017-11-28T00:00:00"/>
    <s v="Has high school and/or college education"/>
    <x v="0"/>
    <x v="2"/>
    <n v="22"/>
    <x v="0"/>
  </r>
  <r>
    <s v="b7deef1f95db4a9ec25c3cbdfbefb04d"/>
    <n v="10509"/>
    <n v="933"/>
    <n v="11.263665594855306"/>
    <n v="5.6601334647514101E-2"/>
    <s v="Medium Engagement"/>
    <n v="126"/>
    <n v="1.1989723094490437E-2"/>
    <n v="9.9667774086378731E-3"/>
    <n v="0.17311308599992151"/>
    <x v="1"/>
    <n v="28"/>
    <n v="3"/>
    <n v="775"/>
    <n v="3153"/>
    <n v="2882"/>
    <n v="3.9976861887617572E-2"/>
    <n v="33933"/>
    <n v="19742"/>
    <n v="14191"/>
    <s v="unknown"/>
    <d v="2017-04-28T00:00:00"/>
    <s v="Has no high school or college education"/>
    <x v="0"/>
    <x v="2"/>
    <n v="21"/>
    <x v="0"/>
  </r>
  <r>
    <s v="915456f4714bdb4d7e1b141a896cab1d"/>
    <n v="5842"/>
    <n v="519"/>
    <n v="11.25626204238921"/>
    <n v="5.6564130866277436E-2"/>
    <s v="Medium Engagement"/>
    <n v="251"/>
    <n v="4.2964738103389251E-2"/>
    <n v="1.9854453409270684E-2"/>
    <n v="0.19006785223283645"/>
    <x v="1"/>
    <n v="88"/>
    <n v="3"/>
    <n v="356"/>
    <n v="2120"/>
    <n v="1770"/>
    <n v="3.7230683681740213E-2"/>
    <n v="31602"/>
    <n v="21081"/>
    <n v="10521"/>
    <s v="Russia"/>
    <d v="2016-03-17T00:00:00"/>
    <s v="Has high school and/or college education"/>
    <x v="0"/>
    <x v="2"/>
    <n v="18"/>
    <x v="1"/>
  </r>
  <r>
    <s v="c220b395f92e88c1ae4797cc1914451d"/>
    <n v="4373"/>
    <n v="393"/>
    <n v="11.127226463104325"/>
    <n v="5.5915710869870981E-2"/>
    <s v="Medium Engagement"/>
    <n v="171"/>
    <n v="3.9103590212668647E-2"/>
    <n v="1.3526340768865686E-2"/>
    <n v="0.16419700972598517"/>
    <x v="1"/>
    <n v="39"/>
    <n v="8"/>
    <n v="302"/>
    <n v="2031"/>
    <n v="2089"/>
    <n v="2.5312906448511811E-2"/>
    <n v="21486"/>
    <n v="11921"/>
    <n v="9565"/>
    <s v="unknown"/>
    <d v="2014-10-25T00:00:00"/>
    <s v="Has high school and/or college education"/>
    <x v="0"/>
    <x v="2"/>
    <n v="21"/>
    <x v="0"/>
  </r>
  <r>
    <s v="a169f1ced9108261c9c447925ee10545"/>
    <n v="1688"/>
    <n v="152"/>
    <n v="11.105263157894736"/>
    <n v="5.5805342501983601E-2"/>
    <s v="Medium Engagement"/>
    <n v="127"/>
    <n v="7.5236966824644549E-2"/>
    <n v="1.0045878816642937E-2"/>
    <n v="0.18836961196488122"/>
    <x v="1"/>
    <n v="30"/>
    <n v="3"/>
    <n v="226"/>
    <n v="1251"/>
    <n v="1299"/>
    <n v="5.6667169327628129E-2"/>
    <n v="48100"/>
    <n v="7153"/>
    <n v="40947"/>
    <s v="unknown"/>
    <d v="2019-02-16T00:00:00"/>
    <s v="Has no high school or college education"/>
    <x v="0"/>
    <x v="2"/>
    <n v="19"/>
    <x v="1"/>
  </r>
  <r>
    <s v="7d6aaf9e24bfa3a0579def2508062faf"/>
    <n v="3298"/>
    <n v="297"/>
    <n v="11.104377104377104"/>
    <n v="5.580088997174424E-2"/>
    <s v="Medium Engagement"/>
    <n v="5"/>
    <n v="1.5160703456640388E-3"/>
    <n v="3.9550704002531246E-4"/>
    <n v="0.14057675851054216"/>
    <x v="1"/>
    <n v="3"/>
    <n v="0"/>
    <n v="27"/>
    <n v="25"/>
    <n v="19"/>
    <n v="2.8183964487003072E-2"/>
    <n v="23923"/>
    <n v="265"/>
    <n v="23658"/>
    <s v="unknown"/>
    <d v="2020-03-24T00:00:00"/>
    <s v="Has no high school or college education"/>
    <x v="0"/>
    <x v="2"/>
    <n v="26"/>
    <x v="0"/>
  </r>
  <r>
    <s v="d860a42e5189de688cc289164329e0c8"/>
    <n v="4769"/>
    <n v="430"/>
    <n v="11.090697674418605"/>
    <n v="5.5732149117681429E-2"/>
    <s v="Medium Engagement"/>
    <n v="194"/>
    <n v="4.0679387712308661E-2"/>
    <n v="1.5345673152982122E-2"/>
    <n v="0.17738000411984586"/>
    <x v="1"/>
    <n v="75"/>
    <n v="17"/>
    <n v="571"/>
    <n v="961"/>
    <n v="1258"/>
    <n v="3.5224359578518785E-2"/>
    <n v="29899"/>
    <n v="1689"/>
    <n v="28210"/>
    <s v="Denmark"/>
    <d v="2019-09-02T00:00:00"/>
    <s v="Has no high school or college education"/>
    <x v="1"/>
    <x v="2"/>
    <n v="26"/>
    <x v="0"/>
  </r>
  <r>
    <s v="8fab92718b5ad3785ceed65a0ad0078c"/>
    <n v="2206"/>
    <n v="199"/>
    <n v="11.085427135678392"/>
    <n v="5.5705663998383878E-2"/>
    <s v="Medium Engagement"/>
    <n v="18"/>
    <n v="8.1595648232094288E-3"/>
    <n v="1.4238253440911248E-3"/>
    <n v="0.19537078619093481"/>
    <x v="1"/>
    <n v="1"/>
    <n v="1"/>
    <n v="55"/>
    <n v="141"/>
    <n v="63"/>
    <n v="8.1111807505984804E-2"/>
    <n v="68849"/>
    <n v="1041"/>
    <n v="67808"/>
    <s v="Thailand"/>
    <d v="2020-01-19T00:00:00"/>
    <s v="Has no high school or college education"/>
    <x v="0"/>
    <x v="2"/>
    <n v="25"/>
    <x v="0"/>
  </r>
  <r>
    <s v="6e4e15e49bacb7c95af50673553f171c"/>
    <n v="166"/>
    <n v="15"/>
    <n v="11.066666666666666"/>
    <n v="5.5611390284757117E-2"/>
    <s v="Medium Engagement"/>
    <n v="11"/>
    <n v="6.6265060240963861E-2"/>
    <n v="8.7011548805568742E-4"/>
    <n v="0.11489393650462733"/>
    <x v="2"/>
    <n v="3"/>
    <n v="5"/>
    <n v="26"/>
    <n v="67"/>
    <n v="102"/>
    <n v="1.9309249590017154E-3"/>
    <n v="1639"/>
    <n v="33"/>
    <n v="1606"/>
    <s v="unknown"/>
    <d v="2020-12-17T00:00:00"/>
    <s v="Has no high school or college education"/>
    <x v="1"/>
    <x v="2"/>
    <n v="32"/>
    <x v="3"/>
  </r>
  <r>
    <s v="f2068f63cc53428803af352107d6aa3d"/>
    <n v="883"/>
    <n v="80"/>
    <n v="11.0375"/>
    <n v="5.5464824120603017E-2"/>
    <s v="Medium Engagement"/>
    <n v="16"/>
    <n v="1.8120045300113252E-2"/>
    <n v="1.2656225280809998E-3"/>
    <n v="0.12627285725657711"/>
    <x v="2"/>
    <n v="5"/>
    <n v="3"/>
    <n v="122"/>
    <n v="86"/>
    <n v="69"/>
    <n v="1.2811963959209064E-2"/>
    <n v="10875"/>
    <n v="3951"/>
    <n v="6924"/>
    <s v="USA"/>
    <d v="2018-04-27T00:00:00"/>
    <s v="Has no high school or college education"/>
    <x v="0"/>
    <x v="2"/>
    <n v="21"/>
    <x v="0"/>
  </r>
  <r>
    <s v="765836ae74a0111feac984af39d46070"/>
    <n v="4954"/>
    <n v="449"/>
    <n v="11.033407572383073"/>
    <n v="5.5444259157703887E-2"/>
    <s v="Medium Engagement"/>
    <n v="247"/>
    <n v="4.985870004037142E-2"/>
    <n v="1.9538047777250434E-2"/>
    <n v="0.2822312063940835"/>
    <x v="1"/>
    <n v="116"/>
    <n v="5"/>
    <n v="320"/>
    <n v="1617"/>
    <n v="1390"/>
    <n v="0.13226659252417486"/>
    <n v="112270"/>
    <n v="57448"/>
    <n v="54822"/>
    <s v="Sweden"/>
    <d v="2019-09-07T00:00:00"/>
    <s v="Has no high school or college education"/>
    <x v="0"/>
    <x v="115"/>
    <n v="20"/>
    <x v="1"/>
  </r>
  <r>
    <s v="32898926c2b527c12991307e64f4fde5"/>
    <n v="2117"/>
    <n v="192"/>
    <n v="11.026041666666666"/>
    <n v="5.5407244556113899E-2"/>
    <s v="Medium Engagement"/>
    <n v="203"/>
    <n v="9.5890410958904104E-2"/>
    <n v="1.6057585825027684E-2"/>
    <n v="0.16675932467059781"/>
    <x v="1"/>
    <n v="88"/>
    <n v="11"/>
    <n v="522"/>
    <n v="1492"/>
    <n v="1729"/>
    <n v="2.382966390831464E-2"/>
    <n v="20227"/>
    <n v="2152"/>
    <n v="18075"/>
    <s v="unknown"/>
    <d v="2019-08-26T00:00:00"/>
    <s v="Has no high school or college education"/>
    <x v="1"/>
    <x v="2"/>
    <n v="21"/>
    <x v="0"/>
  </r>
  <r>
    <s v="a985514a25cfa2eb21b1f1f6e1fbe36a"/>
    <n v="2842"/>
    <n v="258"/>
    <n v="11.015503875968992"/>
    <n v="5.5354290834015038E-2"/>
    <s v="Medium Engagement"/>
    <n v="2"/>
    <n v="7.0372976776917663E-4"/>
    <n v="1.5820281601012498E-4"/>
    <n v="0.14120585099724739"/>
    <x v="1"/>
    <n v="2"/>
    <n v="0"/>
    <n v="3"/>
    <n v="2"/>
    <n v="4"/>
    <n v="3.0180863697197038E-2"/>
    <n v="25618"/>
    <n v="5412"/>
    <n v="20206"/>
    <s v="unknown"/>
    <d v="2019-09-11T00:00:00"/>
    <s v="Has no high school or college education"/>
    <x v="0"/>
    <x v="4"/>
    <n v="26"/>
    <x v="0"/>
  </r>
  <r>
    <s v="30b3ec623d0c91c7bdeb1122924fd491"/>
    <n v="11"/>
    <n v="1"/>
    <n v="11"/>
    <n v="5.5276381909547742E-2"/>
    <s v="Medium Engagement"/>
    <n v="5"/>
    <n v="0.45454545454545453"/>
    <n v="3.9550704002531246E-4"/>
    <n v="0.11171606117373094"/>
    <x v="2"/>
    <n v="1"/>
    <n v="0"/>
    <n v="0"/>
    <n v="48"/>
    <n v="36"/>
    <n v="3.7228327458483344E-4"/>
    <n v="316"/>
    <n v="198"/>
    <n v="118"/>
    <s v="Portugal"/>
    <d v="2021-04-14T00:00:00"/>
    <s v="Has no high school or college education"/>
    <x v="0"/>
    <x v="34"/>
    <n v="24"/>
    <x v="0"/>
  </r>
  <r>
    <s v="afb6bd0b0fdec67eaba415743e1379d2"/>
    <n v="3847"/>
    <n v="352"/>
    <n v="10.928977272727273"/>
    <n v="5.4919483782549114E-2"/>
    <s v="Medium Engagement"/>
    <n v="176"/>
    <n v="4.5749935014296854E-2"/>
    <n v="1.3921847808890999E-2"/>
    <n v="0.21423517868682926"/>
    <x v="1"/>
    <n v="13"/>
    <n v="49"/>
    <n v="329"/>
    <n v="4107"/>
    <n v="3739"/>
    <n v="7.6552515503949037E-2"/>
    <n v="64979"/>
    <n v="575"/>
    <n v="64404"/>
    <s v="unknown"/>
    <d v="2018-10-28T00:00:00"/>
    <s v="Has no high school or college education"/>
    <x v="1"/>
    <x v="2"/>
    <n v="18"/>
    <x v="1"/>
  </r>
  <r>
    <s v="9ea5fbdeeccfd5607ac3d7813b003b3a"/>
    <n v="1790"/>
    <n v="164"/>
    <n v="10.914634146341463"/>
    <n v="5.4847407770560117E-2"/>
    <s v="Medium Engagement"/>
    <n v="82"/>
    <n v="4.5810055865921788E-2"/>
    <n v="6.4863154564151239E-3"/>
    <n v="0.13173537165799942"/>
    <x v="2"/>
    <n v="22"/>
    <n v="4"/>
    <n v="89"/>
    <n v="666"/>
    <n v="573"/>
    <n v="9.0679252040489332E-3"/>
    <n v="7697"/>
    <n v="1212"/>
    <n v="6485"/>
    <s v="USA"/>
    <d v="2020-08-27T00:00:00"/>
    <s v="Has no high school or college education"/>
    <x v="0"/>
    <x v="116"/>
    <n v="18"/>
    <x v="1"/>
  </r>
  <r>
    <s v="f573b82ec9defd5e1c93e026d6ab40a8"/>
    <n v="21488"/>
    <n v="1977"/>
    <n v="10.868993424380374"/>
    <n v="5.4618057408946603E-2"/>
    <s v="Medium Engagement"/>
    <n v="342"/>
    <n v="1.5915860014892032E-2"/>
    <n v="2.7052681537731372E-2"/>
    <n v="0.52135310821135183"/>
    <x v="1"/>
    <n v="107"/>
    <n v="49"/>
    <n v="2304"/>
    <n v="2923"/>
    <n v="3029"/>
    <n v="0.35801163031799588"/>
    <n v="303886"/>
    <n v="134734"/>
    <n v="169152"/>
    <s v="Sweden"/>
    <d v="2015-01-24T00:00:00"/>
    <s v="Has high school and/or college education"/>
    <x v="0"/>
    <x v="2"/>
    <n v="19"/>
    <x v="1"/>
  </r>
  <r>
    <s v="b8f51fe0819be2eb18948637913cc661"/>
    <n v="1682"/>
    <n v="155"/>
    <n v="10.851612903225806"/>
    <n v="5.4530718106662344E-2"/>
    <s v="Medium Engagement"/>
    <n v="23"/>
    <n v="1.3674197384066587E-2"/>
    <n v="1.8193323841164373E-3"/>
    <n v="0.13288468751150045"/>
    <x v="2"/>
    <n v="4"/>
    <n v="1"/>
    <n v="61"/>
    <n v="177"/>
    <n v="208"/>
    <n v="2.0184586529942886E-2"/>
    <n v="17133"/>
    <n v="3847"/>
    <n v="13286"/>
    <s v="USA"/>
    <d v="2020-02-08T00:00:00"/>
    <s v="Has no high school or college education"/>
    <x v="0"/>
    <x v="2"/>
    <n v="30"/>
    <x v="0"/>
  </r>
  <r>
    <s v="6143957529bb461e538b73deef73b1fb"/>
    <n v="6472"/>
    <n v="597"/>
    <n v="10.840871021775545"/>
    <n v="5.4476738802892187E-2"/>
    <s v="Medium Engagement"/>
    <n v="37"/>
    <n v="5.7169344870210137E-3"/>
    <n v="2.9267520961873119E-3"/>
    <n v="0.14021767151183076"/>
    <x v="1"/>
    <n v="7"/>
    <n v="2"/>
    <n v="181"/>
    <n v="1198"/>
    <n v="1126"/>
    <n v="2.541068971367175E-2"/>
    <n v="21569"/>
    <n v="393"/>
    <n v="21176"/>
    <s v="Netherlands"/>
    <d v="2017-09-18T00:00:00"/>
    <s v="Has high school and/or college education"/>
    <x v="1"/>
    <x v="2"/>
    <n v="21"/>
    <x v="0"/>
  </r>
  <r>
    <s v="6c02b88d05327486f59302f205515aa3"/>
    <n v="7888"/>
    <n v="728"/>
    <n v="10.835164835164836"/>
    <n v="5.4448064498315754E-2"/>
    <s v="Medium Engagement"/>
    <n v="547"/>
    <n v="6.9345841784989856E-2"/>
    <n v="4.3268470178769183E-2"/>
    <n v="0.30802755390677017"/>
    <x v="1"/>
    <n v="253"/>
    <n v="22"/>
    <n v="608"/>
    <n v="2692"/>
    <n v="1925"/>
    <n v="0.11259448455260032"/>
    <n v="95572"/>
    <n v="29527"/>
    <n v="66045"/>
    <s v="USA"/>
    <d v="2019-02-06T00:00:00"/>
    <s v="Has no high school or college education"/>
    <x v="0"/>
    <x v="2"/>
    <n v="18"/>
    <x v="1"/>
  </r>
  <r>
    <s v="860a4c3d30ead799b210cd649242182b"/>
    <n v="3452"/>
    <n v="319"/>
    <n v="10.821316614420063"/>
    <n v="5.4378475449347048E-2"/>
    <s v="Medium Engagement"/>
    <n v="140"/>
    <n v="4.0556199304750871E-2"/>
    <n v="1.1074197120708749E-2"/>
    <n v="0.13942309221368232"/>
    <x v="1"/>
    <n v="57"/>
    <n v="21"/>
    <n v="740"/>
    <n v="573"/>
    <n v="578"/>
    <n v="8.5177470735707146E-3"/>
    <n v="7230"/>
    <n v="6214"/>
    <n v="1016"/>
    <s v="USA"/>
    <d v="2019-07-21T00:00:00"/>
    <s v="Has no high school or college education"/>
    <x v="0"/>
    <x v="2"/>
    <n v="21"/>
    <x v="0"/>
  </r>
  <r>
    <s v="ae6d85df4701244f3840200b2bfba2db"/>
    <n v="3289"/>
    <n v="304"/>
    <n v="10.819078947368421"/>
    <n v="5.43672308912986E-2"/>
    <s v="Medium Engagement"/>
    <n v="110"/>
    <n v="3.3444816053511704E-2"/>
    <n v="8.7011548805568731E-3"/>
    <n v="0.18911861919974005"/>
    <x v="1"/>
    <n v="63"/>
    <n v="2"/>
    <n v="193"/>
    <n v="216"/>
    <n v="122"/>
    <n v="6.29818476560291E-2"/>
    <n v="53460"/>
    <n v="6883"/>
    <n v="46577"/>
    <s v="unknown"/>
    <d v="2019-10-06T00:00:00"/>
    <s v="Has no high school or college education"/>
    <x v="0"/>
    <x v="2"/>
    <n v="19"/>
    <x v="1"/>
  </r>
  <r>
    <s v="9a126baf4cbfb680bbf12600b9e1f9cd"/>
    <n v="9109"/>
    <n v="842"/>
    <n v="10.818289786223279"/>
    <n v="5.4363265257403412E-2"/>
    <s v="Medium Engagement"/>
    <n v="404"/>
    <n v="4.435174003732572E-2"/>
    <n v="3.1956968834045245E-2"/>
    <n v="0.28447507073515838"/>
    <x v="1"/>
    <n v="63"/>
    <n v="137"/>
    <n v="1202"/>
    <n v="3411"/>
    <n v="3543"/>
    <n v="0.11183460255226103"/>
    <n v="94927"/>
    <n v="2377"/>
    <n v="92550"/>
    <s v="Norway"/>
    <d v="2015-09-09T00:00:00"/>
    <s v="Has high school and/or college education"/>
    <x v="1"/>
    <x v="117"/>
    <n v="18"/>
    <x v="1"/>
  </r>
  <r>
    <s v="4d4e9216bb1f09b20f2867e7e3572f96"/>
    <n v="1609"/>
    <n v="149"/>
    <n v="10.798657718120806"/>
    <n v="5.4264611648848271E-2"/>
    <s v="Medium Engagement"/>
    <n v="42"/>
    <n v="2.610316967060286E-2"/>
    <n v="3.3222591362126247E-3"/>
    <n v="0.13925905570180638"/>
    <x v="1"/>
    <n v="21"/>
    <n v="3"/>
    <n v="125"/>
    <n v="105"/>
    <n v="80"/>
    <n v="2.4085314131684604E-2"/>
    <n v="20444"/>
    <n v="10692"/>
    <n v="9752"/>
    <s v="unknown"/>
    <d v="2019-12-08T00:00:00"/>
    <s v="Has no high school or college education"/>
    <x v="0"/>
    <x v="2"/>
    <n v="21"/>
    <x v="0"/>
  </r>
  <r>
    <s v="a5a0acc847342acd694520977a1b8ad2"/>
    <n v="1189"/>
    <n v="111"/>
    <n v="10.711711711711711"/>
    <n v="5.3827697043777441E-2"/>
    <s v="Medium Engagement"/>
    <n v="41"/>
    <n v="3.4482758620689655E-2"/>
    <n v="3.2431577282075619E-3"/>
    <n v="0.12809172933624535"/>
    <x v="2"/>
    <n v="7"/>
    <n v="0"/>
    <n v="49"/>
    <n v="720"/>
    <n v="674"/>
    <n v="1.3950019792275357E-2"/>
    <n v="11841"/>
    <n v="3332"/>
    <n v="8509"/>
    <s v="France"/>
    <d v="2020-12-22T00:00:00"/>
    <s v="Has no high school or college education"/>
    <x v="0"/>
    <x v="118"/>
    <n v="29"/>
    <x v="0"/>
  </r>
  <r>
    <s v="a2829d07e84a89cdf6513d0e46ce7464"/>
    <n v="1419"/>
    <n v="133"/>
    <n v="10.669172932330827"/>
    <n v="5.3613934333320741E-2"/>
    <s v="Medium Engagement"/>
    <n v="66"/>
    <n v="4.6511627906976744E-2"/>
    <n v="5.2206929283341247E-3"/>
    <n v="0.13200922926459643"/>
    <x v="2"/>
    <n v="17"/>
    <n v="1"/>
    <n v="152"/>
    <n v="2110"/>
    <n v="1600"/>
    <n v="1.4339974741286687E-2"/>
    <n v="12172"/>
    <n v="1588"/>
    <n v="10584"/>
    <s v="unknown"/>
    <d v="2019-12-19T00:00:00"/>
    <s v="Has no high school or college education"/>
    <x v="0"/>
    <x v="2"/>
    <n v="28"/>
    <x v="0"/>
  </r>
  <r>
    <s v="75fc16a59b2f777aa2c616dc3d58188e"/>
    <n v="3187"/>
    <n v="299"/>
    <n v="10.658862876254181"/>
    <n v="5.3562125006302419E-2"/>
    <s v="Medium Engagement"/>
    <n v="73"/>
    <n v="2.2905553812362724E-2"/>
    <n v="5.774402784369562E-3"/>
    <n v="0.13608554544958396"/>
    <x v="1"/>
    <n v="7"/>
    <n v="1"/>
    <n v="141"/>
    <n v="986"/>
    <n v="636"/>
    <n v="1.7412489868239997E-2"/>
    <n v="14780"/>
    <n v="9198"/>
    <n v="5582"/>
    <s v="France"/>
    <d v="2018-06-24T00:00:00"/>
    <s v="Has no high school or college education"/>
    <x v="0"/>
    <x v="2"/>
    <n v="19"/>
    <x v="1"/>
  </r>
  <r>
    <s v="9e388c20d37f39cfa328c49272d5d95f"/>
    <n v="4864"/>
    <n v="457"/>
    <n v="10.643326039387308"/>
    <n v="5.3484050449182453E-2"/>
    <s v="Medium Engagement"/>
    <n v="145"/>
    <n v="2.9810855263157895E-2"/>
    <n v="1.146970416073406E-2"/>
    <n v="0.1751257897423491"/>
    <x v="1"/>
    <n v="58"/>
    <n v="1"/>
    <n v="254"/>
    <n v="3140"/>
    <n v="2847"/>
    <n v="4.5218280522516072E-2"/>
    <n v="38382"/>
    <n v="19052"/>
    <n v="19330"/>
    <s v="unknown"/>
    <d v="2016-10-10T00:00:00"/>
    <s v="Has no high school or college education"/>
    <x v="0"/>
    <x v="2"/>
    <n v="20"/>
    <x v="1"/>
  </r>
  <r>
    <s v="7514bff3d8cafee5b55420e6274ae7e4"/>
    <n v="8441"/>
    <n v="798"/>
    <n v="10.577694235588972"/>
    <n v="5.3154242389894329E-2"/>
    <s v="Medium Engagement"/>
    <n v="38"/>
    <n v="4.5018362753228292E-3"/>
    <n v="3.0058535041923747E-3"/>
    <n v="0.17587106736073566"/>
    <x v="1"/>
    <n v="13"/>
    <n v="0"/>
    <n v="49"/>
    <n v="741"/>
    <n v="762"/>
    <n v="6.3550875572562254E-2"/>
    <n v="53943"/>
    <n v="5856"/>
    <n v="48087"/>
    <s v="unknown"/>
    <d v="2018-06-22T00:00:00"/>
    <s v="Has no high school or college education"/>
    <x v="0"/>
    <x v="2"/>
    <n v="23"/>
    <x v="0"/>
  </r>
  <r>
    <s v="74ac8893732af3cff81b43a6dbd5e1d6"/>
    <n v="179"/>
    <n v="17"/>
    <n v="10.529411764705882"/>
    <n v="5.291161690806976E-2"/>
    <s v="Medium Engagement"/>
    <n v="15"/>
    <n v="8.3798882681564241E-2"/>
    <n v="1.1865211200759373E-3"/>
    <n v="0.11035811089446598"/>
    <x v="2"/>
    <n v="7"/>
    <n v="1"/>
    <n v="17"/>
    <n v="38"/>
    <n v="21"/>
    <n v="2.1618348381745867E-3"/>
    <n v="1835"/>
    <n v="746"/>
    <n v="1089"/>
    <s v="Austria"/>
    <d v="2021-03-02T00:00:00"/>
    <s v="Has no high school or college education"/>
    <x v="0"/>
    <x v="119"/>
    <n v="28"/>
    <x v="0"/>
  </r>
  <r>
    <s v="44ad386e4d315e8efc7dd2e6ddb0df15"/>
    <n v="6644"/>
    <n v="631"/>
    <n v="10.52931854199683"/>
    <n v="5.2911148452245378E-2"/>
    <s v="Medium Engagement"/>
    <n v="194"/>
    <n v="2.9199277543648403E-2"/>
    <n v="1.5345673152982122E-2"/>
    <n v="0.20376025496141162"/>
    <x v="1"/>
    <n v="83"/>
    <n v="17"/>
    <n v="306"/>
    <n v="769"/>
    <n v="787"/>
    <n v="6.7246611750956628E-2"/>
    <n v="57080"/>
    <n v="14909"/>
    <n v="42171"/>
    <s v="unknown"/>
    <d v="2018-04-30T00:00:00"/>
    <s v="Has no high school or college education"/>
    <x v="0"/>
    <x v="120"/>
    <n v="36"/>
    <x v="3"/>
  </r>
  <r>
    <s v="1f5638b72126bf170eaaa3db0ebe0e2a"/>
    <n v="3900"/>
    <n v="372"/>
    <n v="10.483870967741936"/>
    <n v="5.2682768682120282E-2"/>
    <s v="Medium Engagement"/>
    <n v="235"/>
    <n v="6.0256410256410257E-2"/>
    <n v="1.8588830881189684E-2"/>
    <n v="0.17434396631291238"/>
    <x v="1"/>
    <n v="78"/>
    <n v="11"/>
    <n v="323"/>
    <n v="2154"/>
    <n v="1958"/>
    <n v="3.1800767186292433E-2"/>
    <n v="26993"/>
    <n v="3134"/>
    <n v="23859"/>
    <s v="USA"/>
    <d v="2020-02-27T00:00:00"/>
    <s v="Has no high school or college education"/>
    <x v="0"/>
    <x v="121"/>
    <n v="40"/>
    <x v="3"/>
  </r>
  <r>
    <s v="902380088f0f434902ab486c8fcfdbdb"/>
    <n v="6647"/>
    <n v="635"/>
    <n v="10.467716535433071"/>
    <n v="5.2601590630316941E-2"/>
    <s v="Medium Engagement"/>
    <n v="249"/>
    <n v="3.7460508500075221E-2"/>
    <n v="1.9696250593260561E-2"/>
    <n v="0.19258488151974554"/>
    <x v="1"/>
    <n v="53"/>
    <n v="0"/>
    <n v="607"/>
    <n v="2943"/>
    <n v="2302"/>
    <n v="4.7989199072590527E-2"/>
    <n v="40734"/>
    <n v="14511"/>
    <n v="26223"/>
    <s v="Australia"/>
    <d v="2018-01-30T00:00:00"/>
    <s v="Has high school and/or college education"/>
    <x v="0"/>
    <x v="2"/>
    <n v="20"/>
    <x v="1"/>
  </r>
  <r>
    <s v="be1a260221d30d6b248cc4c726d2d477"/>
    <n v="1203"/>
    <n v="115"/>
    <n v="10.460869565217392"/>
    <n v="5.2567183744811015E-2"/>
    <s v="Medium Engagement"/>
    <n v="2"/>
    <n v="1.6625103906899418E-3"/>
    <n v="1.5820281601012498E-4"/>
    <n v="0.13356051657605408"/>
    <x v="2"/>
    <n v="2"/>
    <n v="0"/>
    <n v="6"/>
    <n v="2"/>
    <n v="1"/>
    <n v="2.8109743454411792E-2"/>
    <n v="23860"/>
    <n v="1138"/>
    <n v="22722"/>
    <s v="Slovakia"/>
    <d v="2020-12-18T00:00:00"/>
    <s v="Has no high school or college education"/>
    <x v="0"/>
    <x v="38"/>
    <n v="26"/>
    <x v="0"/>
  </r>
  <r>
    <s v="81e78b9b9aedcd6793ebb6bb75354810"/>
    <n v="3377"/>
    <n v="323"/>
    <n v="10.455108359133128"/>
    <n v="5.253823296046798E-2"/>
    <s v="Medium Engagement"/>
    <n v="827"/>
    <n v="0.24489191590168788"/>
    <n v="6.5416864420186682E-2"/>
    <n v="0.40093064677917895"/>
    <x v="1"/>
    <n v="150"/>
    <n v="58"/>
    <n v="1589"/>
    <n v="8564"/>
    <n v="9177"/>
    <n v="0.16502045201786961"/>
    <n v="140072"/>
    <n v="3392"/>
    <n v="136680"/>
    <s v="Austria"/>
    <d v="2019-12-22T00:00:00"/>
    <s v="Has no high school or college education"/>
    <x v="1"/>
    <x v="122"/>
    <n v="20"/>
    <x v="1"/>
  </r>
  <r>
    <s v="d3dfe86620d872f6517d506f720e1ef8"/>
    <n v="2184"/>
    <n v="209"/>
    <n v="10.44976076555024"/>
    <n v="5.2511360630905723E-2"/>
    <s v="Medium Engagement"/>
    <n v="245"/>
    <n v="0.11217948717948718"/>
    <n v="1.937984496124031E-2"/>
    <n v="0.16672142270151136"/>
    <x v="1"/>
    <n v="32"/>
    <n v="166"/>
    <n v="800"/>
    <n v="233"/>
    <n v="650"/>
    <n v="2.293901151721928E-2"/>
    <n v="19471"/>
    <n v="1975"/>
    <n v="17496"/>
    <s v="unknown"/>
    <d v="2017-11-26T00:00:00"/>
    <s v="Has no high school or college education"/>
    <x v="1"/>
    <x v="2"/>
    <n v="18"/>
    <x v="1"/>
  </r>
  <r>
    <s v="c74b8526ac5d3a56e3d88b8d5fd8654a"/>
    <n v="1816"/>
    <n v="174"/>
    <n v="10.436781609195402"/>
    <n v="5.2446138739675387E-2"/>
    <s v="Medium Engagement"/>
    <n v="70"/>
    <n v="3.8546255506607931E-2"/>
    <n v="5.5370985603543747E-3"/>
    <n v="0.12577425390676439"/>
    <x v="2"/>
    <n v="22"/>
    <n v="7"/>
    <n v="109"/>
    <n v="566"/>
    <n v="448"/>
    <n v="9.8077793067048689E-3"/>
    <n v="8325"/>
    <n v="6393"/>
    <n v="1932"/>
    <s v="unknown"/>
    <d v="2020-06-13T00:00:00"/>
    <s v="Has no high school or college education"/>
    <x v="0"/>
    <x v="2"/>
    <n v="21"/>
    <x v="0"/>
  </r>
  <r>
    <s v="d77aa4efd4a8ecde857ee3dee89f3a23"/>
    <n v="1033"/>
    <n v="99"/>
    <n v="10.434343434343434"/>
    <n v="5.2433886604740874E-2"/>
    <s v="Medium Engagement"/>
    <n v="5"/>
    <n v="4.8402710551790898E-3"/>
    <n v="3.9550704002531246E-4"/>
    <n v="0.13044625595176304"/>
    <x v="2"/>
    <n v="2"/>
    <n v="0"/>
    <n v="26"/>
    <n v="27"/>
    <n v="20"/>
    <n v="2.4787468662230683E-2"/>
    <n v="21040"/>
    <n v="1029"/>
    <n v="20011"/>
    <s v="Romania"/>
    <d v="2020-06-28T00:00:00"/>
    <s v="Has no high school or college education"/>
    <x v="0"/>
    <x v="2"/>
    <n v="20"/>
    <x v="1"/>
  </r>
  <r>
    <s v="0d10a0682b9ef7147fe1cc4ccbcd68d7"/>
    <n v="4757"/>
    <n v="456"/>
    <n v="10.432017543859649"/>
    <n v="5.2422198712862557E-2"/>
    <s v="Medium Engagement"/>
    <n v="140"/>
    <n v="2.9430313222619298E-2"/>
    <n v="1.1074197120708749E-2"/>
    <n v="0.16058782286353851"/>
    <x v="1"/>
    <n v="68"/>
    <n v="0"/>
    <n v="151"/>
    <n v="597"/>
    <n v="439"/>
    <n v="3.3595031196395918E-2"/>
    <n v="28516"/>
    <n v="6940"/>
    <n v="21576"/>
    <s v="USA"/>
    <d v="2019-03-05T00:00:00"/>
    <s v="Has no high school or college education"/>
    <x v="0"/>
    <x v="2"/>
    <n v="21"/>
    <x v="0"/>
  </r>
  <r>
    <s v="63905d939927c8c064ea8f368dca1f11"/>
    <n v="1116"/>
    <n v="107"/>
    <n v="10.429906542056075"/>
    <n v="5.2411590663598372E-2"/>
    <s v="Medium Engagement"/>
    <n v="100"/>
    <n v="8.9605734767025089E-2"/>
    <n v="7.9101408005062494E-3"/>
    <n v="0.14142299583051082"/>
    <x v="1"/>
    <n v="56"/>
    <n v="10"/>
    <n v="158"/>
    <n v="342"/>
    <n v="284"/>
    <n v="2.077953290230156E-2"/>
    <n v="17638"/>
    <n v="4236"/>
    <n v="13402"/>
    <s v="Ireland"/>
    <d v="2020-12-04T00:00:00"/>
    <s v="Has no high school or college education"/>
    <x v="0"/>
    <x v="123"/>
    <n v="30"/>
    <x v="0"/>
  </r>
  <r>
    <s v="2290b5d03e51cf49175a829705e7887e"/>
    <n v="1206"/>
    <n v="116"/>
    <n v="10.396551724137931"/>
    <n v="5.2243978513255934E-2"/>
    <s v="Medium Engagement"/>
    <n v="42"/>
    <n v="3.482587064676617E-2"/>
    <n v="3.3222591362126247E-3"/>
    <n v="0.13589402550534227"/>
    <x v="1"/>
    <n v="13"/>
    <n v="1"/>
    <n v="75"/>
    <n v="633"/>
    <n v="417"/>
    <n v="2.4761550206405157E-2"/>
    <n v="21018"/>
    <n v="5190"/>
    <n v="15828"/>
    <s v="unknown"/>
    <d v="2019-10-07T00:00:00"/>
    <s v="Has no high school or college education"/>
    <x v="0"/>
    <x v="124"/>
    <n v="23"/>
    <x v="0"/>
  </r>
  <r>
    <s v="8fd2d72a266b78d1d59146979f8a6c27"/>
    <n v="1060"/>
    <n v="102"/>
    <n v="10.392156862745098"/>
    <n v="5.2221893782638688E-2"/>
    <s v="Medium Engagement"/>
    <n v="237"/>
    <n v="0.22358490566037736"/>
    <n v="1.8747033697199812E-2"/>
    <n v="0.14681052465487596"/>
    <x v="1"/>
    <n v="78"/>
    <n v="3"/>
    <n v="145"/>
    <n v="1564"/>
    <n v="1337"/>
    <n v="4.8726696951989596E-3"/>
    <n v="4136"/>
    <n v="1326"/>
    <n v="2810"/>
    <s v="Greece"/>
    <d v="2020-12-26T00:00:00"/>
    <s v="Has no high school or college education"/>
    <x v="0"/>
    <x v="2"/>
    <n v="21"/>
    <x v="0"/>
  </r>
  <r>
    <s v="6a157bd822034c9410ed198b9d354f96"/>
    <n v="7779"/>
    <n v="751"/>
    <n v="10.358189081225033"/>
    <n v="5.2051201413191119E-2"/>
    <s v="Medium Engagement"/>
    <n v="522"/>
    <n v="6.7103740840725026E-2"/>
    <n v="4.129093497864262E-2"/>
    <n v="0.26812712965724195"/>
    <x v="1"/>
    <n v="190"/>
    <n v="80"/>
    <n v="2470"/>
    <n v="1748"/>
    <n v="2093"/>
    <n v="8.1442856873574485E-2"/>
    <n v="69130"/>
    <n v="55177"/>
    <n v="13953"/>
    <s v="Australia"/>
    <d v="2017-07-22T00:00:00"/>
    <s v="Has high school and/or college education"/>
    <x v="0"/>
    <x v="2"/>
    <n v="21"/>
    <x v="0"/>
  </r>
  <r>
    <s v="dcbbdea918ea83820eef63a0f07bbfb2"/>
    <n v="3260"/>
    <n v="315"/>
    <n v="10.34920634920635"/>
    <n v="5.2006062056313314E-2"/>
    <s v="Medium Engagement"/>
    <n v="163"/>
    <n v="0.05"/>
    <n v="1.2893529504825186E-2"/>
    <n v="0.19805072409228699"/>
    <x v="1"/>
    <n v="55"/>
    <n v="1"/>
    <n v="242"/>
    <n v="1169"/>
    <n v="891"/>
    <n v="6.8251540970009988E-2"/>
    <n v="57933"/>
    <n v="43047"/>
    <n v="14886"/>
    <s v="Germany"/>
    <d v="2018-04-16T00:00:00"/>
    <s v="Has no high school or college education"/>
    <x v="0"/>
    <x v="2"/>
    <n v="25"/>
    <x v="0"/>
  </r>
  <r>
    <s v="1cc73a407d45ff874a4a06c4e5241637"/>
    <n v="6227"/>
    <n v="603"/>
    <n v="10.32669983416252"/>
    <n v="5.1892963990766434E-2"/>
    <s v="Medium Engagement"/>
    <n v="245"/>
    <n v="3.9344788822868154E-2"/>
    <n v="1.937984496124031E-2"/>
    <n v="0.22683950491839588"/>
    <x v="1"/>
    <n v="93"/>
    <n v="6"/>
    <n v="388"/>
    <n v="1569"/>
    <n v="1964"/>
    <n v="8.4293887014382382E-2"/>
    <n v="71550"/>
    <n v="67825"/>
    <n v="3725"/>
    <s v="Mexico"/>
    <d v="2016-11-06T00:00:00"/>
    <s v="Has high school and/or college education"/>
    <x v="0"/>
    <x v="2"/>
    <n v="25"/>
    <x v="0"/>
  </r>
  <r>
    <s v="2e4ca9ffc7af0a2ea522635936f198d9"/>
    <n v="2034"/>
    <n v="197"/>
    <n v="10.3248730964467"/>
    <n v="5.1883784404254771E-2"/>
    <s v="Medium Engagement"/>
    <n v="55"/>
    <n v="2.7040314650934118E-2"/>
    <n v="4.3505774402784365E-3"/>
    <n v="0.13476684248041812"/>
    <x v="1"/>
    <n v="7"/>
    <n v="14"/>
    <n v="166"/>
    <n v="663"/>
    <n v="749"/>
    <n v="2.2298118791351719E-2"/>
    <n v="18927"/>
    <n v="287"/>
    <n v="18640"/>
    <s v="Switzerland"/>
    <d v="2019-06-14T00:00:00"/>
    <s v="Has no high school or college education"/>
    <x v="1"/>
    <x v="1"/>
    <n v="19"/>
    <x v="1"/>
  </r>
  <r>
    <s v="4a9af956215ed95ca0e3a1ea0a088d86"/>
    <n v="5420"/>
    <n v="525"/>
    <n v="10.323809523809524"/>
    <n v="5.1878439818138312E-2"/>
    <s v="Medium Engagement"/>
    <n v="481"/>
    <n v="8.8745387453874544E-2"/>
    <n v="3.8047777250435059E-2"/>
    <n v="0.27945823798627306"/>
    <x v="1"/>
    <n v="227"/>
    <n v="103"/>
    <n v="1667"/>
    <n v="1555"/>
    <n v="1296"/>
    <n v="9.9605803849126318E-2"/>
    <n v="84547"/>
    <n v="78596"/>
    <n v="5951"/>
    <s v="unknown"/>
    <d v="2019-06-24T00:00:00"/>
    <s v="Has no high school or college education"/>
    <x v="0"/>
    <x v="2"/>
    <n v="18"/>
    <x v="1"/>
  </r>
  <r>
    <s v="b246149e47d617605015006899a34756"/>
    <n v="5942"/>
    <n v="576"/>
    <n v="10.315972222222221"/>
    <n v="5.1839056393076489E-2"/>
    <s v="Medium Engagement"/>
    <n v="745"/>
    <n v="0.12537866038370918"/>
    <n v="5.8930548963771555E-2"/>
    <n v="0.27832419120416751"/>
    <x v="1"/>
    <n v="157"/>
    <n v="116"/>
    <n v="1388"/>
    <n v="3493"/>
    <n v="4265"/>
    <n v="5.6784980490471433E-2"/>
    <n v="48200"/>
    <n v="1937"/>
    <n v="46263"/>
    <s v="unknown"/>
    <d v="2015-01-19T00:00:00"/>
    <s v="Has no high school or college education"/>
    <x v="1"/>
    <x v="2"/>
    <n v="19"/>
    <x v="1"/>
  </r>
  <r>
    <s v="eac80be180cbe0c7f37a3c68203a04b4"/>
    <n v="6272"/>
    <n v="612"/>
    <n v="10.248366013071895"/>
    <n v="5.1499326698853744E-2"/>
    <s v="Medium Engagement"/>
    <n v="669"/>
    <n v="0.10666454081632654"/>
    <n v="5.2918841955386806E-2"/>
    <n v="0.368636576700764"/>
    <x v="1"/>
    <n v="161"/>
    <n v="209"/>
    <n v="1252"/>
    <n v="4288"/>
    <n v="5030"/>
    <n v="0.15980023939228291"/>
    <n v="135641"/>
    <n v="3014"/>
    <n v="132627"/>
    <s v="unknown"/>
    <d v="2019-02-18T00:00:00"/>
    <s v="Has no high school or college education"/>
    <x v="1"/>
    <x v="2"/>
    <n v="29"/>
    <x v="0"/>
  </r>
  <r>
    <s v="d24af740b55dfdf143caf890877c3b86"/>
    <n v="1748"/>
    <n v="171"/>
    <n v="10.222222222222221"/>
    <n v="5.13679508654383E-2"/>
    <s v="Medium Engagement"/>
    <n v="122"/>
    <n v="6.9794050343249425E-2"/>
    <n v="9.650371776617624E-3"/>
    <n v="0.12430333205721697"/>
    <x v="2"/>
    <n v="40"/>
    <n v="1"/>
    <n v="177"/>
    <n v="684"/>
    <n v="720"/>
    <n v="2.2666867731051255E-3"/>
    <n v="1924"/>
    <n v="525"/>
    <n v="1399"/>
    <s v="unknown"/>
    <d v="2020-01-06T00:00:00"/>
    <s v="Has no high school or college education"/>
    <x v="0"/>
    <x v="125"/>
    <n v="25"/>
    <x v="0"/>
  </r>
  <r>
    <s v="aab41a6c19403e836ad5a95fef4f648c"/>
    <n v="92"/>
    <n v="9"/>
    <n v="10.222222222222221"/>
    <n v="5.13679508654383E-2"/>
    <s v="Medium Engagement"/>
    <n v="0"/>
    <n v="0"/>
    <n v="0"/>
    <n v="0.106703781695439"/>
    <x v="2"/>
    <n v="0"/>
    <n v="0"/>
    <n v="1"/>
    <n v="1"/>
    <n v="0"/>
    <n v="3.9678799645624018E-3"/>
    <n v="3368"/>
    <n v="1026"/>
    <n v="2342"/>
    <s v="USA"/>
    <d v="2021-01-01T00:00:00"/>
    <s v="Has no high school or college education"/>
    <x v="0"/>
    <x v="17"/>
    <n v="23"/>
    <x v="0"/>
  </r>
  <r>
    <s v="cc522f935e499cd6a045f9aa8272ccbf"/>
    <n v="2589"/>
    <n v="255"/>
    <n v="10.152941176470588"/>
    <n v="5.1019804906887373E-2"/>
    <s v="Medium Engagement"/>
    <n v="104"/>
    <n v="4.0169949787562768E-2"/>
    <n v="8.2265464325264985E-3"/>
    <n v="0.1798782090783301"/>
    <x v="1"/>
    <n v="40"/>
    <n v="0"/>
    <n v="132"/>
    <n v="2947"/>
    <n v="2570"/>
    <n v="6.1385506399502368E-2"/>
    <n v="52105"/>
    <n v="5043"/>
    <n v="47062"/>
    <s v="Hungary"/>
    <d v="2019-10-11T00:00:00"/>
    <s v="Has no high school or college education"/>
    <x v="0"/>
    <x v="3"/>
    <n v="30"/>
    <x v="0"/>
  </r>
  <r>
    <s v="89bb5d6650ad1a5e394841ba2209e82c"/>
    <n v="1482"/>
    <n v="146"/>
    <n v="10.150684931506849"/>
    <n v="5.1008466992496726E-2"/>
    <s v="Medium Engagement"/>
    <n v="23"/>
    <n v="1.5519568151147099E-2"/>
    <n v="1.8193323841164373E-3"/>
    <n v="0.11071205386246084"/>
    <x v="2"/>
    <n v="8"/>
    <n v="0"/>
    <n v="27"/>
    <n v="294"/>
    <n v="196"/>
    <n v="5.05645510923451E-3"/>
    <n v="4292"/>
    <n v="2423"/>
    <n v="1869"/>
    <s v="unknown"/>
    <d v="2020-10-30T00:00:00"/>
    <s v="Has no high school or college education"/>
    <x v="0"/>
    <x v="2"/>
    <n v="21"/>
    <x v="0"/>
  </r>
  <r>
    <s v="be63d558e170a31e682c0ff65269b86a"/>
    <n v="618"/>
    <n v="61"/>
    <n v="10.131147540983607"/>
    <n v="5.0910289150671389E-2"/>
    <s v="Medium Engagement"/>
    <n v="41"/>
    <n v="6.6343042071197414E-2"/>
    <n v="3.2431577282075619E-3"/>
    <n v="0.13625170158418906"/>
    <x v="1"/>
    <n v="3"/>
    <n v="0"/>
    <n v="53"/>
    <n v="696"/>
    <n v="516"/>
    <n v="2.7944807826431169E-2"/>
    <n v="23720"/>
    <n v="1678"/>
    <n v="22042"/>
    <s v="Brazil"/>
    <d v="2021-01-24T00:00:00"/>
    <s v="Has no high school or college education"/>
    <x v="0"/>
    <x v="2"/>
    <n v="21"/>
    <x v="0"/>
  </r>
  <r>
    <s v="ec84081bb1c7633d2f82448d86876aaa"/>
    <n v="7154"/>
    <n v="707"/>
    <n v="10.118811881188119"/>
    <n v="5.0848300910493062E-2"/>
    <s v="Medium Engagement"/>
    <n v="415"/>
    <n v="5.8009505171931784E-2"/>
    <n v="3.2827084322100936E-2"/>
    <n v="0.19942603766090533"/>
    <x v="1"/>
    <n v="139"/>
    <n v="101"/>
    <n v="1476"/>
    <n v="2298"/>
    <n v="2628"/>
    <n v="3.2075267195717329E-2"/>
    <n v="27226"/>
    <n v="4164"/>
    <n v="23062"/>
    <s v="United Kingdom"/>
    <d v="2018-06-22T00:00:00"/>
    <s v="Has no high school or college education"/>
    <x v="0"/>
    <x v="2"/>
    <n v="20"/>
    <x v="1"/>
  </r>
  <r>
    <s v="5449290fde2906e39d4eb782f7b6e766"/>
    <n v="6403"/>
    <n v="639"/>
    <n v="10.020344287949921"/>
    <n v="5.0353488884170461E-2"/>
    <s v="Medium Engagement"/>
    <n v="33"/>
    <n v="5.153834140246759E-3"/>
    <n v="2.6103464641670624E-3"/>
    <n v="0.20051236278541984"/>
    <x v="1"/>
    <n v="4"/>
    <n v="12"/>
    <n v="284"/>
    <n v="414"/>
    <n v="370"/>
    <n v="9.4584692088744787E-2"/>
    <n v="80285"/>
    <n v="16314"/>
    <n v="63971"/>
    <s v="Norway"/>
    <d v="2019-01-30T00:00:00"/>
    <s v="Has no high school or college education"/>
    <x v="0"/>
    <x v="2"/>
    <n v="30"/>
    <x v="0"/>
  </r>
  <r>
    <s v="1b7862146def0e74ef81416833b27abf"/>
    <n v="2821"/>
    <n v="282"/>
    <n v="10.00354609929078"/>
    <n v="5.0269075875833069E-2"/>
    <s v="Medium Engagement"/>
    <n v="115"/>
    <n v="4.0765685926976249E-2"/>
    <n v="9.0966619205821858E-3"/>
    <n v="0.14702147012639255"/>
    <x v="1"/>
    <n v="52"/>
    <n v="2"/>
    <n v="451"/>
    <n v="565"/>
    <n v="424"/>
    <n v="2.8289994533562044E-2"/>
    <n v="24013"/>
    <n v="8521"/>
    <n v="15492"/>
    <s v="USA"/>
    <d v="2019-11-21T00:00:00"/>
    <s v="Has no high school or college education"/>
    <x v="0"/>
    <x v="126"/>
    <n v="21"/>
    <x v="0"/>
  </r>
  <r>
    <s v="9c68e3638e8bb205ab8fccfe54d484e7"/>
    <n v="2426"/>
    <n v="243"/>
    <n v="9.9835390946502063"/>
    <n v="5.0168538164071387E-2"/>
    <s v="Medium Engagement"/>
    <n v="56"/>
    <n v="2.3083264633140973E-2"/>
    <n v="4.4296788482834993E-3"/>
    <n v="0.17546992557058075"/>
    <x v="1"/>
    <n v="25"/>
    <n v="1"/>
    <n v="145"/>
    <n v="306"/>
    <n v="332"/>
    <n v="6.6273491545870949E-2"/>
    <n v="56254"/>
    <n v="4048"/>
    <n v="52206"/>
    <s v="unknown"/>
    <d v="2018-11-09T00:00:00"/>
    <s v="Has no high school or college education"/>
    <x v="0"/>
    <x v="79"/>
    <n v="18"/>
    <x v="1"/>
  </r>
  <r>
    <s v="e52ac0eabc2f91120e116e81dff31e9b"/>
    <n v="7225"/>
    <n v="726"/>
    <n v="9.951790633608816"/>
    <n v="5.0008998158838268E-2"/>
    <s v="Medium Engagement"/>
    <n v="337"/>
    <n v="4.6643598615916958E-2"/>
    <n v="2.6657174497706059E-2"/>
    <n v="0.30181800062590081"/>
    <x v="1"/>
    <n v="177"/>
    <n v="7"/>
    <n v="407"/>
    <n v="1364"/>
    <n v="1195"/>
    <n v="0.14848565531281219"/>
    <n v="126037"/>
    <n v="26047"/>
    <n v="99990"/>
    <s v="USA"/>
    <d v="2015-10-04T00:00:00"/>
    <s v="Has high school and/or college education"/>
    <x v="0"/>
    <x v="2"/>
    <n v="40"/>
    <x v="3"/>
  </r>
  <r>
    <s v="15bad1926e902149ca19fe4dbe184eee"/>
    <n v="1840"/>
    <n v="185"/>
    <n v="9.9459459459459456"/>
    <n v="4.9979627869075102E-2"/>
    <s v="Medium Engagement"/>
    <n v="55"/>
    <n v="2.9891304347826088E-2"/>
    <n v="4.3505774402784365E-3"/>
    <n v="0.12694116875710221"/>
    <x v="2"/>
    <n v="25"/>
    <n v="1"/>
    <n v="85"/>
    <n v="462"/>
    <n v="416"/>
    <n v="1.828075813839513E-2"/>
    <n v="15517"/>
    <n v="10431"/>
    <n v="5086"/>
    <s v="USA"/>
    <d v="2020-01-06T00:00:00"/>
    <s v="Has no high school or college education"/>
    <x v="0"/>
    <x v="2"/>
    <n v="30"/>
    <x v="0"/>
  </r>
  <r>
    <s v="61423c124527258bafc22aaae1cc9ea4"/>
    <n v="4772"/>
    <n v="481"/>
    <n v="9.9209979209979213"/>
    <n v="4.985426090953729E-2"/>
    <s v="Medium Engagement"/>
    <n v="67"/>
    <n v="1.4040234702430847E-2"/>
    <n v="5.2997943363391866E-3"/>
    <n v="0.15744435674535798"/>
    <x v="1"/>
    <n v="27"/>
    <n v="5"/>
    <n v="274"/>
    <n v="304"/>
    <n v="310"/>
    <n v="4.7136246253605019E-2"/>
    <n v="40010"/>
    <n v="15775"/>
    <n v="24235"/>
    <s v="USA"/>
    <d v="2018-09-30T00:00:00"/>
    <s v="Has no high school or college education"/>
    <x v="0"/>
    <x v="1"/>
    <n v="20"/>
    <x v="1"/>
  </r>
  <r>
    <s v="de422c8b3806dbf27f23fbcbe8ef713b"/>
    <n v="297"/>
    <n v="30"/>
    <n v="9.9"/>
    <n v="4.9748743718592968E-2"/>
    <s v="Medium Engagement"/>
    <n v="9"/>
    <n v="3.0303030303030304E-2"/>
    <n v="7.1191267204556241E-4"/>
    <n v="0.10522142022505757"/>
    <x v="2"/>
    <n v="4"/>
    <n v="0"/>
    <n v="15"/>
    <n v="48"/>
    <n v="40"/>
    <n v="4.3001074437805133E-3"/>
    <n v="3650"/>
    <n v="2780"/>
    <n v="870"/>
    <s v="Switzerland"/>
    <d v="2021-02-21T00:00:00"/>
    <s v="Has no high school or college education"/>
    <x v="0"/>
    <x v="2"/>
    <n v="24"/>
    <x v="0"/>
  </r>
  <r>
    <s v="60d8c4278ba74a4739eb420d70f76111"/>
    <n v="2838"/>
    <n v="287"/>
    <n v="9.8885017421602779"/>
    <n v="4.9690963528443606E-2"/>
    <s v="Medium Engagement"/>
    <n v="22"/>
    <n v="7.7519379844961239E-3"/>
    <n v="1.7402309761113748E-3"/>
    <n v="0.15108249796087336"/>
    <x v="1"/>
    <n v="4"/>
    <n v="8"/>
    <n v="115"/>
    <n v="123"/>
    <n v="115"/>
    <n v="4.8220108951763395E-2"/>
    <n v="40930"/>
    <n v="5038"/>
    <n v="35892"/>
    <s v="United Kingdom"/>
    <d v="2020-02-09T00:00:00"/>
    <s v="Has no high school or college education"/>
    <x v="0"/>
    <x v="127"/>
    <n v="20"/>
    <x v="1"/>
  </r>
  <r>
    <s v="2e4a173c5751c2e853c33717c8245daa"/>
    <n v="3163"/>
    <n v="320"/>
    <n v="9.8843750000000004"/>
    <n v="4.9670226130653271E-2"/>
    <s v="Medium Engagement"/>
    <n v="158"/>
    <n v="4.9952576667720516E-2"/>
    <n v="1.2498022464799873E-2"/>
    <n v="0.14001951918860661"/>
    <x v="1"/>
    <n v="58"/>
    <n v="9"/>
    <n v="617"/>
    <n v="887"/>
    <n v="1131"/>
    <n v="1.5683021997700327E-2"/>
    <n v="13312"/>
    <n v="8710"/>
    <n v="4602"/>
    <s v="Sweden"/>
    <d v="2020-02-15T00:00:00"/>
    <s v="Has no high school or college education"/>
    <x v="0"/>
    <x v="58"/>
    <n v="28"/>
    <x v="0"/>
  </r>
  <r>
    <s v="f400cf377369a31551ef00d448bda349"/>
    <n v="11978"/>
    <n v="1216"/>
    <n v="9.8503289473684212"/>
    <n v="4.949914043903729E-2"/>
    <s v="Medium Engagement"/>
    <n v="397"/>
    <n v="3.3144097512105529E-2"/>
    <n v="3.1403258978009808E-2"/>
    <n v="0.21150108165628417"/>
    <x v="1"/>
    <n v="122"/>
    <n v="11"/>
    <n v="1138"/>
    <n v="4074"/>
    <n v="4281"/>
    <n v="4.969628282218997E-2"/>
    <n v="42183"/>
    <n v="16245"/>
    <n v="25938"/>
    <s v="Denmark"/>
    <d v="2016-04-21T00:00:00"/>
    <s v="Has high school and/or college education"/>
    <x v="0"/>
    <x v="128"/>
    <n v="21"/>
    <x v="0"/>
  </r>
  <r>
    <s v="56e5773cf3c999ecb971ee38f07f582a"/>
    <n v="18781"/>
    <n v="1912"/>
    <n v="9.822698744769875"/>
    <n v="4.9360295199848615E-2"/>
    <s v="Medium Engagement"/>
    <n v="1460"/>
    <n v="7.7738139609179496E-2"/>
    <n v="0.11548805568739123"/>
    <n v="0.51213553421873148"/>
    <x v="1"/>
    <n v="550"/>
    <n v="271"/>
    <n v="4114"/>
    <n v="3689"/>
    <n v="3975"/>
    <n v="0.18243883244425177"/>
    <n v="154857"/>
    <n v="113065"/>
    <n v="41792"/>
    <s v="Italy"/>
    <d v="2013-05-20T00:00:00"/>
    <s v="Has high school and/or college education"/>
    <x v="0"/>
    <x v="129"/>
    <n v="19"/>
    <x v="1"/>
  </r>
  <r>
    <s v="d3266517d2bed5737f8531b88d5c0333"/>
    <n v="11707"/>
    <n v="1193"/>
    <n v="9.8130762782900245"/>
    <n v="4.9311941096934798E-2"/>
    <s v="Medium Engagement"/>
    <n v="282"/>
    <n v="2.4088152387460492E-2"/>
    <n v="2.2306597057427623E-2"/>
    <n v="0.26809099046679913"/>
    <x v="1"/>
    <n v="112"/>
    <n v="13"/>
    <n v="1679"/>
    <n v="6288"/>
    <n v="4654"/>
    <n v="0.1248539141580743"/>
    <n v="105978"/>
    <n v="41886"/>
    <n v="64092"/>
    <s v="unknown"/>
    <d v="2014-11-26T00:00:00"/>
    <s v="Has no high school or college education"/>
    <x v="0"/>
    <x v="130"/>
    <n v="19"/>
    <x v="1"/>
  </r>
  <r>
    <s v="abb1d753a076851ec6ab882915965531"/>
    <n v="950"/>
    <n v="97"/>
    <n v="9.7938144329896915"/>
    <n v="4.9215147904470812E-2"/>
    <s v="Medium Engagement"/>
    <n v="45"/>
    <n v="4.736842105263158E-2"/>
    <n v="3.559563360227812E-3"/>
    <n v="0.11711376627409575"/>
    <x v="2"/>
    <n v="5"/>
    <n v="7"/>
    <n v="118"/>
    <n v="880"/>
    <n v="1236"/>
    <n v="1.1564343744698497E-2"/>
    <n v="9816"/>
    <n v="358"/>
    <n v="9458"/>
    <s v="Finland"/>
    <d v="2020-11-04T00:00:00"/>
    <s v="Has no high school or college education"/>
    <x v="1"/>
    <x v="2"/>
    <n v="32"/>
    <x v="3"/>
  </r>
  <r>
    <s v="7c2fb98fbd2d3e8463c49d10fc160034"/>
    <n v="39"/>
    <n v="4"/>
    <n v="9.75"/>
    <n v="4.8994974874371856E-2"/>
    <s v="Medium Engagement"/>
    <n v="23"/>
    <n v="0.58974358974358976"/>
    <n v="1.8193323841164373E-3"/>
    <n v="0.10206333770786838"/>
    <x v="2"/>
    <n v="9"/>
    <n v="1"/>
    <n v="3"/>
    <n v="199"/>
    <n v="234"/>
    <n v="4.3472319089178337E-4"/>
    <n v="369"/>
    <n v="340"/>
    <n v="29"/>
    <s v="unknown"/>
    <d v="2021-04-11T00:00:00"/>
    <s v="Has no high school or college education"/>
    <x v="0"/>
    <x v="131"/>
    <n v="23"/>
    <x v="0"/>
  </r>
  <r>
    <s v="13e46b1fdc4b50357865832b994a29de"/>
    <n v="4139"/>
    <n v="425"/>
    <n v="9.7388235294117642"/>
    <n v="4.8938811705586754E-2"/>
    <s v="Medium Engagement"/>
    <n v="226"/>
    <n v="5.4602561005073692E-2"/>
    <n v="1.7876918209144124E-2"/>
    <n v="0.18149106662292466"/>
    <x v="1"/>
    <n v="86"/>
    <n v="5"/>
    <n v="431"/>
    <n v="1715"/>
    <n v="1278"/>
    <n v="4.7859606793462892E-2"/>
    <n v="40624"/>
    <n v="14928"/>
    <n v="25696"/>
    <s v="USA"/>
    <d v="2019-05-17T00:00:00"/>
    <s v="Has no high school or college education"/>
    <x v="0"/>
    <x v="132"/>
    <n v="20"/>
    <x v="1"/>
  </r>
  <r>
    <s v="3e13dc811e8600964490b0514abedfda"/>
    <n v="603"/>
    <n v="62"/>
    <n v="9.7258064516129039"/>
    <n v="4.8873399254336203E-2"/>
    <s v="Medium Engagement"/>
    <n v="5"/>
    <n v="8.291873963515755E-3"/>
    <n v="3.9550704002531246E-4"/>
    <n v="0.10952252541223248"/>
    <x v="2"/>
    <n v="3"/>
    <n v="1"/>
    <n v="6"/>
    <n v="8"/>
    <n v="6"/>
    <n v="1.0984712823509454E-2"/>
    <n v="9324"/>
    <n v="1660"/>
    <n v="7664"/>
    <s v="Hungary"/>
    <d v="2020-10-13T00:00:00"/>
    <s v="Has no high school or college education"/>
    <x v="0"/>
    <x v="2"/>
    <n v="21"/>
    <x v="0"/>
  </r>
  <r>
    <s v="65a9b8d851c6336db44a6f4e5dc0b4db"/>
    <n v="1400"/>
    <n v="144"/>
    <n v="9.7222222222222214"/>
    <n v="4.8855388051367944E-2"/>
    <s v="Medium Engagement"/>
    <n v="22"/>
    <n v="1.5714285714285715E-2"/>
    <n v="1.7402309761113748E-3"/>
    <n v="0.11245751955766359"/>
    <x v="2"/>
    <n v="6"/>
    <n v="0"/>
    <n v="32"/>
    <n v="435"/>
    <n v="388"/>
    <n v="1.1266281502704945E-2"/>
    <n v="9563"/>
    <n v="4171"/>
    <n v="5392"/>
    <s v="Netherlands"/>
    <d v="2020-06-02T00:00:00"/>
    <s v="Has no high school or college education"/>
    <x v="0"/>
    <x v="133"/>
    <n v="36"/>
    <x v="3"/>
  </r>
  <r>
    <s v="5080f28d6123204e2ee769e2c661bf7a"/>
    <n v="233"/>
    <n v="24"/>
    <n v="9.7083333333333339"/>
    <n v="4.8785594639866002E-2"/>
    <s v="Medium Engagement"/>
    <n v="26"/>
    <n v="0.11158798283261803"/>
    <n v="2.0566366081316246E-3"/>
    <n v="0.10261634879408577"/>
    <x v="2"/>
    <n v="14"/>
    <n v="0"/>
    <n v="23"/>
    <n v="73"/>
    <n v="54"/>
    <n v="9.3188629809051672E-4"/>
    <n v="791"/>
    <n v="276"/>
    <n v="515"/>
    <s v="Belarus"/>
    <d v="2020-10-23T00:00:00"/>
    <s v="Has no high school or college education"/>
    <x v="0"/>
    <x v="134"/>
    <n v="22"/>
    <x v="0"/>
  </r>
  <r>
    <s v="904ec30bfd151f2dc2d6b0e35b8b629d"/>
    <n v="970"/>
    <n v="100"/>
    <n v="9.6999999999999993"/>
    <n v="4.8743718592964821E-2"/>
    <s v="Medium Engagement"/>
    <n v="17"/>
    <n v="1.7525773195876289E-2"/>
    <n v="1.3447239360860623E-3"/>
    <n v="0.11162341763995696"/>
    <x v="2"/>
    <n v="4"/>
    <n v="1"/>
    <n v="75"/>
    <n v="78"/>
    <n v="49"/>
    <n v="1.1446532581855197E-2"/>
    <n v="9716"/>
    <n v="1093"/>
    <n v="8623"/>
    <s v="unknown"/>
    <d v="2020-11-28T00:00:00"/>
    <s v="Has no high school or college education"/>
    <x v="0"/>
    <x v="135"/>
    <n v="20"/>
    <x v="1"/>
  </r>
  <r>
    <s v="af5dd97ab595c93ae459a25cd4759937"/>
    <n v="5785"/>
    <n v="601"/>
    <n v="9.6256239600665552"/>
    <n v="4.8369969648575657E-2"/>
    <s v="Medium Engagement"/>
    <n v="480"/>
    <n v="8.2973206568712182E-2"/>
    <n v="3.7968675842429994E-2"/>
    <n v="0.18493907681074215"/>
    <x v="1"/>
    <n v="123"/>
    <n v="36"/>
    <n v="774"/>
    <n v="5610"/>
    <n v="6691"/>
    <n v="1.2261785828730843E-2"/>
    <n v="10408"/>
    <n v="1678"/>
    <n v="8730"/>
    <s v="unknown"/>
    <d v="2017-01-26T00:00:00"/>
    <s v="Has high school and/or college education"/>
    <x v="1"/>
    <x v="2"/>
    <n v="34"/>
    <x v="3"/>
  </r>
  <r>
    <s v="29515b5ec48f92c01bee425f4aaae46a"/>
    <n v="2536"/>
    <n v="264"/>
    <n v="9.6060606060606055"/>
    <n v="4.8271661336987966E-2"/>
    <s v="Medium Engagement"/>
    <n v="19"/>
    <n v="7.49211356466877E-3"/>
    <n v="1.5029267520961873E-3"/>
    <n v="0.13283672023954321"/>
    <x v="2"/>
    <n v="7"/>
    <n v="2"/>
    <n v="23"/>
    <n v="81"/>
    <n v="57"/>
    <n v="3.32875440613749E-2"/>
    <n v="28255"/>
    <n v="5512"/>
    <n v="22743"/>
    <s v="USA"/>
    <d v="2020-01-21T00:00:00"/>
    <s v="Has no high school or college education"/>
    <x v="0"/>
    <x v="2"/>
    <n v="21"/>
    <x v="0"/>
  </r>
  <r>
    <s v="b549af7fb7dfa41d7fc9c9907cc8bb31"/>
    <n v="3821"/>
    <n v="398"/>
    <n v="9.6005025125628141"/>
    <n v="4.8243731218908611E-2"/>
    <s v="Medium Engagement"/>
    <n v="27"/>
    <n v="7.0662130332373721E-3"/>
    <n v="2.1357380161366873E-3"/>
    <n v="0.16603221324342191"/>
    <x v="1"/>
    <n v="7"/>
    <n v="6"/>
    <n v="177"/>
    <n v="139"/>
    <n v="128"/>
    <n v="6.5273274773331322E-2"/>
    <n v="55405"/>
    <n v="7609"/>
    <n v="47796"/>
    <s v="United Kingdom"/>
    <d v="2020-02-09T00:00:00"/>
    <s v="Has no high school or college education"/>
    <x v="0"/>
    <x v="2"/>
    <n v="20"/>
    <x v="1"/>
  </r>
  <r>
    <s v="8fbf5a51e9a3da5877a4f7fcf8273e74"/>
    <n v="1842"/>
    <n v="192"/>
    <n v="9.59375"/>
    <n v="4.8209798994974871E-2"/>
    <s v="Medium Engagement"/>
    <n v="51"/>
    <n v="2.7687296416938109E-2"/>
    <n v="4.0341718082581874E-3"/>
    <n v="0.13233143183285204"/>
    <x v="2"/>
    <n v="17"/>
    <n v="0"/>
    <n v="57"/>
    <n v="1570"/>
    <n v="1296"/>
    <n v="2.7843490226385929E-2"/>
    <n v="23634"/>
    <n v="5225"/>
    <n v="18409"/>
    <s v="Suisse"/>
    <d v="2020-09-04T00:00:00"/>
    <s v="Has no high school or college education"/>
    <x v="0"/>
    <x v="27"/>
    <n v="19"/>
    <x v="1"/>
  </r>
  <r>
    <s v="48577c92e4c59d8603d6cdc4fe04f221"/>
    <n v="1957"/>
    <n v="204"/>
    <n v="9.5931372549019613"/>
    <n v="4.82067198738792E-2"/>
    <s v="Medium Engagement"/>
    <n v="17"/>
    <n v="8.6867654573326517E-3"/>
    <n v="1.3447239360860623E-3"/>
    <n v="0.11144125070450951"/>
    <x v="2"/>
    <n v="4"/>
    <n v="1"/>
    <n v="43"/>
    <n v="1793"/>
    <n v="2180"/>
    <n v="1.2338363084578989E-2"/>
    <n v="10473"/>
    <n v="3579"/>
    <n v="6894"/>
    <s v="unknown"/>
    <d v="2019-11-29T00:00:00"/>
    <s v="Has no high school or college education"/>
    <x v="0"/>
    <x v="2"/>
    <n v="22"/>
    <x v="0"/>
  </r>
  <r>
    <s v="8bebf794232e8a02fae485efee6adf04"/>
    <n v="18563"/>
    <n v="1937"/>
    <n v="9.5833763551884363"/>
    <n v="4.8157670126575056E-2"/>
    <s v="Medium Engagement"/>
    <n v="563"/>
    <n v="3.0329149383181597E-2"/>
    <n v="4.453409270685018E-2"/>
    <n v="0.35380518595600624"/>
    <x v="1"/>
    <n v="225"/>
    <n v="25"/>
    <n v="3390"/>
    <n v="5309"/>
    <n v="4771"/>
    <n v="0.16842166028915573"/>
    <n v="142959"/>
    <n v="70945"/>
    <n v="72014"/>
    <s v="unknown"/>
    <d v="2014-03-05T00:00:00"/>
    <s v="Has high school and/or college education"/>
    <x v="0"/>
    <x v="2"/>
    <n v="18"/>
    <x v="1"/>
  </r>
  <r>
    <s v="f594228269d51cc0fa1819b473ede164"/>
    <n v="15734"/>
    <n v="1656"/>
    <n v="9.5012077294685984"/>
    <n v="4.7744762459641196E-2"/>
    <s v="Medium Engagement"/>
    <n v="102"/>
    <n v="6.4827761535528154E-3"/>
    <n v="8.0683436165163748E-3"/>
    <n v="0.50302434790847428"/>
    <x v="1"/>
    <n v="9"/>
    <n v="68"/>
    <n v="2293"/>
    <n v="104"/>
    <n v="204"/>
    <n v="0.39139813575615917"/>
    <n v="332225"/>
    <n v="66815"/>
    <n v="265410"/>
    <s v="Germany"/>
    <d v="2014-02-06T00:00:00"/>
    <s v="Has no high school or college education"/>
    <x v="0"/>
    <x v="136"/>
    <n v="19"/>
    <x v="1"/>
  </r>
  <r>
    <s v="60a6b14d404acda234e277d1dc43ccb2"/>
    <n v="750"/>
    <n v="79"/>
    <n v="9.4936708860759502"/>
    <n v="4.7706888874753516E-2"/>
    <s v="Medium Engagement"/>
    <n v="79"/>
    <n v="0.10533333333333333"/>
    <n v="6.2490112323999366E-3"/>
    <n v="0.11872804307495044"/>
    <x v="2"/>
    <n v="31"/>
    <n v="8"/>
    <n v="243"/>
    <n v="516"/>
    <n v="614"/>
    <n v="1.0816242860643532E-2"/>
    <n v="9181"/>
    <n v="718"/>
    <n v="8463"/>
    <s v="Australia"/>
    <d v="2020-10-03T00:00:00"/>
    <s v="Has no high school or college education"/>
    <x v="1"/>
    <x v="2"/>
    <n v="18"/>
    <x v="1"/>
  </r>
  <r>
    <s v="02a7ad3f6f810ea8f87e64ed0b01b69c"/>
    <n v="8986"/>
    <n v="948"/>
    <n v="9.4789029535864984"/>
    <n v="4.763267815872612E-2"/>
    <s v="Medium Engagement"/>
    <n v="106"/>
    <n v="1.1796127309147563E-2"/>
    <n v="8.3847492485366239E-3"/>
    <n v="0.26010699294575773"/>
    <x v="1"/>
    <n v="62"/>
    <n v="12"/>
    <n v="776"/>
    <n v="157"/>
    <n v="116"/>
    <n v="0.14807213813123221"/>
    <n v="125686"/>
    <n v="34592"/>
    <n v="91094"/>
    <s v="United Kingdom"/>
    <d v="2014-05-15T00:00:00"/>
    <s v="Has high school and/or college education"/>
    <x v="0"/>
    <x v="137"/>
    <n v="15"/>
    <x v="1"/>
  </r>
  <r>
    <s v="eeb97af3097b1228e668de249a15166b"/>
    <n v="8111"/>
    <n v="856"/>
    <n v="9.4754672897196262"/>
    <n v="4.7615413516179025E-2"/>
    <s v="Medium Engagement"/>
    <n v="14"/>
    <n v="1.7260510417950931E-3"/>
    <n v="1.1074197120708748E-3"/>
    <n v="0.20468209932298675"/>
    <x v="1"/>
    <n v="5"/>
    <n v="5"/>
    <n v="163"/>
    <n v="55"/>
    <n v="60"/>
    <n v="0.10723643286648697"/>
    <n v="91024"/>
    <n v="22326"/>
    <n v="68698"/>
    <s v="Norway"/>
    <d v="2018-08-18T00:00:00"/>
    <s v="Has no high school or college education"/>
    <x v="0"/>
    <x v="2"/>
    <n v="19"/>
    <x v="1"/>
  </r>
  <r>
    <s v="4e916dcf5ecfaa5999e28488a09a7e1c"/>
    <n v="8841"/>
    <n v="936"/>
    <n v="9.4455128205128212"/>
    <n v="4.7464888545290559E-2"/>
    <s v="Medium Engagement"/>
    <n v="457"/>
    <n v="5.1690985182671643E-2"/>
    <n v="3.6149343458313561E-2"/>
    <n v="0.17453629043837826"/>
    <x v="1"/>
    <n v="193"/>
    <n v="36"/>
    <n v="950"/>
    <n v="1782"/>
    <n v="1394"/>
    <n v="7.3078264311700059E-3"/>
    <n v="6203"/>
    <n v="2126"/>
    <n v="4077"/>
    <s v="USA"/>
    <d v="2017-07-21T00:00:00"/>
    <s v="Has high school and/or college education"/>
    <x v="0"/>
    <x v="2"/>
    <n v="31"/>
    <x v="3"/>
  </r>
  <r>
    <s v="d3966b7912c2933c5bd55ec5330640e7"/>
    <n v="3122"/>
    <n v="331"/>
    <n v="9.4320241691842899"/>
    <n v="4.73971063778105E-2"/>
    <s v="Medium Engagement"/>
    <n v="124"/>
    <n v="3.9718129404228059E-2"/>
    <n v="9.8085745926277494E-3"/>
    <n v="0.14479603894979245"/>
    <x v="1"/>
    <n v="47"/>
    <n v="9"/>
    <n v="194"/>
    <n v="921"/>
    <n v="789"/>
    <n v="3.038467700891595E-2"/>
    <n v="25791"/>
    <n v="11058"/>
    <n v="14733"/>
    <s v="USA"/>
    <d v="2014-09-30T00:00:00"/>
    <s v="Has high school and/or college education"/>
    <x v="0"/>
    <x v="138"/>
    <n v="17"/>
    <x v="1"/>
  </r>
  <r>
    <s v="39c729da3485373eeeaf075d40625d8f"/>
    <n v="15060"/>
    <n v="1599"/>
    <n v="9.4183864915572233"/>
    <n v="4.732857533445841E-2"/>
    <s v="Medium Engagement"/>
    <n v="193"/>
    <n v="1.2815405046480743E-2"/>
    <n v="1.5266571744977061E-2"/>
    <n v="0.24565338627777539"/>
    <x v="1"/>
    <n v="36"/>
    <n v="6"/>
    <n v="364"/>
    <n v="11970"/>
    <n v="9640"/>
    <n v="0.12046309211890445"/>
    <n v="102251"/>
    <n v="86745"/>
    <n v="15506"/>
    <s v="unknown"/>
    <d v="2015-03-08T00:00:00"/>
    <s v="Has high school and/or college education"/>
    <x v="0"/>
    <x v="2"/>
    <n v="22"/>
    <x v="0"/>
  </r>
  <r>
    <s v="ebaa9ab3c1b0c36c54ed8b3079213a62"/>
    <n v="706"/>
    <n v="75"/>
    <n v="9.413333333333334"/>
    <n v="4.7303182579564493E-2"/>
    <s v="Medium Engagement"/>
    <n v="59"/>
    <n v="8.3569405099150146E-2"/>
    <n v="4.6669830722986866E-3"/>
    <n v="0.12011933829699699"/>
    <x v="2"/>
    <n v="14"/>
    <n v="4"/>
    <n v="109"/>
    <n v="525"/>
    <n v="688"/>
    <n v="1.6179006993270625E-2"/>
    <n v="13733"/>
    <n v="202"/>
    <n v="13531"/>
    <s v="Canada"/>
    <d v="2020-01-07T00:00:00"/>
    <s v="Has no high school or college education"/>
    <x v="1"/>
    <x v="139"/>
    <n v="23"/>
    <x v="0"/>
  </r>
  <r>
    <s v="660739f95eadceb0dccf0673ce8d47ff"/>
    <n v="12246"/>
    <n v="1306"/>
    <n v="9.3767228177641648"/>
    <n v="4.7119210139518419E-2"/>
    <s v="Medium Engagement"/>
    <n v="347"/>
    <n v="2.8335783112853178E-2"/>
    <n v="2.7448188577756685E-2"/>
    <n v="0.30651519554203172"/>
    <x v="1"/>
    <n v="121"/>
    <n v="41"/>
    <n v="589"/>
    <n v="3469"/>
    <n v="3317"/>
    <n v="0.15738039810748147"/>
    <n v="133587"/>
    <n v="34622"/>
    <n v="98965"/>
    <s v="unknown"/>
    <d v="2017-05-27T00:00:00"/>
    <s v="Has high school and/or college education"/>
    <x v="0"/>
    <x v="1"/>
    <n v="39"/>
    <x v="3"/>
  </r>
  <r>
    <s v="51fc9e218bb9785ef8a6814e282cf8d8"/>
    <n v="10899"/>
    <n v="1163"/>
    <n v="9.371453138435081"/>
    <n v="4.7092729338869752E-2"/>
    <s v="Medium Engagement"/>
    <n v="273"/>
    <n v="2.5048169556840076E-2"/>
    <n v="2.1594684385382059E-2"/>
    <n v="0.2562592499853078"/>
    <x v="1"/>
    <n v="94"/>
    <n v="2"/>
    <n v="1121"/>
    <n v="1258"/>
    <n v="996"/>
    <n v="0.1188844225368042"/>
    <n v="100911"/>
    <n v="32205"/>
    <n v="68706"/>
    <s v="unknown"/>
    <d v="2016-02-15T00:00:00"/>
    <s v="Has no high school or college education"/>
    <x v="0"/>
    <x v="2"/>
    <n v="20"/>
    <x v="1"/>
  </r>
  <r>
    <s v="12ab4e0508ee7981c9aa93f2ccd1a7a3"/>
    <n v="3677"/>
    <n v="393"/>
    <n v="9.3562340966921127"/>
    <n v="4.7016251742171423E-2"/>
    <s v="Medium Engagement"/>
    <n v="386"/>
    <n v="0.10497688332880065"/>
    <n v="3.0533143489954121E-2"/>
    <n v="0.19029369725205902"/>
    <x v="1"/>
    <n v="102"/>
    <n v="78"/>
    <n v="1367"/>
    <n v="2281"/>
    <n v="2759"/>
    <n v="3.5194906787807956E-2"/>
    <n v="29874"/>
    <n v="3091"/>
    <n v="26783"/>
    <s v="Canada"/>
    <d v="2019-08-29T00:00:00"/>
    <s v="Has no high school or college education"/>
    <x v="1"/>
    <x v="140"/>
    <n v="29"/>
    <x v="0"/>
  </r>
  <r>
    <s v="1bdda51e6c3f7ed9b0644befa03637f6"/>
    <n v="2775"/>
    <n v="297"/>
    <n v="9.3434343434343443"/>
    <n v="4.6951931374041932E-2"/>
    <s v="Medium Engagement"/>
    <n v="46"/>
    <n v="1.6576576576576577E-2"/>
    <n v="3.6386647682328747E-3"/>
    <n v="0.16107992180896952"/>
    <x v="1"/>
    <n v="29"/>
    <n v="3"/>
    <n v="43"/>
    <n v="346"/>
    <n v="314"/>
    <n v="5.9898729524419901E-2"/>
    <n v="50843"/>
    <n v="8680"/>
    <n v="42163"/>
    <s v="unknown"/>
    <d v="2019-11-11T00:00:00"/>
    <s v="Has no high school or college education"/>
    <x v="0"/>
    <x v="2"/>
    <n v="25"/>
    <x v="0"/>
  </r>
  <r>
    <s v="d8d4dee2580543df2cefe3f674542f7d"/>
    <n v="812"/>
    <n v="87"/>
    <n v="9.3333333333333339"/>
    <n v="4.6901172529313237E-2"/>
    <s v="Medium Engagement"/>
    <n v="274"/>
    <n v="0.33743842364532017"/>
    <n v="2.1673785793387121E-2"/>
    <n v="0.1479037195897373"/>
    <x v="1"/>
    <n v="94"/>
    <n v="3"/>
    <n v="23"/>
    <n v="3604"/>
    <n v="2801"/>
    <n v="1.0753802944336581E-2"/>
    <n v="9128"/>
    <n v="8319"/>
    <n v="809"/>
    <s v="France"/>
    <d v="2018-07-02T00:00:00"/>
    <s v="Has no high school or college education"/>
    <x v="0"/>
    <x v="3"/>
    <n v="21"/>
    <x v="0"/>
  </r>
  <r>
    <s v="efe2869a59ebe60def74a615335505c0"/>
    <n v="791"/>
    <n v="85"/>
    <n v="9.3058823529411772"/>
    <n v="4.6763227904227024E-2"/>
    <s v="Medium Engagement"/>
    <n v="26"/>
    <n v="3.286978508217446E-2"/>
    <n v="2.0566366081316246E-3"/>
    <n v="0.10816262208988101"/>
    <x v="2"/>
    <n v="10"/>
    <n v="3"/>
    <n v="57"/>
    <n v="168"/>
    <n v="166"/>
    <n v="1.052289306516371E-2"/>
    <n v="8932"/>
    <n v="3559"/>
    <n v="5373"/>
    <s v="USA"/>
    <d v="2020-09-01T00:00:00"/>
    <s v="Has no high school or college education"/>
    <x v="0"/>
    <x v="2"/>
    <n v="20"/>
    <x v="1"/>
  </r>
  <r>
    <s v="258e1114a845d94aa20cce699002c4c5"/>
    <n v="1027"/>
    <n v="111"/>
    <n v="9.2522522522522515"/>
    <n v="4.6493729910815337E-2"/>
    <s v="Medium Engagement"/>
    <n v="39"/>
    <n v="3.7974683544303799E-2"/>
    <n v="3.0849549121974369E-3"/>
    <n v="0.12101251846508645"/>
    <x v="2"/>
    <n v="9"/>
    <n v="12"/>
    <n v="137"/>
    <n v="569"/>
    <n v="796"/>
    <n v="2.1855148819060904E-2"/>
    <n v="18551"/>
    <n v="177"/>
    <n v="18374"/>
    <s v="unknown"/>
    <d v="2015-11-17T00:00:00"/>
    <s v="Has high school and/or college education"/>
    <x v="1"/>
    <x v="2"/>
    <n v="18"/>
    <x v="1"/>
  </r>
  <r>
    <s v="b21ff8857d5e90ae9fb579c75ff66767"/>
    <n v="397"/>
    <n v="43"/>
    <n v="9.2325581395348841"/>
    <n v="4.63947645202758E-2"/>
    <s v="Medium Engagement"/>
    <n v="72"/>
    <n v="0.181360201511335"/>
    <n v="5.6953013763644993E-3"/>
    <n v="0.10908578861407568"/>
    <x v="2"/>
    <n v="23"/>
    <n v="1"/>
    <n v="45"/>
    <n v="689"/>
    <n v="700"/>
    <n v="4.9056568207950842E-3"/>
    <n v="4164"/>
    <n v="3048"/>
    <n v="1116"/>
    <s v="Spain"/>
    <d v="2021-02-08T00:00:00"/>
    <s v="Has no high school or college education"/>
    <x v="0"/>
    <x v="2"/>
    <n v="31"/>
    <x v="3"/>
  </r>
  <r>
    <s v="b6119919b7c8b8c66dd1670c7cfce6aa"/>
    <n v="3054"/>
    <n v="331"/>
    <n v="9.2265861027190326"/>
    <n v="4.6364754285020265E-2"/>
    <s v="Medium Engagement"/>
    <n v="375"/>
    <n v="0.12278978388998035"/>
    <n v="2.9663028001898434E-2"/>
    <n v="0.20285927232675441"/>
    <x v="1"/>
    <n v="82"/>
    <n v="205"/>
    <n v="1272"/>
    <n v="716"/>
    <n v="1262"/>
    <n v="5.0803707752917003E-2"/>
    <n v="43123"/>
    <n v="3019"/>
    <n v="40104"/>
    <s v="unknown"/>
    <d v="2017-04-26T00:00:00"/>
    <s v="Has high school and/or college education"/>
    <x v="1"/>
    <x v="2"/>
    <n v="18"/>
    <x v="1"/>
  </r>
  <r>
    <s v="4bd387b667911de9d717acb61bcb9d62"/>
    <n v="2343"/>
    <n v="254"/>
    <n v="9.2244094488188981"/>
    <n v="4.6353816325723107E-2"/>
    <s v="Medium Engagement"/>
    <n v="818"/>
    <n v="0.34912505335040545"/>
    <n v="6.4704951748141115E-2"/>
    <n v="0.25971343443428291"/>
    <x v="1"/>
    <n v="229"/>
    <n v="319"/>
    <n v="1107"/>
    <n v="1849"/>
    <n v="3011"/>
    <n v="3.7595898286554449E-2"/>
    <n v="31912"/>
    <n v="2325"/>
    <n v="29587"/>
    <s v="unknown"/>
    <d v="2020-02-28T00:00:00"/>
    <s v="Has no high school or college education"/>
    <x v="1"/>
    <x v="2"/>
    <n v="18"/>
    <x v="1"/>
  </r>
  <r>
    <s v="c2528830fa6ebc6001276b238f7fe766"/>
    <n v="856"/>
    <n v="93"/>
    <n v="9.2043010752688179"/>
    <n v="4.6252769222456372E-2"/>
    <s v="Medium Engagement"/>
    <n v="49"/>
    <n v="5.7242990654205607E-2"/>
    <n v="3.875968992248062E-3"/>
    <n v="0.10865623422850784"/>
    <x v="2"/>
    <n v="19"/>
    <n v="0"/>
    <n v="75"/>
    <n v="315"/>
    <n v="297"/>
    <n v="8.3987577990989794E-3"/>
    <n v="7129"/>
    <n v="1921"/>
    <n v="5208"/>
    <s v="unknown"/>
    <d v="2018-05-17T00:00:00"/>
    <s v="Has no high school or college education"/>
    <x v="0"/>
    <x v="141"/>
    <n v="29"/>
    <x v="0"/>
  </r>
  <r>
    <s v="4e9d4f143860a7bc22ea7a1a8d14638b"/>
    <n v="276"/>
    <n v="30"/>
    <n v="9.1999999999999993"/>
    <n v="4.6231155778894466E-2"/>
    <s v="Medium Engagement"/>
    <n v="2"/>
    <n v="7.246376811594203E-3"/>
    <n v="1.5820281601012498E-4"/>
    <n v="0.1007792732584978"/>
    <x v="2"/>
    <n v="0"/>
    <n v="0"/>
    <n v="3"/>
    <n v="53"/>
    <n v="67"/>
    <n v="8.0005560686886197E-3"/>
    <n v="6791"/>
    <n v="47"/>
    <n v="6744"/>
    <s v="Slovakia"/>
    <d v="2021-01-12T00:00:00"/>
    <s v="Has no high school or college education"/>
    <x v="0"/>
    <x v="2"/>
    <n v="29"/>
    <x v="0"/>
  </r>
  <r>
    <s v="0f7bd8ff3b1abc2d70a96c3d5e72830c"/>
    <n v="183"/>
    <n v="20"/>
    <n v="9.15"/>
    <n v="4.5979899497487438E-2"/>
    <s v="Medium Engagement"/>
    <n v="16"/>
    <n v="8.7431693989071038E-2"/>
    <n v="1.2656225280809998E-3"/>
    <n v="9.7166535559308251E-2"/>
    <x v="2"/>
    <n v="2"/>
    <n v="0"/>
    <n v="15"/>
    <n v="457"/>
    <n v="444"/>
    <n v="2.675491508171382E-3"/>
    <n v="2271"/>
    <n v="1467"/>
    <n v="804"/>
    <s v="unknown"/>
    <d v="2021-03-25T00:00:00"/>
    <s v="Has no high school or college education"/>
    <x v="0"/>
    <x v="2"/>
    <n v="28"/>
    <x v="0"/>
  </r>
  <r>
    <s v="5afbc65d8401bd0603cfdeb9562fbdaa"/>
    <n v="9541"/>
    <n v="1044"/>
    <n v="9.1388888888888893"/>
    <n v="4.5924064768285873E-2"/>
    <s v="Medium Engagement"/>
    <n v="606"/>
    <n v="6.3515354784613773E-2"/>
    <n v="4.7935453251067871E-2"/>
    <n v="0.44940590339276304"/>
    <x v="1"/>
    <n v="129"/>
    <n v="69"/>
    <n v="2011"/>
    <n v="9782"/>
    <n v="9863"/>
    <n v="0.26168686735405555"/>
    <n v="222124"/>
    <n v="3015"/>
    <n v="219109"/>
    <s v="unknown"/>
    <d v="2016-06-03T00:00:00"/>
    <s v="Has high school and/or college education"/>
    <x v="1"/>
    <x v="2"/>
    <n v="19"/>
    <x v="1"/>
  </r>
  <r>
    <s v="95dc1434f7f3fab1e1cb70989f1e5bc3"/>
    <n v="11082"/>
    <n v="1213"/>
    <n v="9.1360263808738669"/>
    <n v="4.5909680305898828E-2"/>
    <s v="Medium Engagement"/>
    <n v="501"/>
    <n v="4.5208446128857604E-2"/>
    <n v="3.962980541053631E-2"/>
    <n v="0.28818680163399751"/>
    <x v="1"/>
    <n v="187"/>
    <n v="25"/>
    <n v="834"/>
    <n v="2463"/>
    <n v="2360"/>
    <n v="0.11710783020112722"/>
    <n v="99403"/>
    <n v="76451"/>
    <n v="22952"/>
    <s v="unknown"/>
    <d v="2013-12-26T00:00:00"/>
    <s v="Has high school and/or college education"/>
    <x v="0"/>
    <x v="142"/>
    <n v="18"/>
    <x v="1"/>
  </r>
  <r>
    <s v="4883487027b8a0e879744f12050b9b6a"/>
    <n v="409"/>
    <n v="45"/>
    <n v="9.0888888888888886"/>
    <n v="4.5672808486878838E-2"/>
    <s v="Medium Engagement"/>
    <n v="21"/>
    <n v="5.1344743276283619E-2"/>
    <n v="1.6611295681063123E-3"/>
    <n v="9.7766309692749132E-2"/>
    <x v="2"/>
    <n v="9"/>
    <n v="0"/>
    <n v="37"/>
    <n v="385"/>
    <n v="459"/>
    <n v="3.0984335827788354E-3"/>
    <n v="2630"/>
    <n v="1419"/>
    <n v="1211"/>
    <s v="unknown"/>
    <d v="2021-01-08T00:00:00"/>
    <s v="Has no high school or college education"/>
    <x v="0"/>
    <x v="143"/>
    <n v="24"/>
    <x v="0"/>
  </r>
  <r>
    <s v="6ab51c445a527dfe373ca35b4e2868c8"/>
    <n v="7064"/>
    <n v="778"/>
    <n v="9.0796915167095111"/>
    <n v="4.5626590536228702E-2"/>
    <s v="Medium Engagement"/>
    <n v="36"/>
    <n v="5.0962627406568517E-3"/>
    <n v="2.8476506881822496E-3"/>
    <n v="0.16288032162244728"/>
    <x v="1"/>
    <n v="11"/>
    <n v="1"/>
    <n v="76"/>
    <n v="550"/>
    <n v="541"/>
    <n v="6.5931839173625384E-2"/>
    <n v="55964"/>
    <n v="13009"/>
    <n v="42955"/>
    <s v="unknown"/>
    <d v="2016-12-02T00:00:00"/>
    <s v="Has high school and/or college education"/>
    <x v="0"/>
    <x v="2"/>
    <n v="19"/>
    <x v="1"/>
  </r>
  <r>
    <s v="b24e0cf3cba4f36cb896defc966e5a23"/>
    <n v="7706"/>
    <n v="854"/>
    <n v="9.0234192037470731"/>
    <n v="4.5343815094206395E-2"/>
    <s v="Medium Engagement"/>
    <n v="870"/>
    <n v="0.11289903970931742"/>
    <n v="6.8818224964404373E-2"/>
    <n v="0.29435723689089216"/>
    <x v="1"/>
    <n v="190"/>
    <n v="217"/>
    <n v="2128"/>
    <n v="3924"/>
    <n v="5625"/>
    <n v="6.6033156773670623E-2"/>
    <n v="56050"/>
    <n v="3041"/>
    <n v="53009"/>
    <s v="unknown"/>
    <d v="2014-03-13T00:00:00"/>
    <s v="Has high school and/or college education"/>
    <x v="1"/>
    <x v="144"/>
    <n v="19"/>
    <x v="1"/>
  </r>
  <r>
    <s v="1746540fcc00b58425678fe830e520c5"/>
    <n v="13668"/>
    <n v="1515"/>
    <n v="9.0217821782178209"/>
    <n v="4.5335588835265429E-2"/>
    <s v="Medium Engagement"/>
    <n v="664"/>
    <n v="4.8580626280362894E-2"/>
    <n v="5.2523334915361493E-2"/>
    <n v="0.28223483115848935"/>
    <x v="1"/>
    <n v="309"/>
    <n v="8"/>
    <n v="1702"/>
    <n v="4406"/>
    <n v="4283"/>
    <n v="8.6516983657235494E-2"/>
    <n v="73437"/>
    <n v="46038"/>
    <n v="27399"/>
    <s v="Canada"/>
    <d v="2015-07-05T00:00:00"/>
    <s v="Has no high school or college education"/>
    <x v="0"/>
    <x v="3"/>
    <n v="26"/>
    <x v="0"/>
  </r>
  <r>
    <s v="d853ca61f980ce7c60d16670a29c9d38"/>
    <n v="5114"/>
    <n v="567"/>
    <n v="9.0194003527336868"/>
    <n v="4.5323619862983354E-2"/>
    <s v="Medium Engagement"/>
    <n v="152"/>
    <n v="2.9722330856472429E-2"/>
    <n v="1.2023414016769499E-2"/>
    <n v="0.15297444890217973"/>
    <x v="1"/>
    <n v="17"/>
    <n v="0"/>
    <n v="170"/>
    <n v="3437"/>
    <n v="3190"/>
    <n v="3.8280381142674028E-2"/>
    <n v="32493"/>
    <n v="3821"/>
    <n v="28672"/>
    <s v="Italy"/>
    <d v="2019-08-16T00:00:00"/>
    <s v="Has no high school or college education"/>
    <x v="0"/>
    <x v="145"/>
    <n v="29"/>
    <x v="0"/>
  </r>
  <r>
    <s v="9e5dfc398e335d742b0bd887ab9c968f"/>
    <n v="421"/>
    <n v="47"/>
    <n v="8.9574468085106389"/>
    <n v="4.5012295520153962E-2"/>
    <s v="Medium Engagement"/>
    <n v="4"/>
    <n v="9.5011876484560574E-3"/>
    <n v="3.1640563202024995E-4"/>
    <n v="9.8465926177602456E-2"/>
    <x v="2"/>
    <n v="1"/>
    <n v="0"/>
    <n v="4"/>
    <n v="78"/>
    <n v="137"/>
    <n v="7.8085238732540389E-3"/>
    <n v="6628"/>
    <n v="2010"/>
    <n v="4618"/>
    <s v="Belgium"/>
    <d v="2020-10-29T00:00:00"/>
    <s v="Has no high school or college education"/>
    <x v="0"/>
    <x v="2"/>
    <n v="23"/>
    <x v="0"/>
  </r>
  <r>
    <s v="2a484efec17903bc9ff3082fc52ec646"/>
    <n v="3103"/>
    <n v="347"/>
    <n v="8.9423631123919307"/>
    <n v="4.4936498052220761E-2"/>
    <s v="Medium Engagement"/>
    <n v="82"/>
    <n v="2.6426039316790204E-2"/>
    <n v="6.4863154564151239E-3"/>
    <n v="0.12892548413589347"/>
    <x v="2"/>
    <n v="17"/>
    <n v="1"/>
    <n v="108"/>
    <n v="1440"/>
    <n v="1055"/>
    <n v="2.6079857118621704E-2"/>
    <n v="22137"/>
    <n v="3072"/>
    <n v="19065"/>
    <s v="Poland"/>
    <d v="2019-09-15T00:00:00"/>
    <s v="Has no high school or college education"/>
    <x v="0"/>
    <x v="3"/>
    <n v="23"/>
    <x v="0"/>
  </r>
  <r>
    <s v="a0e13e02c7535a211cb60aa0b3fa8c6a"/>
    <n v="4775"/>
    <n v="535"/>
    <n v="8.925233644859814"/>
    <n v="4.4850420325928717E-2"/>
    <s v="Medium Engagement"/>
    <n v="493"/>
    <n v="0.10324607329842932"/>
    <n v="3.8996994146495809E-2"/>
    <n v="0.2010660189318427"/>
    <x v="1"/>
    <n v="59"/>
    <n v="10"/>
    <n v="1150"/>
    <n v="7916"/>
    <n v="8640"/>
    <n v="3.3371189986993649E-2"/>
    <n v="28326"/>
    <n v="3574"/>
    <n v="24752"/>
    <s v="unknown"/>
    <d v="2019-03-06T00:00:00"/>
    <s v="Has no high school or college education"/>
    <x v="1"/>
    <x v="146"/>
    <n v="18"/>
    <x v="1"/>
  </r>
  <r>
    <s v="f4e50f22d7da6fa73589d4b0c61078a8"/>
    <n v="1481"/>
    <n v="166"/>
    <n v="8.9216867469879517"/>
    <n v="4.4832596718532423E-2"/>
    <s v="Medium Engagement"/>
    <n v="218"/>
    <n v="0.14719783929777178"/>
    <n v="1.7244106945103622E-2"/>
    <n v="0.14331421485210669"/>
    <x v="1"/>
    <n v="76"/>
    <n v="2"/>
    <n v="99"/>
    <n v="1243"/>
    <n v="1019"/>
    <n v="1.9160807524834594E-2"/>
    <n v="16264"/>
    <n v="9447"/>
    <n v="6817"/>
    <s v="Ireland"/>
    <d v="2020-09-07T00:00:00"/>
    <s v="Has no high school or college education"/>
    <x v="0"/>
    <x v="147"/>
    <n v="18"/>
    <x v="1"/>
  </r>
  <r>
    <s v="e80e8998f70695fd4c2dbfb97ac59522"/>
    <n v="5232"/>
    <n v="587"/>
    <n v="8.9131175468483814"/>
    <n v="4.4789535411298396E-2"/>
    <s v="Medium Engagement"/>
    <n v="249"/>
    <n v="4.7591743119266054E-2"/>
    <n v="1.9696250593260561E-2"/>
    <n v="0.21075843747819487"/>
    <x v="1"/>
    <n v="50"/>
    <n v="25"/>
    <n v="1565"/>
    <n v="1902"/>
    <n v="2377"/>
    <n v="8.178686546907693E-2"/>
    <n v="69422"/>
    <n v="5016"/>
    <n v="64406"/>
    <s v="unknown"/>
    <d v="2018-04-10T00:00:00"/>
    <s v="Has no high school or college education"/>
    <x v="1"/>
    <x v="2"/>
    <n v="18"/>
    <x v="1"/>
  </r>
  <r>
    <s v="f868fe9067f22447a103c70714e4944d"/>
    <n v="606"/>
    <n v="68"/>
    <n v="8.9117647058823533"/>
    <n v="4.4782737215489213E-2"/>
    <s v="Medium Engagement"/>
    <n v="0"/>
    <n v="0"/>
    <n v="0"/>
    <n v="9.3895034665469765E-2"/>
    <x v="2"/>
    <n v="0"/>
    <n v="0"/>
    <n v="0"/>
    <n v="0"/>
    <n v="0"/>
    <n v="4.3295602344913383E-3"/>
    <n v="3675"/>
    <n v="127"/>
    <n v="3548"/>
    <s v="Croatia"/>
    <d v="2020-10-18T00:00:00"/>
    <s v="Has no high school or college education"/>
    <x v="0"/>
    <x v="2"/>
    <n v="20"/>
    <x v="1"/>
  </r>
  <r>
    <s v="1fc97b199e417165e97333f5d1c8af6c"/>
    <n v="196"/>
    <n v="22"/>
    <n v="8.9090909090909083"/>
    <n v="4.4769301050708081E-2"/>
    <s v="Medium Engagement"/>
    <n v="20"/>
    <n v="0.10204081632653061"/>
    <n v="1.5820281601012498E-3"/>
    <n v="9.3747643436038752E-2"/>
    <x v="2"/>
    <n v="5"/>
    <n v="3"/>
    <n v="13"/>
    <n v="124"/>
    <n v="80"/>
    <n v="1.0449850144200862E-3"/>
    <n v="887"/>
    <n v="447"/>
    <n v="440"/>
    <s v="unknown"/>
    <d v="2021-02-21T00:00:00"/>
    <s v="Has no high school or college education"/>
    <x v="0"/>
    <x v="2"/>
    <n v="22"/>
    <x v="0"/>
  </r>
  <r>
    <s v="3ebb44df0d67de51a8842dced9542eed"/>
    <n v="1487"/>
    <n v="167"/>
    <n v="8.9041916167664663"/>
    <n v="4.4744681491288775E-2"/>
    <s v="Medium Engagement"/>
    <n v="16"/>
    <n v="1.0759919300605245E-2"/>
    <n v="1.2656225280809998E-3"/>
    <n v="0.10600597117986789"/>
    <x v="2"/>
    <n v="7"/>
    <n v="0"/>
    <n v="16"/>
    <n v="89"/>
    <n v="66"/>
    <n v="1.3985363141128348E-2"/>
    <n v="11871"/>
    <n v="5113"/>
    <n v="6758"/>
    <s v="France"/>
    <d v="2015-05-02T00:00:00"/>
    <s v="Has high school and/or college education"/>
    <x v="0"/>
    <x v="148"/>
    <n v="24"/>
    <x v="0"/>
  </r>
  <r>
    <s v="fb28c968ca166e72d1519d1b2549c277"/>
    <n v="10588"/>
    <n v="1191"/>
    <n v="8.8900083963056247"/>
    <n v="4.4673409026661427E-2"/>
    <s v="Medium Engagement"/>
    <n v="622"/>
    <n v="5.8745749905553458E-2"/>
    <n v="4.9201075779148867E-2"/>
    <n v="0.26193819318893297"/>
    <x v="1"/>
    <n v="214"/>
    <n v="19"/>
    <n v="1523"/>
    <n v="4155"/>
    <n v="3317"/>
    <n v="7.4189223577312391E-2"/>
    <n v="62973"/>
    <n v="49462"/>
    <n v="13511"/>
    <s v="Norway"/>
    <d v="2015-03-06T00:00:00"/>
    <s v="Has high school and/or college education"/>
    <x v="0"/>
    <x v="2"/>
    <n v="21"/>
    <x v="0"/>
  </r>
  <r>
    <s v="b3085edaac8421720a42d59e73a2f9ff"/>
    <n v="1057"/>
    <n v="119"/>
    <n v="8.882352941176471"/>
    <n v="4.4634939402896839E-2"/>
    <s v="Medium Engagement"/>
    <n v="21"/>
    <n v="1.9867549668874173E-2"/>
    <n v="1.6611295681063123E-3"/>
    <n v="0.10096026483876602"/>
    <x v="2"/>
    <n v="3"/>
    <n v="5"/>
    <n v="92"/>
    <n v="382"/>
    <n v="525"/>
    <n v="8.3681268967597221E-3"/>
    <n v="7103"/>
    <n v="376"/>
    <n v="6727"/>
    <s v="unknown"/>
    <d v="2019-10-16T00:00:00"/>
    <s v="Has no high school or college education"/>
    <x v="1"/>
    <x v="2"/>
    <n v="20"/>
    <x v="1"/>
  </r>
  <r>
    <s v="3f9fb0164f4aa66426b94a577741d2ee"/>
    <n v="6290"/>
    <n v="709"/>
    <n v="8.8716502115655853"/>
    <n v="4.4581156842038117E-2"/>
    <s v="Medium Engagement"/>
    <n v="690"/>
    <n v="0.10969793322734499"/>
    <n v="5.4579971523493115E-2"/>
    <n v="0.28094204712144155"/>
    <x v="1"/>
    <n v="71"/>
    <n v="74"/>
    <n v="2451"/>
    <n v="8271"/>
    <n v="7076"/>
    <n v="8.2619790390379075E-2"/>
    <n v="70129"/>
    <n v="34532"/>
    <n v="35597"/>
    <s v="unknown"/>
    <d v="2013-08-25T00:00:00"/>
    <s v="Has high school and/or college education"/>
    <x v="0"/>
    <x v="2"/>
    <n v="26"/>
    <x v="0"/>
  </r>
  <r>
    <s v="e556f7dfa16bb7a9fc118c49833f5745"/>
    <n v="5259"/>
    <n v="593"/>
    <n v="8.8684654300168635"/>
    <n v="4.4565152914657603E-2"/>
    <s v="Medium Engagement"/>
    <n v="88"/>
    <n v="1.6733219243202129E-2"/>
    <n v="6.9609239044454993E-3"/>
    <n v="0.22129214911425754"/>
    <x v="1"/>
    <n v="6"/>
    <n v="23"/>
    <n v="412"/>
    <n v="1603"/>
    <n v="2247"/>
    <n v="0.11823999547605135"/>
    <n v="100364"/>
    <n v="1020"/>
    <n v="99344"/>
    <s v="Israel"/>
    <d v="2017-11-22T00:00:00"/>
    <s v="Has high school and/or college education"/>
    <x v="1"/>
    <x v="2"/>
    <n v="23"/>
    <x v="0"/>
  </r>
  <r>
    <s v="15d02153d1a811b213cff1a74bb630a2"/>
    <n v="133"/>
    <n v="15"/>
    <n v="8.8666666666666671"/>
    <n v="4.4556113902847576E-2"/>
    <s v="Medium Engagement"/>
    <n v="162"/>
    <n v="1.2180451127819549"/>
    <n v="1.2814428096820124E-2"/>
    <n v="0.11670970853044697"/>
    <x v="2"/>
    <n v="61"/>
    <n v="7"/>
    <n v="22"/>
    <n v="832"/>
    <n v="552"/>
    <n v="1.9686245311115718E-3"/>
    <n v="1671"/>
    <n v="1468"/>
    <n v="203"/>
    <s v="unknown"/>
    <d v="2021-03-25T00:00:00"/>
    <s v="Has no high school or college education"/>
    <x v="0"/>
    <x v="149"/>
    <n v="28"/>
    <x v="0"/>
  </r>
  <r>
    <s v="15e3cfd8413095cfc9f8cafdb2b54891"/>
    <n v="3541"/>
    <n v="401"/>
    <n v="8.8304239401496254"/>
    <n v="4.4373989648993091E-2"/>
    <s v="Medium Engagement"/>
    <n v="142"/>
    <n v="4.0101666195989837E-2"/>
    <n v="1.1232399936718873E-2"/>
    <n v="0.13627003539656579"/>
    <x v="1"/>
    <n v="57"/>
    <n v="37"/>
    <n v="1344"/>
    <n v="292"/>
    <n v="439"/>
    <n v="2.5057256225141846E-2"/>
    <n v="21269"/>
    <n v="12409"/>
    <n v="8860"/>
    <s v="unknown"/>
    <d v="2018-07-09T00:00:00"/>
    <s v="Has no high school or college education"/>
    <x v="0"/>
    <x v="2"/>
    <n v="19"/>
    <x v="1"/>
  </r>
  <r>
    <s v="7a1583a90f15a019bda42d8ff51676f6"/>
    <n v="9465"/>
    <n v="1074"/>
    <n v="8.8128491620111724"/>
    <n v="4.4285674180960667E-2"/>
    <s v="Medium Engagement"/>
    <n v="378"/>
    <n v="3.9936608557844692E-2"/>
    <n v="2.9900332225913623E-2"/>
    <n v="0.24429268348913641"/>
    <x v="1"/>
    <n v="83"/>
    <n v="159"/>
    <n v="2243"/>
    <n v="2086"/>
    <n v="2416"/>
    <n v="9.5920670675387829E-2"/>
    <n v="81419"/>
    <n v="39002"/>
    <n v="42417"/>
    <s v="unknown"/>
    <d v="2015-05-23T00:00:00"/>
    <s v="Has high school and/or college education"/>
    <x v="0"/>
    <x v="2"/>
    <n v="18"/>
    <x v="1"/>
  </r>
  <r>
    <s v="24cb8cffb3d27569d2063059ff7b114d"/>
    <n v="819"/>
    <n v="93"/>
    <n v="8.806451612903226"/>
    <n v="4.4253525692981036E-2"/>
    <s v="Medium Engagement"/>
    <n v="5"/>
    <n v="6.105006105006105E-3"/>
    <n v="3.9550704002531246E-4"/>
    <n v="9.4062348891395822E-2"/>
    <x v="2"/>
    <n v="2"/>
    <n v="2"/>
    <n v="18"/>
    <n v="26"/>
    <n v="29"/>
    <n v="4.7642834253831222E-3"/>
    <n v="4044"/>
    <n v="822"/>
    <n v="3222"/>
    <s v="unknown"/>
    <d v="2020-08-19T00:00:00"/>
    <s v="Has no high school or college education"/>
    <x v="0"/>
    <x v="3"/>
    <n v="23"/>
    <x v="0"/>
  </r>
  <r>
    <s v="b4a4c855745a8d69c27253d93c78a330"/>
    <n v="4638"/>
    <n v="527"/>
    <n v="8.8007590132827325"/>
    <n v="4.422491966473735E-2"/>
    <s v="Medium Engagement"/>
    <n v="158"/>
    <n v="3.4066407934454507E-2"/>
    <n v="1.2498022464799873E-2"/>
    <n v="0.15372787705845617"/>
    <x v="1"/>
    <n v="47"/>
    <n v="18"/>
    <n v="866"/>
    <n v="1307"/>
    <n v="1539"/>
    <n v="4.028199279938173E-2"/>
    <n v="34192"/>
    <n v="3290"/>
    <n v="30902"/>
    <s v="unknown"/>
    <d v="2016-04-20T00:00:00"/>
    <s v="Has high school and/or college education"/>
    <x v="1"/>
    <x v="116"/>
    <n v="16"/>
    <x v="1"/>
  </r>
  <r>
    <s v="6bf5eaa5271795a2b96e82938a6135d5"/>
    <n v="1097"/>
    <n v="125"/>
    <n v="8.7759999999999998"/>
    <n v="4.4100502512562811E-2"/>
    <s v="Medium Engagement"/>
    <n v="56"/>
    <n v="5.1048313582497722E-2"/>
    <n v="4.4296788482834993E-3"/>
    <n v="0.11616815522324773"/>
    <x v="2"/>
    <n v="16"/>
    <n v="0"/>
    <n v="90"/>
    <n v="548"/>
    <n v="500"/>
    <n v="1.9107792501555108E-2"/>
    <n v="16219"/>
    <n v="3042"/>
    <n v="13177"/>
    <s v="unknown"/>
    <d v="2018-11-07T00:00:00"/>
    <s v="Has no high school or college education"/>
    <x v="0"/>
    <x v="2"/>
    <n v="21"/>
    <x v="0"/>
  </r>
  <r>
    <s v="5abd4f7ec9779bbd8a961a4aab26b4b1"/>
    <n v="1307"/>
    <n v="149"/>
    <n v="8.7718120805369129"/>
    <n v="4.4079457691140266E-2"/>
    <s v="Medium Engagement"/>
    <n v="81"/>
    <n v="6.1973986228003063E-2"/>
    <n v="6.407214048410062E-3"/>
    <n v="0.10971257553881678"/>
    <x v="2"/>
    <n v="13"/>
    <n v="39"/>
    <n v="322"/>
    <n v="231"/>
    <n v="355"/>
    <n v="8.7392320597161222E-3"/>
    <n v="7418"/>
    <n v="1494"/>
    <n v="5924"/>
    <s v="unknown"/>
    <d v="2019-12-10T00:00:00"/>
    <s v="Has no high school or college education"/>
    <x v="0"/>
    <x v="2"/>
    <n v="19"/>
    <x v="1"/>
  </r>
  <r>
    <s v="926b5a771a5bb8e60e2b421df890cf4a"/>
    <n v="4902"/>
    <n v="559"/>
    <n v="8.7692307692307701"/>
    <n v="4.4066486277541561E-2"/>
    <s v="Medium Engagement"/>
    <n v="109"/>
    <n v="2.2235822113423093E-2"/>
    <n v="8.6220534725518112E-3"/>
    <n v="0.12425867456908271"/>
    <x v="2"/>
    <n v="4"/>
    <n v="3"/>
    <n v="160"/>
    <n v="2712"/>
    <n v="1890"/>
    <n v="1.8881595068895966E-2"/>
    <n v="16027"/>
    <n v="3575"/>
    <n v="12452"/>
    <s v="Brazil"/>
    <d v="2018-07-16T00:00:00"/>
    <s v="Has no high school or college education"/>
    <x v="0"/>
    <x v="150"/>
    <n v="19"/>
    <x v="1"/>
  </r>
  <r>
    <s v="9c16cf2b40aaf1a2b0b535d80f041eb6"/>
    <n v="3506"/>
    <n v="400"/>
    <n v="8.7650000000000006"/>
    <n v="4.4045226130653266E-2"/>
    <s v="Medium Engagement"/>
    <n v="332"/>
    <n v="9.4694808899030231E-2"/>
    <n v="2.6261667457680746E-2"/>
    <n v="0.16264211840510859"/>
    <x v="1"/>
    <n v="125"/>
    <n v="3"/>
    <n v="534"/>
    <n v="2113"/>
    <n v="1609"/>
    <n v="2.2028331228440556E-2"/>
    <n v="18698"/>
    <n v="8435"/>
    <n v="10263"/>
    <s v="Norway"/>
    <d v="2019-02-16T00:00:00"/>
    <s v="Has no high school or college education"/>
    <x v="0"/>
    <x v="27"/>
    <n v="25"/>
    <x v="0"/>
  </r>
  <r>
    <s v="83d673999e9f08505461f6c4e88050fe"/>
    <n v="2347"/>
    <n v="268"/>
    <n v="8.7574626865671643"/>
    <n v="4.4007350183754596E-2"/>
    <s v="Medium Engagement"/>
    <n v="59"/>
    <n v="2.5138474648487431E-2"/>
    <n v="4.6669830722986866E-3"/>
    <n v="0.11430169284525768"/>
    <x v="2"/>
    <n v="22"/>
    <n v="1"/>
    <n v="113"/>
    <n v="362"/>
    <n v="340"/>
    <n v="1.6953026333151117E-2"/>
    <n v="14390"/>
    <n v="1810"/>
    <n v="12580"/>
    <s v="Sweden"/>
    <d v="2017-10-30T00:00:00"/>
    <s v="Has no high school or college education"/>
    <x v="0"/>
    <x v="151"/>
    <n v="22"/>
    <x v="0"/>
  </r>
  <r>
    <s v="b21ead088603b074a50b1f1da92bf548"/>
    <n v="4834"/>
    <n v="552"/>
    <n v="8.7572463768115938"/>
    <n v="4.4006263200058258E-2"/>
    <s v="Medium Engagement"/>
    <n v="500"/>
    <n v="0.1034340091021928"/>
    <n v="3.9550704002531245E-2"/>
    <n v="0.23285020704848453"/>
    <x v="1"/>
    <n v="124"/>
    <n v="36"/>
    <n v="2286"/>
    <n v="3273"/>
    <n v="3219"/>
    <n v="6.5736272643305504E-2"/>
    <n v="55798"/>
    <n v="27753"/>
    <n v="28045"/>
    <s v="Latvia"/>
    <d v="2019-09-01T00:00:00"/>
    <s v="Has no high school or college education"/>
    <x v="0"/>
    <x v="2"/>
    <n v="18"/>
    <x v="1"/>
  </r>
  <r>
    <s v="a83b9b11e06f8e0b94d4a19e8ae92a89"/>
    <n v="2621"/>
    <n v="300"/>
    <n v="8.7366666666666664"/>
    <n v="4.3902847571189278E-2"/>
    <s v="Medium Engagement"/>
    <n v="39"/>
    <n v="1.4879816863792446E-2"/>
    <n v="3.0849549121974369E-3"/>
    <n v="0.11308457557995698"/>
    <x v="2"/>
    <n v="7"/>
    <n v="0"/>
    <n v="50"/>
    <n v="357"/>
    <n v="326"/>
    <n v="1.9108970613183542E-2"/>
    <n v="16220"/>
    <n v="5244"/>
    <n v="10976"/>
    <s v="Estonia"/>
    <d v="2018-10-28T00:00:00"/>
    <s v="Has no high school or college education"/>
    <x v="0"/>
    <x v="17"/>
    <n v="23"/>
    <x v="0"/>
  </r>
  <r>
    <s v="db017a02933fab249424e7deecfa558c"/>
    <n v="9493"/>
    <n v="1089"/>
    <n v="8.717171717171718"/>
    <n v="4.3804883000862903E-2"/>
    <s v="Medium Engagement"/>
    <n v="567"/>
    <n v="5.9728220794269461E-2"/>
    <n v="4.4850498338870434E-2"/>
    <n v="0.26560669489563604"/>
    <x v="1"/>
    <n v="121"/>
    <n v="44"/>
    <n v="904"/>
    <n v="5983"/>
    <n v="5010"/>
    <n v="8.829593221616934E-2"/>
    <n v="74947"/>
    <n v="7144"/>
    <n v="67803"/>
    <s v="Netherlands"/>
    <d v="2015-01-27T00:00:00"/>
    <s v="Has high school and/or college education"/>
    <x v="0"/>
    <x v="152"/>
    <n v="19"/>
    <x v="1"/>
  </r>
  <r>
    <s v="3f8166a48951dbb51398d398e1e828ba"/>
    <n v="1194"/>
    <n v="139"/>
    <n v="8.5899280575539567"/>
    <n v="4.3165467625899283E-2"/>
    <s v="Medium Engagement"/>
    <n v="37"/>
    <n v="3.0988274706867672E-2"/>
    <n v="2.9267520961873119E-3"/>
    <n v="9.5302900924635392E-2"/>
    <x v="2"/>
    <n v="6"/>
    <n v="1"/>
    <n v="138"/>
    <n v="278"/>
    <n v="334"/>
    <n v="3.1184614804621968E-3"/>
    <n v="2647"/>
    <n v="245"/>
    <n v="2402"/>
    <s v="Russia"/>
    <d v="2020-02-01T00:00:00"/>
    <s v="Has no high school or college education"/>
    <x v="1"/>
    <x v="2"/>
    <n v="23"/>
    <x v="0"/>
  </r>
  <r>
    <s v="21e529e0a8a8997f860222e761b84fea"/>
    <n v="2029"/>
    <n v="237"/>
    <n v="8.5611814345991561"/>
    <n v="4.3021012234166614E-2"/>
    <s v="Medium Engagement"/>
    <n v="24"/>
    <n v="1.1828486939379004E-2"/>
    <n v="1.8984337921214998E-3"/>
    <n v="0.11646421485516242"/>
    <x v="2"/>
    <n v="16"/>
    <n v="2"/>
    <n v="28"/>
    <n v="46"/>
    <n v="54"/>
    <n v="2.6625322802586192E-2"/>
    <n v="22600"/>
    <n v="8495"/>
    <n v="14105"/>
    <s v="unknown"/>
    <d v="2018-06-08T00:00:00"/>
    <s v="Has no high school or college education"/>
    <x v="0"/>
    <x v="41"/>
    <n v="25"/>
    <x v="0"/>
  </r>
  <r>
    <s v="42dcab19050c4c6d6a40aaf3bf36b69b"/>
    <n v="924"/>
    <n v="108"/>
    <n v="8.5555555555555554"/>
    <n v="4.2992741485203795E-2"/>
    <s v="Medium Engagement"/>
    <n v="24"/>
    <n v="2.5974025974025976E-2"/>
    <n v="1.8984337921214998E-3"/>
    <n v="9.823647960028592E-2"/>
    <x v="2"/>
    <n v="12"/>
    <n v="3"/>
    <n v="88"/>
    <n v="408"/>
    <n v="669"/>
    <n v="8.4541290456353318E-3"/>
    <n v="7176"/>
    <n v="3891"/>
    <n v="3285"/>
    <s v="unknown"/>
    <d v="2020-11-24T00:00:00"/>
    <s v="Has no high school or college education"/>
    <x v="0"/>
    <x v="2"/>
    <n v="23"/>
    <x v="0"/>
  </r>
  <r>
    <s v="6ea6aaad5be271c433d83b1a1959cde6"/>
    <n v="1259"/>
    <n v="148"/>
    <n v="8.5067567567567561"/>
    <n v="4.2747521390737467E-2"/>
    <s v="Medium Engagement"/>
    <n v="0"/>
    <n v="0"/>
    <n v="0"/>
    <n v="8.580606425138125E-2"/>
    <x v="2"/>
    <n v="0"/>
    <n v="0"/>
    <n v="1"/>
    <n v="0"/>
    <n v="0"/>
    <n v="3.1102146990631658E-4"/>
    <n v="264"/>
    <n v="114"/>
    <n v="150"/>
    <s v="Denmark"/>
    <d v="2019-12-30T00:00:00"/>
    <s v="Has no high school or college education"/>
    <x v="0"/>
    <x v="2"/>
    <n v="24"/>
    <x v="0"/>
  </r>
  <r>
    <s v="a2f902010f8cabc143a8b362d86ce949"/>
    <n v="170"/>
    <n v="20"/>
    <n v="8.5"/>
    <n v="4.2713567839195977E-2"/>
    <s v="Medium Engagement"/>
    <n v="13"/>
    <n v="7.6470588235294124E-2"/>
    <n v="1.0283183040658123E-3"/>
    <n v="8.8591197217250617E-2"/>
    <x v="2"/>
    <n v="5"/>
    <n v="0"/>
    <n v="25"/>
    <n v="56"/>
    <n v="49"/>
    <n v="1.1074249307270363E-3"/>
    <n v="940"/>
    <n v="633"/>
    <n v="307"/>
    <s v="USA"/>
    <d v="2021-02-27T00:00:00"/>
    <s v="Has no high school or college education"/>
    <x v="0"/>
    <x v="153"/>
    <n v="19"/>
    <x v="1"/>
  </r>
  <r>
    <s v="59ac56fc75373a1228759057df2aa401"/>
    <n v="1350"/>
    <n v="159"/>
    <n v="8.4905660377358494"/>
    <n v="4.2666160993647485E-2"/>
    <s v="Medium Engagement"/>
    <n v="16"/>
    <n v="1.1851851851851851E-2"/>
    <n v="1.2656225280809998E-3"/>
    <n v="0.11206551422635644"/>
    <x v="2"/>
    <n v="4"/>
    <n v="2"/>
    <n v="29"/>
    <n v="210"/>
    <n v="255"/>
    <n v="2.4201947182899475E-2"/>
    <n v="20543"/>
    <n v="6943"/>
    <n v="13600"/>
    <s v="France"/>
    <d v="2019-06-21T00:00:00"/>
    <s v="Has no high school or college education"/>
    <x v="0"/>
    <x v="2"/>
    <n v="29"/>
    <x v="0"/>
  </r>
  <r>
    <s v="7e5a3ee9839ea9b255143046bb62bf1d"/>
    <n v="6506"/>
    <n v="772"/>
    <n v="8.4274611398963728"/>
    <n v="4.2349050954253127E-2"/>
    <s v="Medium Engagement"/>
    <n v="586"/>
    <n v="9.0070703965570237E-2"/>
    <n v="4.635342509096662E-2"/>
    <n v="0.23899309369003235"/>
    <x v="1"/>
    <n v="108"/>
    <n v="3"/>
    <n v="960"/>
    <n v="17453"/>
    <n v="14264"/>
    <n v="6.1588141599592847E-2"/>
    <n v="52277"/>
    <n v="36659"/>
    <n v="15618"/>
    <s v="unknown"/>
    <d v="2018-01-03T00:00:00"/>
    <s v="Has no high school or college education"/>
    <x v="0"/>
    <x v="2"/>
    <n v="19"/>
    <x v="1"/>
  </r>
  <r>
    <s v="a1b919ce7acc3c843d6d099068a257f3"/>
    <n v="3058"/>
    <n v="363"/>
    <n v="8.4242424242424239"/>
    <n v="4.2332876503730771E-2"/>
    <s v="Medium Engagement"/>
    <n v="205"/>
    <n v="6.7037279267495101E-2"/>
    <n v="1.6215788641037811E-2"/>
    <n v="0.16158635971405322"/>
    <x v="1"/>
    <n v="66"/>
    <n v="86"/>
    <n v="1663"/>
    <n v="262"/>
    <n v="418"/>
    <n v="4.4489029424516033E-2"/>
    <n v="37763"/>
    <n v="20785"/>
    <n v="16978"/>
    <s v="USA"/>
    <d v="2019-09-03T00:00:00"/>
    <s v="Has no high school or college education"/>
    <x v="0"/>
    <x v="2"/>
    <n v="18"/>
    <x v="1"/>
  </r>
  <r>
    <s v="0f9753e59e69c0965c2418d56d047676"/>
    <n v="7858"/>
    <n v="933"/>
    <n v="8.4222936763129681"/>
    <n v="4.2323083800567679E-2"/>
    <s v="Medium Engagement"/>
    <n v="385"/>
    <n v="4.8994655128531434E-2"/>
    <n v="3.0454042081949059E-2"/>
    <n v="0.22840730825784228"/>
    <x v="1"/>
    <n v="99"/>
    <n v="6"/>
    <n v="998"/>
    <n v="3371"/>
    <n v="2350"/>
    <n v="8.2853056492808802E-2"/>
    <n v="70327"/>
    <n v="35037"/>
    <n v="35290"/>
    <s v="unknown"/>
    <d v="2014-02-02T00:00:00"/>
    <s v="Has high school and/or college education"/>
    <x v="0"/>
    <x v="2"/>
    <n v="20"/>
    <x v="1"/>
  </r>
  <r>
    <s v="c7c9e37c59cb4b612b5889351a3c64a4"/>
    <n v="14207"/>
    <n v="1699"/>
    <n v="8.3619776339022955"/>
    <n v="4.2019988110061787E-2"/>
    <s v="Medium Engagement"/>
    <n v="578"/>
    <n v="4.0684169775462797E-2"/>
    <n v="4.5720613826926118E-2"/>
    <n v="0.35087846311508342"/>
    <x v="1"/>
    <n v="126"/>
    <n v="11"/>
    <n v="822"/>
    <n v="5649"/>
    <n v="3944"/>
    <n v="0.17539725924110761"/>
    <n v="148880"/>
    <n v="34158"/>
    <n v="114722"/>
    <s v="Singapore"/>
    <d v="2015-04-13T00:00:00"/>
    <s v="Has no high school or college education"/>
    <x v="0"/>
    <x v="154"/>
    <n v="36"/>
    <x v="3"/>
  </r>
  <r>
    <s v="518a6e149e8c8da3d0ef421dc9775b95"/>
    <n v="2850"/>
    <n v="342"/>
    <n v="8.3333333333333339"/>
    <n v="4.1876046901172533E-2"/>
    <s v="Medium Engagement"/>
    <n v="84"/>
    <n v="2.9473684210526315E-2"/>
    <n v="6.6445182724252493E-3"/>
    <n v="0.12446992528037307"/>
    <x v="2"/>
    <n v="29"/>
    <n v="0"/>
    <n v="88"/>
    <n v="4156"/>
    <n v="2945"/>
    <n v="2.7428794933177507E-2"/>
    <n v="23282"/>
    <n v="5437"/>
    <n v="17845"/>
    <s v="Germany"/>
    <d v="2019-04-02T00:00:00"/>
    <s v="Has no high school or college education"/>
    <x v="0"/>
    <x v="2"/>
    <n v="18"/>
    <x v="1"/>
  </r>
  <r>
    <s v="67695a0f1de680c43440df363f1a72de"/>
    <n v="8891"/>
    <n v="1071"/>
    <n v="8.3015873015873023"/>
    <n v="4.1716519103453781E-2"/>
    <s v="Medium Engagement"/>
    <n v="427"/>
    <n v="4.8026093802721853E-2"/>
    <n v="3.3776301218161685E-2"/>
    <n v="0.20938227784139873"/>
    <x v="1"/>
    <n v="97"/>
    <n v="0"/>
    <n v="334"/>
    <n v="4119"/>
    <n v="2839"/>
    <n v="5.8396637198167803E-2"/>
    <n v="49568"/>
    <n v="37074"/>
    <n v="12494"/>
    <s v="USA"/>
    <d v="2017-10-07T00:00:00"/>
    <s v="Has no high school or college education"/>
    <x v="0"/>
    <x v="2"/>
    <n v="19"/>
    <x v="1"/>
  </r>
  <r>
    <s v="8c986a161338eccc297ea16d3aedf422"/>
    <n v="13576"/>
    <n v="1641"/>
    <n v="8.273004265691652"/>
    <n v="4.1572885757244479E-2"/>
    <s v="Medium Engagement"/>
    <n v="990"/>
    <n v="7.2922804949911615E-2"/>
    <n v="7.8310393925011865E-2"/>
    <n v="0.42030627586373048"/>
    <x v="1"/>
    <n v="364"/>
    <n v="87"/>
    <n v="2221"/>
    <n v="6644"/>
    <n v="6270"/>
    <n v="0.18053971649921774"/>
    <n v="153245"/>
    <n v="143102"/>
    <n v="10143"/>
    <s v="unknown"/>
    <d v="2014-07-24T00:00:00"/>
    <s v="Has high school and/or college education"/>
    <x v="0"/>
    <x v="155"/>
    <n v="26"/>
    <x v="0"/>
  </r>
  <r>
    <s v="25374d2986c28379050fd6a3a949fd7e"/>
    <n v="339"/>
    <n v="41"/>
    <n v="8.2682926829268286"/>
    <n v="4.1549209461943862E-2"/>
    <s v="Medium Engagement"/>
    <n v="12"/>
    <n v="3.5398230088495575E-2"/>
    <n v="9.4921689606074992E-4"/>
    <n v="8.7788977275395474E-2"/>
    <x v="2"/>
    <n v="3"/>
    <n v="0"/>
    <n v="30"/>
    <n v="137"/>
    <n v="108"/>
    <n v="2.7921245593862509E-3"/>
    <n v="2370"/>
    <n v="1263"/>
    <n v="1107"/>
    <s v="Netherlands"/>
    <d v="2017-10-19T00:00:00"/>
    <s v="Has high school and/or college education"/>
    <x v="0"/>
    <x v="156"/>
    <n v="22"/>
    <x v="0"/>
  </r>
  <r>
    <s v="844d07517956013cda382724d296fd66"/>
    <n v="751"/>
    <n v="91"/>
    <n v="8.2527472527472536"/>
    <n v="4.1471091722348009E-2"/>
    <s v="Medium Engagement"/>
    <n v="20"/>
    <n v="2.6631158455392809E-2"/>
    <n v="1.5820281601012498E-3"/>
    <n v="0.11020451312449589"/>
    <x v="2"/>
    <n v="1"/>
    <n v="7"/>
    <n v="44"/>
    <n v="486"/>
    <n v="418"/>
    <n v="2.4098273359597369E-2"/>
    <n v="20455"/>
    <n v="2669"/>
    <n v="17786"/>
    <s v="Finland"/>
    <d v="2021-01-09T00:00:00"/>
    <s v="Has no high school or college education"/>
    <x v="0"/>
    <x v="157"/>
    <n v="37"/>
    <x v="3"/>
  </r>
  <r>
    <s v="2abeb30d2ba0dd54fa0a109f621201cf"/>
    <n v="5445"/>
    <n v="662"/>
    <n v="8.2250755287009056"/>
    <n v="4.1332037832667867E-2"/>
    <s v="Medium Engagement"/>
    <n v="710"/>
    <n v="0.13039485766758493"/>
    <n v="5.6161999683594366E-2"/>
    <n v="0.22497455031103006"/>
    <x v="1"/>
    <n v="249"/>
    <n v="97"/>
    <n v="1706"/>
    <n v="2420"/>
    <n v="3306"/>
    <n v="2.9986475278505589E-2"/>
    <n v="25453"/>
    <n v="3564"/>
    <n v="21889"/>
    <s v="USA"/>
    <d v="2018-02-22T00:00:00"/>
    <s v="Has high school and/or college education"/>
    <x v="1"/>
    <x v="158"/>
    <n v="20"/>
    <x v="1"/>
  </r>
  <r>
    <s v="cb23d739d6941438c99fdddceaf50c2a"/>
    <n v="838"/>
    <n v="102"/>
    <n v="8.2156862745098032"/>
    <n v="4.1284855650803032E-2"/>
    <s v="Medium Engagement"/>
    <n v="4"/>
    <n v="4.7732696897374704E-3"/>
    <n v="3.1640563202024995E-4"/>
    <n v="8.6869984064958536E-2"/>
    <x v="2"/>
    <n v="0"/>
    <n v="0"/>
    <n v="15"/>
    <n v="1085"/>
    <n v="915"/>
    <n v="3.6674614993119827E-3"/>
    <n v="3113"/>
    <n v="560"/>
    <n v="2553"/>
    <s v="Spain"/>
    <d v="2019-10-28T00:00:00"/>
    <s v="Has no high school or college education"/>
    <x v="0"/>
    <x v="2"/>
    <n v="27"/>
    <x v="0"/>
  </r>
  <r>
    <s v="31b4e30768d5e0a6d16d9905ca530148"/>
    <n v="3230"/>
    <n v="396"/>
    <n v="8.1565656565656557"/>
    <n v="4.0987767118420379E-2"/>
    <s v="Medium Engagement"/>
    <n v="170"/>
    <n v="5.2631578947368418E-2"/>
    <n v="1.3447239360860624E-2"/>
    <n v="0.14729765805479017"/>
    <x v="1"/>
    <n v="70"/>
    <n v="68"/>
    <n v="70"/>
    <n v="205"/>
    <n v="274"/>
    <n v="3.8427645096228161E-2"/>
    <n v="32618"/>
    <n v="14741"/>
    <n v="17877"/>
    <s v="USA"/>
    <d v="2019-01-06T00:00:00"/>
    <s v="Has no high school or college education"/>
    <x v="0"/>
    <x v="159"/>
    <n v="28"/>
    <x v="0"/>
  </r>
  <r>
    <s v="4d453eac74cc1cc8d3af40a737a92210"/>
    <n v="1100"/>
    <n v="135"/>
    <n v="8.1481481481481488"/>
    <n v="4.0945468081146477E-2"/>
    <s v="Medium Engagement"/>
    <n v="47"/>
    <n v="4.2727272727272725E-2"/>
    <n v="3.717766176237937E-3"/>
    <n v="0.10136323502246897"/>
    <x v="2"/>
    <n v="18"/>
    <n v="0"/>
    <n v="53"/>
    <n v="819"/>
    <n v="490"/>
    <n v="1.2036766507700138E-2"/>
    <n v="10217"/>
    <n v="2316"/>
    <n v="7901"/>
    <s v="Czechia"/>
    <d v="2020-10-01T00:00:00"/>
    <s v="Has no high school or college education"/>
    <x v="0"/>
    <x v="17"/>
    <n v="22"/>
    <x v="0"/>
  </r>
  <r>
    <s v="82ffa8e74038f4258602230423d5ee2b"/>
    <n v="1950"/>
    <n v="240"/>
    <n v="8.125"/>
    <n v="4.0829145728643219E-2"/>
    <s v="Medium Engagement"/>
    <n v="62"/>
    <n v="3.1794871794871796E-2"/>
    <n v="4.9042872963138747E-3"/>
    <n v="0.11178340108224158"/>
    <x v="2"/>
    <n v="22"/>
    <n v="7"/>
    <n v="260"/>
    <n v="246"/>
    <n v="179"/>
    <n v="2.0316535032327384E-2"/>
    <n v="17245"/>
    <n v="6583"/>
    <n v="10662"/>
    <s v="USA"/>
    <d v="2020-04-15T00:00:00"/>
    <s v="Has no high school or college education"/>
    <x v="0"/>
    <x v="160"/>
    <n v="24"/>
    <x v="0"/>
  </r>
  <r>
    <s v="85c75c0bba5d0afbc4919e0797017e92"/>
    <n v="3940"/>
    <n v="485"/>
    <n v="8.1237113402061851"/>
    <n v="4.0822670051287362E-2"/>
    <s v="Medium Engagement"/>
    <n v="99"/>
    <n v="2.5126903553299492E-2"/>
    <n v="7.8310393925011858E-3"/>
    <n v="0.1619127043675869"/>
    <x v="1"/>
    <n v="21"/>
    <n v="39"/>
    <n v="878"/>
    <n v="298"/>
    <n v="435"/>
    <n v="6.4605285480009808E-2"/>
    <n v="54838"/>
    <n v="13903"/>
    <n v="40935"/>
    <s v="unknown"/>
    <d v="2018-11-11T00:00:00"/>
    <s v="Has no high school or college education"/>
    <x v="0"/>
    <x v="2"/>
    <n v="18"/>
    <x v="1"/>
  </r>
  <r>
    <s v="33d0b68ba8e5ae8df210f3d4f9e2b971"/>
    <n v="8281"/>
    <n v="1020"/>
    <n v="8.1186274509803926"/>
    <n v="4.0797122869248206E-2"/>
    <s v="Medium Engagement"/>
    <n v="223"/>
    <n v="2.6929114841202754E-2"/>
    <n v="1.7639613985128935E-2"/>
    <n v="0.22156165112294063"/>
    <x v="1"/>
    <n v="56"/>
    <n v="3"/>
    <n v="474"/>
    <n v="1601"/>
    <n v="1390"/>
    <n v="0.10468817741418635"/>
    <n v="88861"/>
    <n v="23932"/>
    <n v="64929"/>
    <s v="unknown"/>
    <d v="2017-01-19T00:00:00"/>
    <s v="Has no high school or college education"/>
    <x v="0"/>
    <x v="2"/>
    <n v="18"/>
    <x v="1"/>
  </r>
  <r>
    <s v="a2251f338c4eec487c228740619520a4"/>
    <n v="2252"/>
    <n v="279"/>
    <n v="8.0716845878136194"/>
    <n v="4.0561229084490551E-2"/>
    <s v="Medium Engagement"/>
    <n v="21"/>
    <n v="9.3250444049733563E-3"/>
    <n v="1.6611295681063123E-3"/>
    <n v="0.10523603132377961"/>
    <x v="2"/>
    <n v="10"/>
    <n v="0"/>
    <n v="28"/>
    <n v="283"/>
    <n v="225"/>
    <n v="2.0791314018585888E-2"/>
    <n v="17648"/>
    <n v="3747"/>
    <n v="13901"/>
    <s v="USA"/>
    <d v="2019-09-18T00:00:00"/>
    <s v="Has no high school or college education"/>
    <x v="0"/>
    <x v="41"/>
    <n v="39"/>
    <x v="3"/>
  </r>
  <r>
    <s v="2beffd6e2ee87f41752bfb0a89de567f"/>
    <n v="4348"/>
    <n v="539"/>
    <n v="8.0667903525046381"/>
    <n v="4.0536634937209236E-2"/>
    <s v="Medium Engagement"/>
    <n v="29"/>
    <n v="6.6697332106715728E-3"/>
    <n v="2.2939408321468123E-3"/>
    <n v="0.16778849126840617"/>
    <x v="1"/>
    <n v="13"/>
    <n v="0"/>
    <n v="56"/>
    <n v="368"/>
    <n v="356"/>
    <n v="8.2127339729694063E-2"/>
    <n v="69711"/>
    <n v="26895"/>
    <n v="42816"/>
    <s v="Germany"/>
    <d v="2019-06-13T00:00:00"/>
    <s v="Has no high school or college education"/>
    <x v="0"/>
    <x v="2"/>
    <n v="24"/>
    <x v="0"/>
  </r>
  <r>
    <s v="8b897731288b304b8b819eee33eaad79"/>
    <n v="6954"/>
    <n v="867"/>
    <n v="8.0207612456747412"/>
    <n v="4.0305332892837893E-2"/>
    <s v="Medium Engagement"/>
    <n v="900"/>
    <n v="0.12942191544434858"/>
    <n v="7.1191267204556236E-2"/>
    <n v="0.3058309412364274"/>
    <x v="1"/>
    <n v="200"/>
    <n v="192"/>
    <n v="1428"/>
    <n v="3409"/>
    <n v="4920"/>
    <n v="8.2837741041639171E-2"/>
    <n v="70314"/>
    <n v="4103"/>
    <n v="66211"/>
    <s v="USA"/>
    <d v="2014-06-17T00:00:00"/>
    <s v="Has high school and/or college education"/>
    <x v="1"/>
    <x v="2"/>
    <n v="31"/>
    <x v="3"/>
  </r>
  <r>
    <s v="ab7ae42f881d89d8f1f842a926bcae77"/>
    <n v="1499"/>
    <n v="187"/>
    <n v="8.0160427807486627"/>
    <n v="4.0281622013812378E-2"/>
    <s v="Medium Engagement"/>
    <n v="161"/>
    <n v="0.10740493662441628"/>
    <n v="1.273532668881506E-2"/>
    <n v="0.16400523630555838"/>
    <x v="1"/>
    <n v="47"/>
    <n v="27"/>
    <n v="212"/>
    <n v="910"/>
    <n v="776"/>
    <n v="5.7971338900303482E-2"/>
    <n v="49207"/>
    <n v="901"/>
    <n v="48306"/>
    <s v="unknown"/>
    <d v="2020-09-22T00:00:00"/>
    <s v="Has no high school or college education"/>
    <x v="0"/>
    <x v="161"/>
    <n v="20"/>
    <x v="1"/>
  </r>
  <r>
    <s v="10a8c197447a3991d64136b315d6e87e"/>
    <n v="2930"/>
    <n v="366"/>
    <n v="8.0054644808743163"/>
    <n v="4.0228464728011643E-2"/>
    <s v="Medium Engagement"/>
    <n v="122"/>
    <n v="4.1638225255972695E-2"/>
    <n v="9.650371776617624E-3"/>
    <n v="0.13277896384260757"/>
    <x v="2"/>
    <n v="30"/>
    <n v="4"/>
    <n v="203"/>
    <n v="2265"/>
    <n v="2246"/>
    <n v="3.3021290833349044E-2"/>
    <n v="28029"/>
    <n v="22552"/>
    <n v="5477"/>
    <s v="Mexico"/>
    <d v="2014-03-06T00:00:00"/>
    <s v="Has high school and/or college education"/>
    <x v="0"/>
    <x v="1"/>
    <n v="19"/>
    <x v="1"/>
  </r>
  <r>
    <s v="53b040b1cfa1cf3e5824f8840d060363"/>
    <n v="1465"/>
    <n v="183"/>
    <n v="8.0054644808743163"/>
    <n v="4.0228464728011643E-2"/>
    <s v="Medium Engagement"/>
    <n v="49"/>
    <n v="3.3447098976109216E-2"/>
    <n v="3.875968992248062E-3"/>
    <n v="0.13304897413030847"/>
    <x v="2"/>
    <n v="21"/>
    <n v="10"/>
    <n v="144"/>
    <n v="169"/>
    <n v="164"/>
    <n v="4.4840106689789071E-2"/>
    <n v="38061"/>
    <n v="20139"/>
    <n v="17922"/>
    <s v="USA"/>
    <d v="2020-05-27T00:00:00"/>
    <s v="Has no high school or college education"/>
    <x v="0"/>
    <x v="162"/>
    <n v="31"/>
    <x v="3"/>
  </r>
  <r>
    <s v="91af08414bbb4563647d8e97ddcfa23f"/>
    <n v="16"/>
    <n v="2"/>
    <n v="8"/>
    <n v="4.0201005025125629E-2"/>
    <s v="Medium Engagement"/>
    <n v="21"/>
    <n v="1.3125"/>
    <n v="1.6611295681063123E-3"/>
    <n v="8.3776106098114922E-2"/>
    <x v="2"/>
    <n v="6"/>
    <n v="0"/>
    <n v="2"/>
    <n v="168"/>
    <n v="186"/>
    <n v="5.1836911651052761E-5"/>
    <n v="44"/>
    <n v="10"/>
    <n v="34"/>
    <s v="unknown"/>
    <d v="2021-03-03T00:00:00"/>
    <s v="Has no high school or college education"/>
    <x v="0"/>
    <x v="163"/>
    <n v="38"/>
    <x v="3"/>
  </r>
  <r>
    <s v="31267a3f91f5dbdbd43dc75fba262d1c"/>
    <n v="2222"/>
    <n v="278"/>
    <n v="7.9928057553956835"/>
    <n v="4.0164853042189363E-2"/>
    <s v="Medium Engagement"/>
    <n v="40"/>
    <n v="1.8001800180018002E-2"/>
    <n v="3.1640563202024997E-3"/>
    <n v="0.12338309251792617"/>
    <x v="2"/>
    <n v="11"/>
    <n v="5"/>
    <n v="184"/>
    <n v="464"/>
    <n v="459"/>
    <n v="3.672527379314245E-2"/>
    <n v="31173"/>
    <n v="5814"/>
    <n v="25359"/>
    <s v="United Kingdom"/>
    <d v="2019-11-09T00:00:00"/>
    <s v="Has no high school or college education"/>
    <x v="0"/>
    <x v="2"/>
    <n v="18"/>
    <x v="1"/>
  </r>
  <r>
    <s v="d67fe89a674f6d024a2e0b4290307229"/>
    <n v="13539"/>
    <n v="1696"/>
    <n v="7.9829009433962268"/>
    <n v="4.011508011756898E-2"/>
    <s v="Medium Engagement"/>
    <n v="796"/>
    <n v="5.8793116182879093E-2"/>
    <n v="6.2964720772029747E-2"/>
    <n v="0.45821658468244153"/>
    <x v="1"/>
    <n v="297"/>
    <n v="95"/>
    <n v="1348"/>
    <n v="6347"/>
    <n v="5815"/>
    <n v="0.25205698290324408"/>
    <n v="213950"/>
    <n v="69166"/>
    <n v="144784"/>
    <s v="unknown"/>
    <d v="2013-02-19T00:00:00"/>
    <s v="Has high school and/or college education"/>
    <x v="0"/>
    <x v="2"/>
    <n v="29"/>
    <x v="0"/>
  </r>
  <r>
    <s v="ffc7f549d9a2899b7e70e3df5ff6e60a"/>
    <n v="12402"/>
    <n v="1555"/>
    <n v="7.9755627009646304"/>
    <n v="4.0078204527460456E-2"/>
    <s v="Medium Engagement"/>
    <n v="113"/>
    <n v="9.1114336397355271E-3"/>
    <n v="8.9384591045720621E-3"/>
    <n v="0.33143020008455853"/>
    <x v="1"/>
    <n v="28"/>
    <n v="1"/>
    <n v="865"/>
    <n v="1461"/>
    <n v="1582"/>
    <n v="0.23339687282049348"/>
    <n v="198111"/>
    <n v="103464"/>
    <n v="94647"/>
    <s v="United Kingdom"/>
    <d v="2015-10-16T00:00:00"/>
    <s v="Has high school and/or college education"/>
    <x v="0"/>
    <x v="1"/>
    <n v="19"/>
    <x v="1"/>
  </r>
  <r>
    <s v="10e11d6c79dd5522e8fc362bcc844bcc"/>
    <n v="9937"/>
    <n v="1248"/>
    <n v="7.9623397435897436"/>
    <n v="4.00117575054761E-2"/>
    <s v="Medium Engagement"/>
    <n v="411"/>
    <n v="4.1360571601086846E-2"/>
    <n v="3.2510678690080681E-2"/>
    <n v="0.23594325319449144"/>
    <x v="1"/>
    <n v="163"/>
    <n v="14"/>
    <n v="1769"/>
    <n v="2315"/>
    <n v="2046"/>
    <n v="9.0898380803377879E-2"/>
    <n v="77156"/>
    <n v="45692"/>
    <n v="31464"/>
    <s v="USA"/>
    <d v="2016-09-18T00:00:00"/>
    <s v="Has high school and/or college education"/>
    <x v="0"/>
    <x v="164"/>
    <n v="18"/>
    <x v="1"/>
  </r>
  <r>
    <s v="a4af1796e32b82dca8227c1f92fddcd0"/>
    <n v="3511"/>
    <n v="441"/>
    <n v="7.9614512471655328"/>
    <n v="4.0007292699324286E-2"/>
    <s v="Medium Engagement"/>
    <n v="16"/>
    <n v="4.5571062375391628E-3"/>
    <n v="1.2656225280809998E-3"/>
    <n v="0.11748273079599168"/>
    <x v="2"/>
    <n v="9"/>
    <n v="1"/>
    <n v="58"/>
    <n v="43"/>
    <n v="26"/>
    <n v="3.4936900341181125E-2"/>
    <n v="29655"/>
    <n v="8638"/>
    <n v="21017"/>
    <s v="Denmark"/>
    <d v="2019-03-13T00:00:00"/>
    <s v="Has no high school or college education"/>
    <x v="0"/>
    <x v="2"/>
    <n v="22"/>
    <x v="0"/>
  </r>
  <r>
    <s v="ab0bec223378ace2adbe82404b4c206c"/>
    <n v="4960"/>
    <n v="624"/>
    <n v="7.9487179487179489"/>
    <n v="3.994330627496457E-2"/>
    <s v="Medium Engagement"/>
    <n v="288"/>
    <n v="5.8064516129032261E-2"/>
    <n v="2.2781205505457997E-2"/>
    <n v="0.18190295468372689"/>
    <x v="1"/>
    <n v="117"/>
    <n v="15"/>
    <n v="1014"/>
    <n v="1321"/>
    <n v="1084"/>
    <n v="5.6453931122881752E-2"/>
    <n v="47919"/>
    <n v="13730"/>
    <n v="34189"/>
    <s v="unknown"/>
    <d v="2014-05-01T00:00:00"/>
    <s v="Has no high school or college education"/>
    <x v="0"/>
    <x v="2"/>
    <n v="14"/>
    <x v="1"/>
  </r>
  <r>
    <s v="d53076c97a06f050146564b5a0c27ce8"/>
    <n v="12198"/>
    <n v="1539"/>
    <n v="7.9259259259259256"/>
    <n v="3.9828773497115201E-2"/>
    <s v="Medium Engagement"/>
    <n v="467"/>
    <n v="3.8284964748319397E-2"/>
    <n v="3.694035753836418E-2"/>
    <n v="0.34329198961615115"/>
    <x v="1"/>
    <n v="194"/>
    <n v="13"/>
    <n v="1588"/>
    <n v="2645"/>
    <n v="2649"/>
    <n v="0.18975372754519237"/>
    <n v="161066"/>
    <n v="90148"/>
    <n v="70918"/>
    <s v="Canada"/>
    <d v="2015-03-15T00:00:00"/>
    <s v="Has high school and/or college education"/>
    <x v="0"/>
    <x v="2"/>
    <n v="24"/>
    <x v="0"/>
  </r>
  <r>
    <s v="be8c35f06750bb3ad85a42c2ac78758f"/>
    <n v="713"/>
    <n v="90"/>
    <n v="7.9222222222222225"/>
    <n v="3.9810161920714689E-2"/>
    <s v="Medium Engagement"/>
    <n v="5"/>
    <n v="7.0126227208976155E-3"/>
    <n v="3.9550704002531246E-4"/>
    <n v="8.5983805923968176E-2"/>
    <x v="2"/>
    <n v="4"/>
    <n v="0"/>
    <n v="6"/>
    <n v="6"/>
    <n v="0"/>
    <n v="5.5724680024881717E-3"/>
    <n v="4730"/>
    <n v="1196"/>
    <n v="3534"/>
    <s v="United Kingdom"/>
    <d v="2020-08-02T00:00:00"/>
    <s v="Has no high school or college education"/>
    <x v="0"/>
    <x v="2"/>
    <n v="30"/>
    <x v="0"/>
  </r>
  <r>
    <s v="51209340c87da1491220f4b99f6c41ef"/>
    <n v="5468"/>
    <n v="692"/>
    <n v="7.901734104046243"/>
    <n v="3.9707206552996199E-2"/>
    <s v="Medium Engagement"/>
    <n v="266"/>
    <n v="4.864667154352597E-2"/>
    <n v="2.1040974529346623E-2"/>
    <n v="0.14608472996171115"/>
    <x v="1"/>
    <n v="95"/>
    <n v="1"/>
    <n v="408"/>
    <n v="2786"/>
    <n v="2426"/>
    <n v="2.4588367797025504E-2"/>
    <n v="20871"/>
    <n v="7014"/>
    <n v="13857"/>
    <s v="United Kingdom"/>
    <d v="2016-07-15T00:00:00"/>
    <s v="Has high school and/or college education"/>
    <x v="0"/>
    <x v="2"/>
    <n v="18"/>
    <x v="1"/>
  </r>
  <r>
    <s v="e2d833a03d99e9311d2ed2d4b463cd27"/>
    <n v="1759"/>
    <n v="223"/>
    <n v="7.8878923766816147"/>
    <n v="3.9637650134078467E-2"/>
    <s v="Medium Engagement"/>
    <n v="12"/>
    <n v="6.8220579874928933E-3"/>
    <n v="9.4921689606074992E-4"/>
    <n v="0.10815720279790826"/>
    <x v="2"/>
    <n v="2"/>
    <n v="4"/>
    <n v="113"/>
    <n v="81"/>
    <n v="72"/>
    <n v="2.6983468737629829E-2"/>
    <n v="22904"/>
    <n v="1493"/>
    <n v="21411"/>
    <s v="unknown"/>
    <d v="2020-08-29T00:00:00"/>
    <s v="Has no high school or college education"/>
    <x v="0"/>
    <x v="2"/>
    <n v="23"/>
    <x v="0"/>
  </r>
  <r>
    <s v="8077faeaa4104af4f88db4c660e90371"/>
    <n v="5690"/>
    <n v="722"/>
    <n v="7.8808864265927978"/>
    <n v="3.9602444354737677E-2"/>
    <s v="Medium Engagement"/>
    <n v="275"/>
    <n v="4.8330404217926184E-2"/>
    <n v="2.1752887201392186E-2"/>
    <n v="0.14388132907520107"/>
    <x v="1"/>
    <n v="50"/>
    <n v="27"/>
    <n v="624"/>
    <n v="1521"/>
    <n v="2431"/>
    <n v="2.1170665962941322E-2"/>
    <n v="17970"/>
    <n v="829"/>
    <n v="17141"/>
    <s v="Germany"/>
    <d v="2014-10-19T00:00:00"/>
    <s v="Has high school and/or college education"/>
    <x v="1"/>
    <x v="2"/>
    <n v="29"/>
    <x v="0"/>
  </r>
  <r>
    <s v="16a43efd769cbd6bc413c5d6216a9b2f"/>
    <n v="330"/>
    <n v="42"/>
    <n v="7.8571428571428568"/>
    <n v="3.9483129935391242E-2"/>
    <s v="Medium Engagement"/>
    <n v="23"/>
    <n v="6.9696969696969702E-2"/>
    <n v="1.8193323841164373E-3"/>
    <n v="8.5207373226223904E-2"/>
    <x v="2"/>
    <n v="1"/>
    <n v="1"/>
    <n v="43"/>
    <n v="317"/>
    <n v="277"/>
    <n v="2.6024485872085351E-3"/>
    <n v="2209"/>
    <n v="467"/>
    <n v="1742"/>
    <s v="Brazil"/>
    <d v="2020-11-16T00:00:00"/>
    <s v="Has no high school or college education"/>
    <x v="0"/>
    <x v="2"/>
    <n v="22"/>
    <x v="0"/>
  </r>
  <r>
    <s v="3c9b565c476cfc08971a522b0e49a3d3"/>
    <n v="7837"/>
    <n v="999"/>
    <n v="7.8448448448448449"/>
    <n v="3.9421330878617308E-2"/>
    <s v="Medium Engagement"/>
    <n v="75"/>
    <n v="9.5699885160137801E-3"/>
    <n v="5.9326056003796866E-3"/>
    <n v="0.2667095034644878"/>
    <x v="1"/>
    <n v="38"/>
    <n v="6"/>
    <n v="121"/>
    <n v="282"/>
    <n v="258"/>
    <n v="0.17600163050649376"/>
    <n v="149393"/>
    <n v="10815"/>
    <n v="138578"/>
    <s v="USA"/>
    <d v="2016-04-04T00:00:00"/>
    <s v="Has high school and/or college education"/>
    <x v="0"/>
    <x v="165"/>
    <n v="24"/>
    <x v="0"/>
  </r>
  <r>
    <s v="49554bf9239a2ad19768763ac49b66eb"/>
    <n v="47"/>
    <n v="6"/>
    <n v="7.833333333333333"/>
    <n v="3.9363484087102177E-2"/>
    <s v="Medium Engagement"/>
    <n v="2"/>
    <n v="4.2553191489361701E-2"/>
    <n v="1.5820281601012498E-4"/>
    <n v="7.9672485415807834E-2"/>
    <x v="2"/>
    <n v="0"/>
    <n v="0"/>
    <n v="3"/>
    <n v="11"/>
    <n v="6"/>
    <n v="6.2911160958323124E-4"/>
    <n v="534"/>
    <n v="187"/>
    <n v="347"/>
    <s v="Germany"/>
    <d v="2020-09-12T00:00:00"/>
    <s v="Has no high school or college education"/>
    <x v="0"/>
    <x v="166"/>
    <n v="28"/>
    <x v="0"/>
  </r>
  <r>
    <s v="bc59dc6f98325fca718cfaeb3f9b207c"/>
    <n v="4983"/>
    <n v="638"/>
    <n v="7.8103448275862073"/>
    <n v="3.9247963957719637E-2"/>
    <s v="Medium Engagement"/>
    <n v="279"/>
    <n v="5.5990367248645395E-2"/>
    <n v="2.2069292833412434E-2"/>
    <n v="0.18860640855125627"/>
    <x v="1"/>
    <n v="63"/>
    <n v="7"/>
    <n v="415"/>
    <n v="1433"/>
    <n v="1025"/>
    <n v="6.5971894968992098E-2"/>
    <n v="55998"/>
    <n v="23091"/>
    <n v="32907"/>
    <s v="USA"/>
    <d v="2019-02-28T00:00:00"/>
    <s v="Has no high school or college education"/>
    <x v="0"/>
    <x v="167"/>
    <n v="23"/>
    <x v="0"/>
  </r>
  <r>
    <s v="87df7995274194c92e313baca2244fb3"/>
    <n v="764"/>
    <n v="98"/>
    <n v="7.795918367346939"/>
    <n v="3.9175469182647936E-2"/>
    <s v="Medium Engagement"/>
    <n v="6"/>
    <n v="7.8534031413612562E-3"/>
    <n v="4.7460844803037496E-4"/>
    <n v="9.0995269396811185E-2"/>
    <x v="2"/>
    <n v="1"/>
    <n v="0"/>
    <n v="11"/>
    <n v="39"/>
    <n v="30"/>
    <n v="1.1695114135454562E-2"/>
    <n v="9927"/>
    <n v="1025"/>
    <n v="8902"/>
    <s v="unknown"/>
    <d v="2020-12-26T00:00:00"/>
    <s v="Has no high school or college education"/>
    <x v="0"/>
    <x v="2"/>
    <n v="25"/>
    <x v="0"/>
  </r>
  <r>
    <s v="d19a6fc31fb19b3d73dcb302b89546cb"/>
    <n v="2437"/>
    <n v="313"/>
    <n v="7.7859424920127793"/>
    <n v="3.9125339155843111E-2"/>
    <s v="Medium Engagement"/>
    <n v="234"/>
    <n v="9.6019696347968808E-2"/>
    <n v="1.8509729473184623E-2"/>
    <n v="0.12575886508599463"/>
    <x v="2"/>
    <n v="61"/>
    <n v="81"/>
    <n v="268"/>
    <n v="934"/>
    <n v="934"/>
    <n v="1.0488727827939153E-2"/>
    <n v="8903"/>
    <n v="3722"/>
    <n v="5181"/>
    <s v="unknown"/>
    <d v="2014-10-27T00:00:00"/>
    <s v="Has high school and/or college education"/>
    <x v="0"/>
    <x v="168"/>
    <n v="24"/>
    <x v="0"/>
  </r>
  <r>
    <s v="f88e0b5491ab90397551ef262db73f57"/>
    <n v="3550"/>
    <n v="458"/>
    <n v="7.751091703056769"/>
    <n v="3.8950209563099344E-2"/>
    <s v="Medium Engagement"/>
    <n v="308"/>
    <n v="8.6760563380281694E-2"/>
    <n v="2.4363233665559248E-2"/>
    <n v="0.14125196421268466"/>
    <x v="1"/>
    <n v="147"/>
    <n v="12"/>
    <n v="505"/>
    <n v="732"/>
    <n v="951"/>
    <n v="1.4625077755367477E-2"/>
    <n v="12414"/>
    <n v="4607"/>
    <n v="7807"/>
    <s v="unknown"/>
    <d v="2013-12-27T00:00:00"/>
    <s v="Has high school and/or college education"/>
    <x v="0"/>
    <x v="2"/>
    <n v="21"/>
    <x v="0"/>
  </r>
  <r>
    <s v="63e2013d6e66d24057920b043db529c9"/>
    <n v="14327"/>
    <n v="1850"/>
    <n v="7.7443243243243245"/>
    <n v="3.8916202634795602E-2"/>
    <s v="Medium Engagement"/>
    <n v="75"/>
    <n v="5.2348712221679345E-3"/>
    <n v="5.9326056003796866E-3"/>
    <n v="0.18850348252377086"/>
    <x v="1"/>
    <n v="26"/>
    <n v="21"/>
    <n v="304"/>
    <n v="743"/>
    <n v="1077"/>
    <n v="9.8805866053420288E-2"/>
    <n v="83868"/>
    <n v="54859"/>
    <n v="29009"/>
    <s v="USA"/>
    <d v="2015-12-08T00:00:00"/>
    <s v="Has high school and/or college education"/>
    <x v="0"/>
    <x v="3"/>
    <n v="19"/>
    <x v="1"/>
  </r>
  <r>
    <s v="563d21dae500d1420efb2ff75bbc20f7"/>
    <n v="2176"/>
    <n v="282"/>
    <n v="7.7163120567375882"/>
    <n v="3.8775437471043159E-2"/>
    <s v="Medium Engagement"/>
    <n v="184"/>
    <n v="8.455882352941177E-2"/>
    <n v="1.4554659072931499E-2"/>
    <n v="0.1347911425516729"/>
    <x v="1"/>
    <n v="64"/>
    <n v="0"/>
    <n v="333"/>
    <n v="791"/>
    <n v="620"/>
    <n v="2.8130949463723586E-2"/>
    <n v="23878"/>
    <n v="4685"/>
    <n v="19193"/>
    <s v="unknown"/>
    <d v="2019-08-02T00:00:00"/>
    <s v="Has no high school or college education"/>
    <x v="0"/>
    <x v="169"/>
    <n v="23"/>
    <x v="0"/>
  </r>
  <r>
    <s v="f324e4f6c69a75417f49f4e94c92d9bb"/>
    <n v="3542"/>
    <n v="460"/>
    <n v="7.7"/>
    <n v="3.8693467336683419E-2"/>
    <s v="Medium Engagement"/>
    <n v="263"/>
    <n v="7.4251835121400336E-2"/>
    <n v="2.0803670305331434E-2"/>
    <n v="0.16510438630926957"/>
    <x v="1"/>
    <n v="63"/>
    <n v="118"/>
    <n v="1014"/>
    <n v="780"/>
    <n v="1284"/>
    <n v="4.6110111025239861E-2"/>
    <n v="39139"/>
    <n v="2887"/>
    <n v="36252"/>
    <s v="unknown"/>
    <d v="2018-09-26T00:00:00"/>
    <s v="Has no high school or college education"/>
    <x v="1"/>
    <x v="170"/>
    <n v="26"/>
    <x v="0"/>
  </r>
  <r>
    <s v="e400b6b6e8771da5e11ba78236b508a9"/>
    <n v="4309"/>
    <n v="560"/>
    <n v="7.6946428571428571"/>
    <n v="3.8666547020818377E-2"/>
    <s v="Medium Engagement"/>
    <n v="385"/>
    <n v="8.9347876537479692E-2"/>
    <n v="3.0454042081949059E-2"/>
    <n v="0.2115821614103755"/>
    <x v="1"/>
    <n v="84"/>
    <n v="31"/>
    <n v="447"/>
    <n v="2394"/>
    <n v="3108"/>
    <n v="7.3340983204840629E-2"/>
    <n v="62253"/>
    <n v="811"/>
    <n v="61442"/>
    <s v="USA"/>
    <d v="2013-11-23T00:00:00"/>
    <s v="Has high school and/or college education"/>
    <x v="1"/>
    <x v="2"/>
    <n v="29"/>
    <x v="0"/>
  </r>
  <r>
    <s v="cdc22e054cd83717a807d089a9013262"/>
    <n v="1521"/>
    <n v="198"/>
    <n v="7.6818181818181817"/>
    <n v="3.860210141617177E-2"/>
    <s v="Medium Engagement"/>
    <n v="408"/>
    <n v="0.26824457593688361"/>
    <n v="3.2273374466065499E-2"/>
    <n v="0.15890425707445927"/>
    <x v="1"/>
    <n v="100"/>
    <n v="10"/>
    <n v="124"/>
    <n v="2416"/>
    <n v="1847"/>
    <n v="1.7153305309984733E-2"/>
    <n v="14560"/>
    <n v="5130"/>
    <n v="9430"/>
    <s v="United Kingdom"/>
    <d v="2020-03-22T00:00:00"/>
    <s v="Has no high school or college education"/>
    <x v="0"/>
    <x v="10"/>
    <n v="26"/>
    <x v="0"/>
  </r>
  <r>
    <s v="9b63d826dca09f44a6b56f404db0ad3c"/>
    <n v="1521"/>
    <n v="198"/>
    <n v="7.6818181818181817"/>
    <n v="3.860210141617177E-2"/>
    <s v="Medium Engagement"/>
    <n v="285"/>
    <n v="0.18737672583826431"/>
    <n v="2.2543901281442808E-2"/>
    <n v="0.13944531070521388"/>
    <x v="1"/>
    <n v="79"/>
    <n v="8"/>
    <n v="124"/>
    <n v="1689"/>
    <n v="1258"/>
    <n v="1.7153305309984733E-2"/>
    <n v="14560"/>
    <n v="5130"/>
    <n v="9430"/>
    <s v="Italy"/>
    <d v="2020-03-22T00:00:00"/>
    <s v="Has no high school or college education"/>
    <x v="0"/>
    <x v="10"/>
    <n v="26"/>
    <x v="0"/>
  </r>
  <r>
    <s v="a8ae6cb298c42a07f5196b23949830e8"/>
    <n v="2396"/>
    <n v="312"/>
    <n v="7.6794871794871797"/>
    <n v="3.8590387836618993E-2"/>
    <s v="Medium Engagement"/>
    <n v="228"/>
    <n v="9.515859766277128E-2"/>
    <n v="1.8035121025154248E-2"/>
    <n v="0.16994057117211486"/>
    <x v="1"/>
    <n v="91"/>
    <n v="21"/>
    <n v="212"/>
    <n v="865"/>
    <n v="680"/>
    <n v="5.668955344856836E-2"/>
    <n v="48119"/>
    <n v="9150"/>
    <n v="38969"/>
    <s v="USA"/>
    <d v="2017-10-06T00:00:00"/>
    <s v="Has high school and/or college education"/>
    <x v="0"/>
    <x v="2"/>
    <n v="18"/>
    <x v="1"/>
  </r>
  <r>
    <s v="c83a223af895fe72dbf7f9d590659f45"/>
    <n v="2502"/>
    <n v="326"/>
    <n v="7.6748466257668708"/>
    <n v="3.8567068471190305E-2"/>
    <s v="Medium Engagement"/>
    <n v="51"/>
    <n v="2.0383693045563551E-2"/>
    <n v="4.0341718082581874E-3"/>
    <n v="0.19238118595559073"/>
    <x v="1"/>
    <n v="24"/>
    <n v="0"/>
    <n v="57"/>
    <n v="134"/>
    <n v="130"/>
    <n v="0.10717870539669375"/>
    <n v="90975"/>
    <n v="1274"/>
    <n v="89701"/>
    <s v="Germany"/>
    <d v="2020-03-04T00:00:00"/>
    <s v="Has no high school or college education"/>
    <x v="0"/>
    <x v="2"/>
    <n v="23"/>
    <x v="0"/>
  </r>
  <r>
    <s v="71998221b4edc9aa27c0fb02ade3c5a5"/>
    <n v="1510"/>
    <n v="198"/>
    <n v="7.6262626262626263"/>
    <n v="3.8322927770163953E-2"/>
    <s v="Medium Engagement"/>
    <n v="118"/>
    <n v="7.8145695364238404E-2"/>
    <n v="9.3339661445973731E-3"/>
    <n v="0.11174726693453482"/>
    <x v="2"/>
    <n v="39"/>
    <n v="35"/>
    <n v="368"/>
    <n v="268"/>
    <n v="305"/>
    <n v="1.643347910501216E-2"/>
    <n v="13949"/>
    <n v="2216"/>
    <n v="11733"/>
    <s v="USA"/>
    <d v="2019-06-02T00:00:00"/>
    <s v="Has no high school or college education"/>
    <x v="1"/>
    <x v="2"/>
    <n v="21"/>
    <x v="0"/>
  </r>
  <r>
    <s v="d836acab91fb250cad9902c3ec0e4ea3"/>
    <n v="12275"/>
    <n v="1612"/>
    <n v="7.6147642679900747"/>
    <n v="3.8265147075327008E-2"/>
    <s v="Medium Engagement"/>
    <n v="282"/>
    <n v="2.2973523421588593E-2"/>
    <n v="2.2306597057427623E-2"/>
    <n v="0.42421977334967359"/>
    <x v="1"/>
    <n v="48"/>
    <n v="17"/>
    <n v="1131"/>
    <n v="1562"/>
    <n v="924"/>
    <n v="0.30307628508416429"/>
    <n v="257256"/>
    <n v="49246"/>
    <n v="208010"/>
    <s v="Germany"/>
    <d v="2016-08-01T00:00:00"/>
    <s v="Has high school and/or college education"/>
    <x v="0"/>
    <x v="171"/>
    <n v="22"/>
    <x v="0"/>
  </r>
  <r>
    <s v="b4c2ededd2cd6ca934c51b41c09c9792"/>
    <n v="1500"/>
    <n v="197"/>
    <n v="7.6142131979695433"/>
    <n v="3.8262377879243935E-2"/>
    <s v="Medium Engagement"/>
    <n v="19"/>
    <n v="1.2666666666666666E-2"/>
    <n v="1.5029267520961873E-3"/>
    <n v="0.10190294908662324"/>
    <x v="2"/>
    <n v="6"/>
    <n v="0"/>
    <n v="24"/>
    <n v="112"/>
    <n v="43"/>
    <n v="2.2372339823942999E-2"/>
    <n v="18990"/>
    <n v="8136"/>
    <n v="10854"/>
    <s v="unknown"/>
    <d v="2019-07-28T00:00:00"/>
    <s v="Has no high school or college education"/>
    <x v="0"/>
    <x v="2"/>
    <n v="20"/>
    <x v="1"/>
  </r>
  <r>
    <s v="2073f1c2fe83c76776aa47778598c185"/>
    <n v="2103"/>
    <n v="277"/>
    <n v="7.5920577617328524"/>
    <n v="3.8151044028808305E-2"/>
    <s v="Medium Engagement"/>
    <n v="85"/>
    <n v="4.0418449833571089E-2"/>
    <n v="6.723619680430312E-3"/>
    <n v="0.13618695347642149"/>
    <x v="1"/>
    <n v="11"/>
    <n v="2"/>
    <n v="176"/>
    <n v="867"/>
    <n v="615"/>
    <n v="4.6437626057944242E-2"/>
    <n v="39417"/>
    <n v="4906"/>
    <n v="34511"/>
    <s v="Ukraine"/>
    <d v="2017-07-04T00:00:00"/>
    <s v="Has no high school or college education"/>
    <x v="0"/>
    <x v="172"/>
    <n v="21"/>
    <x v="0"/>
  </r>
  <r>
    <s v="55ce58f2b0fb4330518383326e1fe4e6"/>
    <n v="5828"/>
    <n v="769"/>
    <n v="7.5786736020806238"/>
    <n v="3.8083786945128761E-2"/>
    <s v="Medium Engagement"/>
    <n v="385"/>
    <n v="6.606039807824296E-2"/>
    <n v="3.0454042081949059E-2"/>
    <n v="0.19773073524402954"/>
    <x v="1"/>
    <n v="181"/>
    <n v="4"/>
    <n v="464"/>
    <n v="2107"/>
    <n v="2154"/>
    <n v="6.0655077189873896E-2"/>
    <n v="51485"/>
    <n v="41095"/>
    <n v="10390"/>
    <s v="Netherlands"/>
    <d v="2015-01-27T00:00:00"/>
    <s v="Has high school and/or college education"/>
    <x v="0"/>
    <x v="2"/>
    <n v="19"/>
    <x v="1"/>
  </r>
  <r>
    <s v="bcc5160b86842cb0b40264714335348e"/>
    <n v="6100"/>
    <n v="805"/>
    <n v="7.5776397515527947"/>
    <n v="3.80785917163457E-2"/>
    <s v="Medium Engagement"/>
    <n v="99"/>
    <n v="1.6229508196721313E-2"/>
    <n v="7.8310393925011858E-3"/>
    <n v="0.12802852311758256"/>
    <x v="2"/>
    <n v="36"/>
    <n v="1"/>
    <n v="216"/>
    <n v="514"/>
    <n v="448"/>
    <n v="3.6209260899888789E-2"/>
    <n v="30735"/>
    <n v="21232"/>
    <n v="9503"/>
    <s v="unknown"/>
    <d v="2017-09-27T00:00:00"/>
    <s v="Has high school and/or college education"/>
    <x v="0"/>
    <x v="17"/>
    <n v="24"/>
    <x v="0"/>
  </r>
  <r>
    <s v="89ea0c4a5e213e9a3803baefcdead6d5"/>
    <n v="4395"/>
    <n v="580"/>
    <n v="7.5775862068965516"/>
    <n v="3.8078322647721367E-2"/>
    <s v="Medium Engagement"/>
    <n v="160"/>
    <n v="3.6405005688282137E-2"/>
    <n v="1.2656225280809999E-2"/>
    <n v="0.15099808682801522"/>
    <x v="1"/>
    <n v="38"/>
    <n v="18"/>
    <n v="740"/>
    <n v="2072"/>
    <n v="2065"/>
    <n v="4.952899097095248E-2"/>
    <n v="42041"/>
    <n v="13685"/>
    <n v="28356"/>
    <s v="unknown"/>
    <d v="2017-08-17T00:00:00"/>
    <s v="Has high school and/or college education"/>
    <x v="0"/>
    <x v="173"/>
    <n v="22"/>
    <x v="0"/>
  </r>
  <r>
    <s v="0ad0670a7be2383c95541c27b5bbe4cf"/>
    <n v="1809"/>
    <n v="239"/>
    <n v="7.5690376569037658"/>
    <n v="3.8035365110069178E-2"/>
    <s v="Medium Engagement"/>
    <n v="98"/>
    <n v="5.4173576561636266E-2"/>
    <n v="7.7519379844961239E-3"/>
    <n v="0.11327070993835305"/>
    <x v="2"/>
    <n v="18"/>
    <n v="1"/>
    <n v="255"/>
    <n v="1476"/>
    <n v="1427"/>
    <n v="2.1696103749222446E-2"/>
    <n v="18416"/>
    <n v="4675"/>
    <n v="13741"/>
    <s v="Netherlands"/>
    <d v="2020-04-23T00:00:00"/>
    <s v="Has no high school or college education"/>
    <x v="0"/>
    <x v="2"/>
    <n v="18"/>
    <x v="1"/>
  </r>
  <r>
    <s v="53fbeac29abbe82a1b778ab236e9ecb7"/>
    <n v="9719"/>
    <n v="1286"/>
    <n v="7.5575427682737173"/>
    <n v="3.7977601850621698E-2"/>
    <s v="Medium Engagement"/>
    <n v="1275"/>
    <n v="0.13118633604280275"/>
    <n v="0.10085429520645467"/>
    <n v="0.38454090293396764"/>
    <x v="1"/>
    <n v="138"/>
    <n v="66"/>
    <n v="2650"/>
    <n v="25761"/>
    <n v="16256"/>
    <n v="0.10687710881981489"/>
    <n v="90719"/>
    <n v="41721"/>
    <n v="48998"/>
    <s v="unknown"/>
    <d v="2016-08-03T00:00:00"/>
    <s v="Has high school and/or college education"/>
    <x v="0"/>
    <x v="174"/>
    <n v="33"/>
    <x v="3"/>
  </r>
  <r>
    <s v="eae42dcae73c4baaf4060300287bb659"/>
    <n v="2519"/>
    <n v="334"/>
    <n v="7.5419161676646711"/>
    <n v="3.7899076219420458E-2"/>
    <s v="Medium Engagement"/>
    <n v="121"/>
    <n v="4.8034934497816595E-2"/>
    <n v="9.5712703686125621E-3"/>
    <n v="0.10539525576678063"/>
    <x v="2"/>
    <n v="21"/>
    <n v="43"/>
    <n v="355"/>
    <n v="1066"/>
    <n v="1387"/>
    <n v="1.0454562590714596E-2"/>
    <n v="8874"/>
    <n v="645"/>
    <n v="8229"/>
    <s v="unknown"/>
    <d v="2017-09-26T00:00:00"/>
    <s v="Has high school and/or college education"/>
    <x v="1"/>
    <x v="1"/>
    <n v="22"/>
    <x v="0"/>
  </r>
  <r>
    <s v="cfbc9f5414c47adb731603f519ba9feb"/>
    <n v="3987"/>
    <n v="529"/>
    <n v="7.5368620037807181"/>
    <n v="3.7873678410958379E-2"/>
    <s v="Medium Engagement"/>
    <n v="17"/>
    <n v="4.2638575369952341E-3"/>
    <n v="1.3447239360860623E-3"/>
    <n v="0.17330895602017132"/>
    <x v="1"/>
    <n v="7"/>
    <n v="2"/>
    <n v="67"/>
    <n v="64"/>
    <n v="74"/>
    <n v="9.4872151326082454E-2"/>
    <n v="80529"/>
    <n v="2959"/>
    <n v="77570"/>
    <s v="USA"/>
    <d v="2019-06-19T00:00:00"/>
    <s v="Has no high school or college education"/>
    <x v="0"/>
    <x v="175"/>
    <n v="24"/>
    <x v="0"/>
  </r>
  <r>
    <s v="7a22fbd76f9e9231441be8db72366fe8"/>
    <n v="11525"/>
    <n v="1532"/>
    <n v="7.5228459530026113"/>
    <n v="3.7803245994987994E-2"/>
    <s v="Medium Engagement"/>
    <n v="195"/>
    <n v="1.6919739696312365E-2"/>
    <n v="1.5424774560987186E-2"/>
    <n v="0.2386330971523643"/>
    <x v="1"/>
    <n v="33"/>
    <n v="25"/>
    <n v="677"/>
    <n v="3125"/>
    <n v="2858"/>
    <n v="0.13217705604041394"/>
    <n v="112194"/>
    <n v="57720"/>
    <n v="54474"/>
    <s v="USA"/>
    <d v="2013-12-18T00:00:00"/>
    <s v="Has high school and/or college education"/>
    <x v="0"/>
    <x v="176"/>
    <n v="20"/>
    <x v="1"/>
  </r>
  <r>
    <s v="de8c94675810b35fdc99238c5a3c1f84"/>
    <n v="754"/>
    <n v="101"/>
    <n v="7.4653465346534658"/>
    <n v="3.7514304194238519E-2"/>
    <s v="Medium Engagement"/>
    <n v="2"/>
    <n v="2.6525198938992041E-3"/>
    <n v="1.5820281601012498E-4"/>
    <n v="7.7152237258513529E-2"/>
    <x v="2"/>
    <n v="0"/>
    <n v="0"/>
    <n v="2"/>
    <n v="922"/>
    <n v="899"/>
    <n v="1.8072232380162486E-3"/>
    <n v="1534"/>
    <n v="669"/>
    <n v="865"/>
    <s v="unknown"/>
    <d v="2020-09-07T00:00:00"/>
    <s v="Has no high school or college education"/>
    <x v="0"/>
    <x v="2"/>
    <n v="28"/>
    <x v="0"/>
  </r>
  <r>
    <s v="4346578362f180855921ae43a5b6e926"/>
    <n v="2924"/>
    <n v="393"/>
    <n v="7.440203562340967"/>
    <n v="3.7387957599703349E-2"/>
    <s v="Medium Engagement"/>
    <n v="14"/>
    <n v="4.7879616963064295E-3"/>
    <n v="1.1074197120708748E-3"/>
    <n v="9.340184960762038E-2"/>
    <x v="2"/>
    <n v="1"/>
    <n v="5"/>
    <n v="97"/>
    <n v="249"/>
    <n v="234"/>
    <n v="1.6411094984071929E-2"/>
    <n v="13930"/>
    <n v="7291"/>
    <n v="6639"/>
    <s v="Lithuania"/>
    <d v="2019-06-24T00:00:00"/>
    <s v="Has no high school or college education"/>
    <x v="0"/>
    <x v="177"/>
    <n v="23"/>
    <x v="0"/>
  </r>
  <r>
    <s v="6ad875b72c41b18f68926ef8fc20bd8c"/>
    <n v="2683"/>
    <n v="361"/>
    <n v="7.43213296398892"/>
    <n v="3.7347401829090049E-2"/>
    <s v="Medium Engagement"/>
    <n v="35"/>
    <n v="1.3045098770033545E-2"/>
    <n v="2.7685492801771874E-3"/>
    <n v="8.2936846517416687E-2"/>
    <x v="2"/>
    <n v="7"/>
    <n v="0"/>
    <n v="40"/>
    <n v="1094"/>
    <n v="1023"/>
    <n v="2.7049442988822075E-3"/>
    <n v="2296"/>
    <n v="439"/>
    <n v="1857"/>
    <s v="unknown"/>
    <d v="2018-11-14T00:00:00"/>
    <s v="Has no high school or college education"/>
    <x v="0"/>
    <x v="2"/>
    <n v="23"/>
    <x v="0"/>
  </r>
  <r>
    <s v="c97abc9fea343c8e09e19fcc4c8a1904"/>
    <n v="13305"/>
    <n v="1792"/>
    <n v="7.4246651785714288"/>
    <n v="3.7309875269203159E-2"/>
    <s v="Medium Engagement"/>
    <n v="508"/>
    <n v="3.8181134911687335E-2"/>
    <n v="4.0183515266571747E-2"/>
    <n v="0.3757378036724433"/>
    <x v="1"/>
    <n v="138"/>
    <n v="55"/>
    <n v="1210"/>
    <n v="1650"/>
    <n v="1719"/>
    <n v="0.22075102260089349"/>
    <n v="187377"/>
    <n v="7973"/>
    <n v="179404"/>
    <s v="unknown"/>
    <d v="2014-04-25T00:00:00"/>
    <s v="Has high school and/or college education"/>
    <x v="0"/>
    <x v="178"/>
    <n v="33"/>
    <x v="3"/>
  </r>
  <r>
    <s v="9fe639b934ba78f470b68f064e60580a"/>
    <n v="1826"/>
    <n v="246"/>
    <n v="7.4227642276422765"/>
    <n v="3.7300322751971239E-2"/>
    <s v="Medium Engagement"/>
    <n v="129"/>
    <n v="7.0646221248630889E-2"/>
    <n v="1.020408163265306E-2"/>
    <n v="0.11721150051869723"/>
    <x v="2"/>
    <n v="32"/>
    <n v="2"/>
    <n v="266"/>
    <n v="1617"/>
    <n v="1546"/>
    <n v="2.2202691749448642E-2"/>
    <n v="18846"/>
    <n v="4907"/>
    <n v="13939"/>
    <s v="Netherlands"/>
    <d v="2020-04-23T00:00:00"/>
    <s v="Has no high school or college education"/>
    <x v="0"/>
    <x v="179"/>
    <n v="18"/>
    <x v="1"/>
  </r>
  <r>
    <s v="c6a183a77ea9f82a82516f494984bcc2"/>
    <n v="5929"/>
    <n v="800"/>
    <n v="7.4112499999999999"/>
    <n v="3.724246231155779E-2"/>
    <s v="Medium Engagement"/>
    <n v="538"/>
    <n v="9.0740428402766068E-2"/>
    <n v="4.2556557506723616E-2"/>
    <n v="0.18941015439406031"/>
    <x v="1"/>
    <n v="97"/>
    <n v="144"/>
    <n v="1764"/>
    <n v="2732"/>
    <n v="2887"/>
    <n v="2.9812114757497503E-2"/>
    <n v="25305"/>
    <n v="4708"/>
    <n v="20597"/>
    <s v="unknown"/>
    <d v="2014-11-04T00:00:00"/>
    <s v="Has no high school or college education"/>
    <x v="0"/>
    <x v="180"/>
    <n v="15"/>
    <x v="1"/>
  </r>
  <r>
    <s v="46f792a86d160cb35b7ebc778c71aab1"/>
    <n v="5724"/>
    <n v="774"/>
    <n v="7.3953488372093021"/>
    <n v="3.7162556970901019E-2"/>
    <s v="Medium Engagement"/>
    <n v="33"/>
    <n v="5.7651991614255764E-3"/>
    <n v="2.6103464641670624E-3"/>
    <n v="0.19280003393465897"/>
    <x v="1"/>
    <n v="16"/>
    <n v="0"/>
    <n v="55"/>
    <n v="87"/>
    <n v="71"/>
    <n v="0.11325422706452282"/>
    <n v="96132"/>
    <n v="1969"/>
    <n v="94163"/>
    <s v="United Kingdom"/>
    <d v="2018-12-15T00:00:00"/>
    <s v="Has no high school or college education"/>
    <x v="0"/>
    <x v="2"/>
    <n v="23"/>
    <x v="0"/>
  </r>
  <r>
    <s v="36b5cb5c75d640534b86fa174b7f87cd"/>
    <n v="214"/>
    <n v="29"/>
    <n v="7.3793103448275863"/>
    <n v="3.7081961531796916E-2"/>
    <s v="Medium Engagement"/>
    <n v="8"/>
    <n v="3.7383177570093455E-2"/>
    <n v="6.3281126404049991E-4"/>
    <n v="7.9506989937681502E-2"/>
    <x v="2"/>
    <n v="3"/>
    <n v="0"/>
    <n v="2"/>
    <n v="22"/>
    <n v="16"/>
    <n v="4.0774443460066725E-3"/>
    <n v="3461"/>
    <n v="770"/>
    <n v="2691"/>
    <s v="USA"/>
    <d v="2021-02-28T00:00:00"/>
    <s v="Has no high school or college education"/>
    <x v="0"/>
    <x v="181"/>
    <n v="27"/>
    <x v="0"/>
  </r>
  <r>
    <s v="3ecd478aec38e26c942c558e38395e18"/>
    <n v="10805"/>
    <n v="1466"/>
    <n v="7.3703956343792632"/>
    <n v="3.7037163991855596E-2"/>
    <s v="Medium Engagement"/>
    <n v="369"/>
    <n v="3.4150856085145766E-2"/>
    <n v="2.9188419553868059E-2"/>
    <n v="0.50595143098845208"/>
    <x v="1"/>
    <n v="196"/>
    <n v="1"/>
    <n v="468"/>
    <n v="2869"/>
    <n v="2974"/>
    <n v="0.37350026389700475"/>
    <n v="317033"/>
    <n v="117835"/>
    <n v="199198"/>
    <s v="unknown"/>
    <d v="2016-09-11T00:00:00"/>
    <s v="Has high school and/or college education"/>
    <x v="0"/>
    <x v="2"/>
    <n v="18"/>
    <x v="1"/>
  </r>
  <r>
    <s v="436c6643196d7c2f1563d3662ac10ab7"/>
    <n v="1827"/>
    <n v="248"/>
    <n v="7.366935483870968"/>
    <n v="3.7019776300859134E-2"/>
    <s v="Medium Engagement"/>
    <n v="496"/>
    <n v="0.27148330596606457"/>
    <n v="3.9234298370510998E-2"/>
    <n v="0.2325007508017137"/>
    <x v="1"/>
    <n v="120"/>
    <n v="240"/>
    <n v="1479"/>
    <n v="822"/>
    <n v="1963"/>
    <n v="7.9992601458973439E-2"/>
    <n v="67899"/>
    <n v="3854"/>
    <n v="64045"/>
    <s v="USA"/>
    <d v="2018-11-09T00:00:00"/>
    <s v="Has no high school or college education"/>
    <x v="1"/>
    <x v="182"/>
    <n v="29"/>
    <x v="0"/>
  </r>
  <r>
    <s v="53ade31c0fa69e530bd79d0c71dbe60b"/>
    <n v="6787"/>
    <n v="922"/>
    <n v="7.3611713665943599"/>
    <n v="3.6990810887408847E-2"/>
    <s v="Medium Engagement"/>
    <n v="96"/>
    <n v="1.4144688374834243E-2"/>
    <n v="7.5937351684859994E-3"/>
    <n v="0.12561515344899352"/>
    <x v="2"/>
    <n v="6"/>
    <n v="1"/>
    <n v="484"/>
    <n v="4589"/>
    <n v="4499"/>
    <n v="3.6446061337203822E-2"/>
    <n v="30936"/>
    <n v="14291"/>
    <n v="16645"/>
    <s v="Romania"/>
    <d v="2014-10-09T00:00:00"/>
    <s v="Has high school and/or college education"/>
    <x v="0"/>
    <x v="2"/>
    <n v="26"/>
    <x v="0"/>
  </r>
  <r>
    <s v="6e0b48e3c46e6c27e01227b908e44449"/>
    <n v="572"/>
    <n v="78"/>
    <n v="7.333333333333333"/>
    <n v="3.6850921273031821E-2"/>
    <s v="Medium Engagement"/>
    <n v="7"/>
    <n v="1.2237762237762238E-2"/>
    <n v="5.5370985603543741E-4"/>
    <n v="8.5462925714054283E-2"/>
    <x v="2"/>
    <n v="4"/>
    <n v="1"/>
    <n v="15"/>
    <n v="18"/>
    <n v="15"/>
    <n v="1.0653663455919775E-2"/>
    <n v="9043"/>
    <n v="4500"/>
    <n v="4543"/>
    <s v="USA"/>
    <d v="2021-01-18T00:00:00"/>
    <s v="Has no high school or college education"/>
    <x v="0"/>
    <x v="2"/>
    <n v="27"/>
    <x v="0"/>
  </r>
  <r>
    <s v="f9bab999efee72cbd1ec283eba91e380"/>
    <n v="88"/>
    <n v="12"/>
    <n v="7.333333333333333"/>
    <n v="3.6850921273031821E-2"/>
    <s v="Medium Engagement"/>
    <n v="1"/>
    <n v="1.1363636363636364E-2"/>
    <n v="7.9101408005062489E-5"/>
    <n v="7.8778661410781617E-2"/>
    <x v="2"/>
    <n v="0"/>
    <n v="0"/>
    <n v="1"/>
    <n v="8"/>
    <n v="2"/>
    <n v="4.9186160487078474E-3"/>
    <n v="4175"/>
    <n v="452"/>
    <n v="3723"/>
    <s v="Netherlands"/>
    <d v="2020-11-18T00:00:00"/>
    <s v="Has no high school or college education"/>
    <x v="0"/>
    <x v="2"/>
    <n v="24"/>
    <x v="0"/>
  </r>
  <r>
    <s v="d83d74b27735ea150aca1cf637c51646"/>
    <n v="1334"/>
    <n v="182"/>
    <n v="7.3296703296703294"/>
    <n v="3.6832514219448893E-2"/>
    <s v="Medium Engagement"/>
    <n v="79"/>
    <n v="5.9220389805097452E-2"/>
    <n v="6.2490112323999366E-3"/>
    <n v="0.11740774940136971"/>
    <x v="2"/>
    <n v="23"/>
    <n v="1"/>
    <n v="67"/>
    <n v="842"/>
    <n v="720"/>
    <n v="3.1244698497672051E-2"/>
    <n v="26521"/>
    <n v="4523"/>
    <n v="21998"/>
    <s v="Denmark"/>
    <d v="2020-09-28T00:00:00"/>
    <s v="Has no high school or college education"/>
    <x v="0"/>
    <x v="183"/>
    <n v="20"/>
    <x v="1"/>
  </r>
  <r>
    <s v="ecd6312848cc9c546a6ed8216671cce0"/>
    <n v="1589"/>
    <n v="217"/>
    <n v="7.32258064516129"/>
    <n v="3.6796887664127087E-2"/>
    <s v="Medium Engagement"/>
    <n v="171"/>
    <n v="0.10761485210824417"/>
    <n v="1.3526340768865686E-2"/>
    <n v="0.12078274081916267"/>
    <x v="2"/>
    <n v="21"/>
    <n v="116"/>
    <n v="291"/>
    <n v="442"/>
    <n v="693"/>
    <n v="2.0136283953177132E-2"/>
    <n v="17092"/>
    <n v="11248"/>
    <n v="5844"/>
    <s v="Brazil"/>
    <d v="2020-08-25T00:00:00"/>
    <s v="Has no high school or college education"/>
    <x v="0"/>
    <x v="184"/>
    <n v="24"/>
    <x v="0"/>
  </r>
  <r>
    <s v="72aa125efc3f67323a317b51befe5374"/>
    <n v="8898"/>
    <n v="1217"/>
    <n v="7.3114215283483981"/>
    <n v="3.6740811700243209E-2"/>
    <s v="Medium Engagement"/>
    <n v="419"/>
    <n v="4.7089233535625982E-2"/>
    <n v="3.3143489954121183E-2"/>
    <n v="0.20022340152176907"/>
    <x v="1"/>
    <n v="175"/>
    <n v="61"/>
    <n v="1219"/>
    <n v="1292"/>
    <n v="1150"/>
    <n v="6.0454798213040284E-2"/>
    <n v="51315"/>
    <n v="15416"/>
    <n v="35899"/>
    <s v="unknown"/>
    <d v="2013-12-02T00:00:00"/>
    <s v="Has high school and/or college education"/>
    <x v="0"/>
    <x v="2"/>
    <n v="23"/>
    <x v="0"/>
  </r>
  <r>
    <s v="33da5c1113ce8b5607ad94a391409f76"/>
    <n v="1051"/>
    <n v="144"/>
    <n v="7.2986111111111107"/>
    <n v="3.6676437744276938E-2"/>
    <s v="Medium Engagement"/>
    <n v="23"/>
    <n v="2.1883920076117985E-2"/>
    <n v="1.8193323841164373E-3"/>
    <n v="9.0143978476612957E-2"/>
    <x v="2"/>
    <n v="10"/>
    <n v="0"/>
    <n v="43"/>
    <n v="583"/>
    <n v="574"/>
    <n v="1.3152438219826205E-2"/>
    <n v="11164"/>
    <n v="4278"/>
    <n v="6886"/>
    <s v="unknown"/>
    <d v="2019-10-19T00:00:00"/>
    <s v="Has no high school or college education"/>
    <x v="0"/>
    <x v="2"/>
    <n v="22"/>
    <x v="0"/>
  </r>
  <r>
    <s v="4bfe95db9208e17a08be783053653ad4"/>
    <n v="7884"/>
    <n v="1083"/>
    <n v="7.2797783933518003"/>
    <n v="3.658180097161709E-2"/>
    <s v="Medium Engagement"/>
    <n v="91"/>
    <n v="1.1542364282090309E-2"/>
    <n v="7.1982281284606866E-3"/>
    <n v="0.34199800470446273"/>
    <x v="1"/>
    <n v="41"/>
    <n v="9"/>
    <n v="210"/>
    <n v="317"/>
    <n v="304"/>
    <n v="0.25443794650430718"/>
    <n v="215971"/>
    <n v="83555"/>
    <n v="132416"/>
    <s v="Canada"/>
    <d v="2015-07-31T00:00:00"/>
    <s v="Has high school and/or college education"/>
    <x v="0"/>
    <x v="2"/>
    <n v="22"/>
    <x v="0"/>
  </r>
  <r>
    <s v="1a92c2bc439b6173c5daba0e36fb0151"/>
    <n v="5487"/>
    <n v="757"/>
    <n v="7.2483487450462354"/>
    <n v="3.6423863040433345E-2"/>
    <s v="Medium Engagement"/>
    <n v="944"/>
    <n v="0.17204301075268819"/>
    <n v="7.4671729156778985E-2"/>
    <n v="0.31789979497669452"/>
    <x v="1"/>
    <n v="336"/>
    <n v="268"/>
    <n v="2956"/>
    <n v="2203"/>
    <n v="4511"/>
    <n v="9.5708610582269885E-2"/>
    <n v="81239"/>
    <n v="9148"/>
    <n v="72091"/>
    <s v="Germany"/>
    <d v="2016-03-28T00:00:00"/>
    <s v="Has high school and/or college education"/>
    <x v="1"/>
    <x v="185"/>
    <n v="23"/>
    <x v="0"/>
  </r>
  <r>
    <s v="ba956b6db9bc18dd7ac17c90c589d4b9"/>
    <n v="65"/>
    <n v="9"/>
    <n v="7.2222222222222223"/>
    <n v="3.6292573981016193E-2"/>
    <s v="Medium Engagement"/>
    <n v="8"/>
    <n v="0.12307692307692308"/>
    <n v="6.3281126404049991E-4"/>
    <n v="7.4603583820682093E-2"/>
    <x v="3"/>
    <n v="6"/>
    <n v="0"/>
    <n v="1"/>
    <n v="44"/>
    <n v="46"/>
    <n v="7.5281333056869803E-4"/>
    <n v="639"/>
    <n v="358"/>
    <n v="281"/>
    <s v="unknown"/>
    <d v="2021-04-04T00:00:00"/>
    <s v="Has no high school or college education"/>
    <x v="0"/>
    <x v="2"/>
    <n v="21"/>
    <x v="0"/>
  </r>
  <r>
    <s v="9d1f74d5e4e3cee5fb5ce861a074da49"/>
    <n v="1436"/>
    <n v="199"/>
    <n v="7.21608040201005"/>
    <n v="3.626171056286457E-2"/>
    <s v="Medium Engagement"/>
    <n v="15"/>
    <n v="1.0445682451253482E-2"/>
    <n v="1.1865211200759373E-3"/>
    <n v="8.1624658875861983E-2"/>
    <x v="2"/>
    <n v="4"/>
    <n v="1"/>
    <n v="24"/>
    <n v="88"/>
    <n v="73"/>
    <n v="6.7281955099809613E-3"/>
    <n v="5711"/>
    <n v="2443"/>
    <n v="3268"/>
    <s v="Netherlands"/>
    <d v="2019-05-10T00:00:00"/>
    <s v="Has no high school or college education"/>
    <x v="0"/>
    <x v="2"/>
    <n v="27"/>
    <x v="0"/>
  </r>
  <r>
    <s v="b98535635fe77db6324d881ac92190e5"/>
    <n v="9285"/>
    <n v="1296"/>
    <n v="7.1643518518518521"/>
    <n v="3.6001768099758052E-2"/>
    <s v="Medium Engagement"/>
    <n v="946"/>
    <n v="0.10188476036618202"/>
    <n v="7.4829931972789115E-2"/>
    <n v="0.25335695917319934"/>
    <x v="1"/>
    <n v="315"/>
    <n v="66"/>
    <n v="3395"/>
    <n v="5372"/>
    <n v="4965"/>
    <n v="3.1693559028105028E-2"/>
    <n v="26902"/>
    <n v="16500"/>
    <n v="10402"/>
    <s v="unknown"/>
    <d v="2013-11-12T00:00:00"/>
    <s v="Has high school and/or college education"/>
    <x v="0"/>
    <x v="186"/>
    <n v="21"/>
    <x v="0"/>
  </r>
  <r>
    <s v="e61fc60af3a637904bdec6352789152d"/>
    <n v="136"/>
    <n v="19"/>
    <n v="7.1578947368421053"/>
    <n v="3.596932028563872E-2"/>
    <s v="Medium Engagement"/>
    <n v="25"/>
    <n v="0.18382352941176472"/>
    <n v="1.9775352001265623E-3"/>
    <n v="8.0527224006157624E-2"/>
    <x v="2"/>
    <n v="5"/>
    <n v="1"/>
    <n v="15"/>
    <n v="163"/>
    <n v="194"/>
    <n v="4.633513034627057E-3"/>
    <n v="3933"/>
    <n v="335"/>
    <n v="3598"/>
    <s v="United Arab Emirates"/>
    <d v="2021-02-08T00:00:00"/>
    <s v="Has no high school or college education"/>
    <x v="0"/>
    <x v="2"/>
    <n v="18"/>
    <x v="1"/>
  </r>
  <r>
    <s v="cda76477b23c7b91dce868c360b52dfb"/>
    <n v="2029"/>
    <n v="284"/>
    <n v="7.144366197183099"/>
    <n v="3.590133767428693E-2"/>
    <s v="Medium Engagement"/>
    <n v="104"/>
    <n v="5.1256776737309016E-2"/>
    <n v="8.2265464325264985E-3"/>
    <n v="9.600303028220239E-2"/>
    <x v="2"/>
    <n v="13"/>
    <n v="1"/>
    <n v="51"/>
    <n v="3172"/>
    <n v="2639"/>
    <n v="7.7472620685755215E-3"/>
    <n v="6576"/>
    <n v="1509"/>
    <n v="5067"/>
    <s v="China"/>
    <d v="2020-03-26T00:00:00"/>
    <s v="Has no high school or college education"/>
    <x v="0"/>
    <x v="2"/>
    <n v="25"/>
    <x v="0"/>
  </r>
  <r>
    <s v="e2146b0a63a353caae5010bc349d6054"/>
    <n v="6636"/>
    <n v="931"/>
    <n v="7.1278195488721803"/>
    <n v="3.5818188687799901E-2"/>
    <s v="Medium Engagement"/>
    <n v="17"/>
    <n v="2.5617842073538278E-3"/>
    <n v="1.3447239360860623E-3"/>
    <n v="0.14147111939868331"/>
    <x v="1"/>
    <n v="9"/>
    <n v="0"/>
    <n v="63"/>
    <n v="87"/>
    <n v="87"/>
    <n v="6.7145294150911389E-2"/>
    <n v="56994"/>
    <n v="2376"/>
    <n v="54618"/>
    <s v="unknown"/>
    <d v="2016-02-15T00:00:00"/>
    <s v="Has high school and/or college education"/>
    <x v="0"/>
    <x v="2"/>
    <n v="32"/>
    <x v="3"/>
  </r>
  <r>
    <s v="f2e65193084a900888fa11bfd2c5df17"/>
    <n v="335"/>
    <n v="47"/>
    <n v="7.1276595744680851"/>
    <n v="3.5817384796322037E-2"/>
    <s v="Medium Engagement"/>
    <n v="77"/>
    <n v="0.2298507462686567"/>
    <n v="6.090808416389812E-3"/>
    <n v="8.820956468785042E-2"/>
    <x v="2"/>
    <n v="30"/>
    <n v="3"/>
    <n v="36"/>
    <n v="878"/>
    <n v="585"/>
    <n v="4.3931782624267212E-3"/>
    <n v="3729"/>
    <n v="1314"/>
    <n v="2415"/>
    <s v="USA"/>
    <d v="2021-01-17T00:00:00"/>
    <s v="Has no high school or college education"/>
    <x v="0"/>
    <x v="187"/>
    <n v="23"/>
    <x v="0"/>
  </r>
  <r>
    <s v="1940bf7e8af948ff0fa69f40f2dc5697"/>
    <n v="669"/>
    <n v="94"/>
    <n v="7.1170212765957448"/>
    <n v="3.5763926013043942E-2"/>
    <s v="Medium Engagement"/>
    <n v="61"/>
    <n v="9.1180866965620333E-2"/>
    <n v="4.825185888308812E-3"/>
    <n v="8.9728958001872347E-2"/>
    <x v="2"/>
    <n v="22"/>
    <n v="3"/>
    <n v="87"/>
    <n v="199"/>
    <n v="200"/>
    <n v="8.5507341991668401E-3"/>
    <n v="7258"/>
    <n v="1869"/>
    <n v="5389"/>
    <s v="unknown"/>
    <d v="2020-11-21T00:00:00"/>
    <s v="Has no high school or college education"/>
    <x v="0"/>
    <x v="2"/>
    <n v="20"/>
    <x v="1"/>
  </r>
  <r>
    <s v="5b0b399591447ee8ce275a65110f24ee"/>
    <n v="1096"/>
    <n v="154"/>
    <n v="7.116883116883117"/>
    <n v="3.5763231743131244E-2"/>
    <s v="Medium Engagement"/>
    <n v="20"/>
    <n v="1.824817518248175E-2"/>
    <n v="1.5820281601012498E-3"/>
    <n v="7.8802129389696218E-2"/>
    <x v="2"/>
    <n v="4"/>
    <n v="1"/>
    <n v="80"/>
    <n v="250"/>
    <n v="292"/>
    <n v="4.1116095832312302E-3"/>
    <n v="3490"/>
    <n v="2034"/>
    <n v="1456"/>
    <s v="Switzerland"/>
    <d v="2019-07-06T00:00:00"/>
    <s v="Has no high school or college education"/>
    <x v="0"/>
    <x v="2"/>
    <n v="33"/>
    <x v="3"/>
  </r>
  <r>
    <s v="756ff18d84bd387082c2438a539f0c86"/>
    <n v="6670"/>
    <n v="940"/>
    <n v="7.0957446808510642"/>
    <n v="3.565700844648776E-2"/>
    <s v="Medium Engagement"/>
    <n v="1490"/>
    <n v="0.22338830584707647"/>
    <n v="0.11786109792754311"/>
    <n v="0.40137703572972094"/>
    <x v="1"/>
    <n v="537"/>
    <n v="5"/>
    <n v="1740"/>
    <n v="9721"/>
    <n v="8489"/>
    <n v="9.4340822981659161E-2"/>
    <n v="80078"/>
    <n v="57765"/>
    <n v="22313"/>
    <s v="unknown"/>
    <d v="2018-02-28T00:00:00"/>
    <s v="Has no high school or college education"/>
    <x v="0"/>
    <x v="2"/>
    <n v="20"/>
    <x v="1"/>
  </r>
  <r>
    <s v="6f7c13cc245212978f219a4615cc1aad"/>
    <n v="6309"/>
    <n v="890"/>
    <n v="7.0887640449438205"/>
    <n v="3.5621929874089547E-2"/>
    <s v="Medium Engagement"/>
    <n v="521"/>
    <n v="8.2580440640355052E-2"/>
    <n v="4.1211833570637554E-2"/>
    <n v="0.22190257429666613"/>
    <x v="1"/>
    <n v="101"/>
    <n v="233"/>
    <n v="2283"/>
    <n v="1991"/>
    <n v="2437"/>
    <n v="6.8235047407211924E-2"/>
    <n v="57919"/>
    <n v="12130"/>
    <n v="45789"/>
    <s v="unknown"/>
    <d v="2017-10-12T00:00:00"/>
    <s v="Has high school and/or college education"/>
    <x v="0"/>
    <x v="2"/>
    <n v="19"/>
    <x v="1"/>
  </r>
  <r>
    <s v="ae463e6a59b87090c9668735aaf785b3"/>
    <n v="5011"/>
    <n v="709"/>
    <n v="7.0677009873060648"/>
    <n v="3.5516085363347057E-2"/>
    <s v="Medium Engagement"/>
    <n v="62"/>
    <n v="1.237277988425464E-2"/>
    <n v="4.9042872963138747E-3"/>
    <n v="0.18316563080687157"/>
    <x v="1"/>
    <n v="37"/>
    <n v="1"/>
    <n v="110"/>
    <n v="190"/>
    <n v="125"/>
    <n v="0.10232488548754971"/>
    <n v="86855"/>
    <n v="48500"/>
    <n v="38355"/>
    <s v="USA"/>
    <d v="2018-12-09T00:00:00"/>
    <s v="Has no high school or college education"/>
    <x v="0"/>
    <x v="17"/>
    <n v="20"/>
    <x v="1"/>
  </r>
  <r>
    <s v="96243cd8cfa2e97e94d6088a93d18b12"/>
    <n v="9056"/>
    <n v="1285"/>
    <n v="7.0474708171206224"/>
    <n v="3.5414426216686543E-2"/>
    <s v="Medium Engagement"/>
    <n v="254"/>
    <n v="2.8047703180212016E-2"/>
    <n v="2.0091757633285873E-2"/>
    <n v="0.34285766750579205"/>
    <x v="1"/>
    <n v="48"/>
    <n v="6"/>
    <n v="596"/>
    <n v="2660"/>
    <n v="2613"/>
    <n v="0.2318452998058472"/>
    <n v="196794"/>
    <n v="23652"/>
    <n v="173142"/>
    <s v="unknown"/>
    <d v="2014-10-09T00:00:00"/>
    <s v="Has high school and/or college education"/>
    <x v="0"/>
    <x v="2"/>
    <n v="19"/>
    <x v="1"/>
  </r>
  <r>
    <s v="a0353bd4ddd456f81de665afebaf060f"/>
    <n v="2013"/>
    <n v="286"/>
    <n v="7.0384615384615383"/>
    <n v="3.5369153459605722E-2"/>
    <s v="Medium Engagement"/>
    <n v="78"/>
    <n v="3.8748137108792845E-2"/>
    <n v="6.1699098243948739E-3"/>
    <n v="0.13418814334431078"/>
    <x v="1"/>
    <n v="4"/>
    <n v="0"/>
    <n v="355"/>
    <n v="1198"/>
    <n v="824"/>
    <n v="5.1110016776309587E-2"/>
    <n v="43383"/>
    <n v="18932"/>
    <n v="24451"/>
    <s v="Hungary"/>
    <d v="2017-11-06T00:00:00"/>
    <s v="Has no high school or college education"/>
    <x v="0"/>
    <x v="2"/>
    <n v="22"/>
    <x v="0"/>
  </r>
  <r>
    <s v="bb067fbb95a92863396c916849a87632"/>
    <n v="2486"/>
    <n v="354"/>
    <n v="7.0225988700564974"/>
    <n v="3.528944155807285E-2"/>
    <s v="Medium Engagement"/>
    <n v="91"/>
    <n v="3.6604987932421562E-2"/>
    <n v="7.1982281284606866E-3"/>
    <n v="9.7867414923009585E-2"/>
    <x v="2"/>
    <n v="23"/>
    <n v="1"/>
    <n v="93"/>
    <n v="631"/>
    <n v="463"/>
    <n v="1.2892075549942508E-2"/>
    <n v="10943"/>
    <n v="8530"/>
    <n v="2413"/>
    <s v="Sweden"/>
    <d v="2018-08-22T00:00:00"/>
    <s v="Has no high school or college education"/>
    <x v="0"/>
    <x v="2"/>
    <n v="18"/>
    <x v="1"/>
  </r>
  <r>
    <s v="e1df56bf40d5703bd7e6d40aee334ed5"/>
    <n v="1727"/>
    <n v="246"/>
    <n v="7.0203252032520327"/>
    <n v="3.5278016096743886E-2"/>
    <s v="Low Engagement"/>
    <n v="37"/>
    <n v="2.1424435437174292E-2"/>
    <n v="2.9267520961873119E-3"/>
    <n v="0.11657489613402926"/>
    <x v="2"/>
    <n v="9"/>
    <n v="2"/>
    <n v="84"/>
    <n v="200"/>
    <n v="258"/>
    <n v="4.0165359748166859E-2"/>
    <n v="34093"/>
    <n v="10517"/>
    <n v="23576"/>
    <s v="Germany"/>
    <d v="2019-12-28T00:00:00"/>
    <s v="Has no high school or college education"/>
    <x v="0"/>
    <x v="2"/>
    <n v="32"/>
    <x v="3"/>
  </r>
  <r>
    <s v="bcd34f6421d3087904953997be1975fa"/>
    <n v="3282"/>
    <n v="472"/>
    <n v="6.9533898305084749"/>
    <n v="3.4941657439741078E-2"/>
    <s v="Low Engagement"/>
    <n v="139"/>
    <n v="4.2352224253503962E-2"/>
    <n v="1.0995095712703686E-2"/>
    <n v="0.10622997460897428"/>
    <x v="2"/>
    <n v="46"/>
    <n v="0"/>
    <n v="204"/>
    <n v="1589"/>
    <n v="963"/>
    <n v="1.4356468304084749E-2"/>
    <n v="12186"/>
    <n v="9806"/>
    <n v="2380"/>
    <s v="United Kingdom"/>
    <d v="2018-02-03T00:00:00"/>
    <s v="Has high school and/or college education"/>
    <x v="0"/>
    <x v="2"/>
    <n v="21"/>
    <x v="0"/>
  </r>
  <r>
    <s v="958d8cf95b772d1817fb6579d229fe77"/>
    <n v="3100"/>
    <n v="450"/>
    <n v="6.8888888888888893"/>
    <n v="3.461753210496929E-2"/>
    <s v="Low Engagement"/>
    <n v="45"/>
    <n v="1.4516129032258065E-2"/>
    <n v="3.559563360227812E-3"/>
    <n v="0.12987815843336303"/>
    <x v="2"/>
    <n v="16"/>
    <n v="2"/>
    <n v="110"/>
    <n v="396"/>
    <n v="380"/>
    <n v="5.3523967502968839E-2"/>
    <n v="45432"/>
    <n v="6006"/>
    <n v="39426"/>
    <s v="unknown"/>
    <d v="2018-09-15T00:00:00"/>
    <s v="Has no high school or college education"/>
    <x v="0"/>
    <x v="2"/>
    <n v="24"/>
    <x v="0"/>
  </r>
  <r>
    <s v="a714289aca7ba7497a6560a2fea72ae3"/>
    <n v="5798"/>
    <n v="843"/>
    <n v="6.8778173190984582"/>
    <n v="3.4561896075871651E-2"/>
    <s v="Low Engagement"/>
    <n v="847"/>
    <n v="0.14608485684718869"/>
    <n v="6.6998892580287933E-2"/>
    <n v="0.26469793779562767"/>
    <x v="1"/>
    <n v="397"/>
    <n v="45"/>
    <n v="1847"/>
    <n v="2517"/>
    <n v="1659"/>
    <n v="6.1576360483308515E-2"/>
    <n v="52267"/>
    <n v="50459"/>
    <n v="1808"/>
    <s v="USA"/>
    <d v="2015-04-13T00:00:00"/>
    <s v="Has high school and/or college education"/>
    <x v="0"/>
    <x v="188"/>
    <n v="17"/>
    <x v="1"/>
  </r>
  <r>
    <s v="80d19a0e3f0f874e630ecf926f98dce6"/>
    <n v="3473"/>
    <n v="505"/>
    <n v="6.8772277227722771"/>
    <n v="3.4558933280262702E-2"/>
    <s v="Low Engagement"/>
    <n v="163"/>
    <n v="4.6933486898934638E-2"/>
    <n v="1.2893529504825186E-2"/>
    <n v="0.14944324718522545"/>
    <x v="1"/>
    <n v="94"/>
    <n v="13"/>
    <n v="408"/>
    <n v="685"/>
    <n v="524"/>
    <n v="5.4538321615049672E-2"/>
    <n v="46293"/>
    <n v="22722"/>
    <n v="23571"/>
    <s v="Australia"/>
    <d v="2017-06-16T00:00:00"/>
    <s v="Has no high school or college education"/>
    <x v="0"/>
    <x v="2"/>
    <n v="31"/>
    <x v="3"/>
  </r>
  <r>
    <s v="5dc7e7f4c0d54c4684650f1276d733ec"/>
    <n v="5223"/>
    <n v="762"/>
    <n v="6.8543307086614176"/>
    <n v="3.4443872907846319E-2"/>
    <s v="Low Engagement"/>
    <n v="327"/>
    <n v="6.2607696726019527E-2"/>
    <n v="2.5866160417655434E-2"/>
    <n v="0.28431867742177125"/>
    <x v="1"/>
    <n v="142"/>
    <n v="36"/>
    <n v="856"/>
    <n v="765"/>
    <n v="638"/>
    <n v="0.16369861077076775"/>
    <n v="138950"/>
    <n v="111691"/>
    <n v="27259"/>
    <s v="USA"/>
    <d v="2018-04-05T00:00:00"/>
    <s v="Has no high school or college education"/>
    <x v="0"/>
    <x v="154"/>
    <n v="22"/>
    <x v="0"/>
  </r>
  <r>
    <s v="7ca757d0371542b0d4034ed179f380c4"/>
    <n v="459"/>
    <n v="67"/>
    <n v="6.8507462686567164"/>
    <n v="3.4425860646516163E-2"/>
    <s v="Low Engagement"/>
    <n v="84"/>
    <n v="0.18300653594771241"/>
    <n v="6.6445182724252493E-3"/>
    <n v="8.9334307441094829E-2"/>
    <x v="2"/>
    <n v="7"/>
    <n v="39"/>
    <n v="61"/>
    <n v="633"/>
    <n v="782"/>
    <n v="7.1935496032120034E-3"/>
    <n v="6106"/>
    <n v="103"/>
    <n v="6003"/>
    <s v="Australia"/>
    <d v="2020-10-25T00:00:00"/>
    <s v="Has no high school or college education"/>
    <x v="1"/>
    <x v="189"/>
    <n v="24"/>
    <x v="0"/>
  </r>
  <r>
    <s v="a70debf460325bc0f4a9356af811ec73"/>
    <n v="6120"/>
    <n v="895"/>
    <n v="6.8379888268156428"/>
    <n v="3.4361752898571067E-2"/>
    <s v="Low Engagement"/>
    <n v="106"/>
    <n v="1.7320261437908498E-2"/>
    <n v="8.3847492485366239E-3"/>
    <n v="0.22137168707116586"/>
    <x v="1"/>
    <n v="35"/>
    <n v="4"/>
    <n v="282"/>
    <n v="642"/>
    <n v="474"/>
    <n v="0.13587868277695048"/>
    <n v="115336"/>
    <n v="52421"/>
    <n v="62915"/>
    <s v="Brazil"/>
    <d v="2016-12-15T00:00:00"/>
    <s v="Has no high school or college education"/>
    <x v="0"/>
    <x v="190"/>
    <n v="22"/>
    <x v="0"/>
  </r>
  <r>
    <s v="9e215ac08e7558dea7feb3372dc3d8c1"/>
    <n v="4635"/>
    <n v="679"/>
    <n v="6.8262150220913105"/>
    <n v="3.4302588050710105E-2"/>
    <s v="Low Engagement"/>
    <n v="291"/>
    <n v="6.2783171521035602E-2"/>
    <n v="2.3018509729473186E-2"/>
    <n v="0.12728568955670971"/>
    <x v="2"/>
    <n v="111"/>
    <n v="26"/>
    <n v="1224"/>
    <n v="2201"/>
    <n v="2715"/>
    <n v="1.2643493996343142E-2"/>
    <n v="10732"/>
    <n v="2567"/>
    <n v="8165"/>
    <s v="USA"/>
    <d v="2015-12-25T00:00:00"/>
    <s v="Has high school and/or college education"/>
    <x v="1"/>
    <x v="38"/>
    <n v="22"/>
    <x v="0"/>
  </r>
  <r>
    <s v="c89cdd556074cb9fd3d9b6c6d5495a6f"/>
    <n v="860"/>
    <n v="126"/>
    <n v="6.8253968253968251"/>
    <n v="3.4298476509531786E-2"/>
    <s v="Low Engagement"/>
    <n v="115"/>
    <n v="0.13372093023255813"/>
    <n v="9.0966619205821858E-3"/>
    <n v="0.11738230151574811"/>
    <x v="2"/>
    <n v="59"/>
    <n v="4"/>
    <n v="118"/>
    <n v="472"/>
    <n v="424"/>
    <n v="3.0592024655520161E-2"/>
    <n v="25967"/>
    <n v="24117"/>
    <n v="1850"/>
    <s v="Germany"/>
    <d v="2020-11-15T00:00:00"/>
    <s v="Has no high school or college education"/>
    <x v="0"/>
    <x v="2"/>
    <n v="28"/>
    <x v="0"/>
  </r>
  <r>
    <s v="f218d4de22373ddfca213efb01585f95"/>
    <n v="4363"/>
    <n v="640"/>
    <n v="6.8171875000000002"/>
    <n v="3.425722361809045E-2"/>
    <s v="Low Engagement"/>
    <n v="81"/>
    <n v="1.8565207426082971E-2"/>
    <n v="6.407214048410062E-3"/>
    <n v="0.13785584937684561"/>
    <x v="1"/>
    <n v="44"/>
    <n v="0"/>
    <n v="111"/>
    <n v="503"/>
    <n v="495"/>
    <n v="5.6526974043844602E-2"/>
    <n v="47981"/>
    <n v="21377"/>
    <n v="26604"/>
    <s v="unknown"/>
    <d v="2018-09-20T00:00:00"/>
    <s v="Has no high school or college education"/>
    <x v="0"/>
    <x v="2"/>
    <n v="21"/>
    <x v="0"/>
  </r>
  <r>
    <s v="93322a23f38fd4115746027f989791c0"/>
    <n v="828"/>
    <n v="122"/>
    <n v="6.7868852459016393"/>
    <n v="3.4104950984430352E-2"/>
    <s v="Low Engagement"/>
    <n v="29"/>
    <n v="3.5024154589371984E-2"/>
    <n v="2.2939408321468123E-3"/>
    <n v="7.6411051997558391E-2"/>
    <x v="2"/>
    <n v="8"/>
    <n v="1"/>
    <n v="41"/>
    <n v="516"/>
    <n v="432"/>
    <n v="3.613268364404064E-3"/>
    <n v="3067"/>
    <n v="1784"/>
    <n v="1283"/>
    <s v="unknown"/>
    <d v="2019-12-08T00:00:00"/>
    <s v="Has no high school or college education"/>
    <x v="0"/>
    <x v="41"/>
    <n v="33"/>
    <x v="3"/>
  </r>
  <r>
    <s v="46814a7241a41a3c75c62206153c98e6"/>
    <n v="645"/>
    <n v="96"/>
    <n v="6.71875"/>
    <n v="3.3762562814070349E-2"/>
    <s v="Low Engagement"/>
    <n v="26"/>
    <n v="4.0310077519379844E-2"/>
    <n v="2.0566366081316246E-3"/>
    <n v="9.2511002565351705E-2"/>
    <x v="2"/>
    <n v="5"/>
    <n v="7"/>
    <n v="42"/>
    <n v="123"/>
    <n v="130"/>
    <n v="2.0872603720947767E-2"/>
    <n v="17717"/>
    <n v="1964"/>
    <n v="15753"/>
    <s v="United Kingdom"/>
    <d v="2020-06-27T00:00:00"/>
    <s v="Has no high school or college education"/>
    <x v="0"/>
    <x v="191"/>
    <n v="33"/>
    <x v="3"/>
  </r>
  <r>
    <s v="bfa41638f5de552bbe8a8d96b77eef1b"/>
    <n v="13269"/>
    <n v="1977"/>
    <n v="6.7116843702579665"/>
    <n v="3.3727057136974707E-2"/>
    <s v="Low Engagement"/>
    <n v="97"/>
    <n v="7.3102720627025398E-3"/>
    <n v="7.6728365764910612E-3"/>
    <n v="0.14549535395725144"/>
    <x v="1"/>
    <n v="50"/>
    <n v="3"/>
    <n v="136"/>
    <n v="439"/>
    <n v="439"/>
    <n v="6.2695566530319879E-2"/>
    <n v="53217"/>
    <n v="18650"/>
    <n v="34567"/>
    <s v="Finland"/>
    <d v="2014-06-24T00:00:00"/>
    <s v="Has no high school or college education"/>
    <x v="0"/>
    <x v="2"/>
    <n v="31"/>
    <x v="3"/>
  </r>
  <r>
    <s v="2e1194e9fa3359384540d4a5641330a8"/>
    <n v="5963"/>
    <n v="892"/>
    <n v="6.684977578475336"/>
    <n v="3.3592852153142394E-2"/>
    <s v="Low Engagement"/>
    <n v="55"/>
    <n v="9.2235451953714565E-3"/>
    <n v="4.3505774402784365E-3"/>
    <n v="0.15345137257961464"/>
    <x v="1"/>
    <n v="14"/>
    <n v="20"/>
    <n v="174"/>
    <n v="237"/>
    <n v="250"/>
    <n v="7.7564513392772996E-2"/>
    <n v="65838"/>
    <n v="850"/>
    <n v="64988"/>
    <s v="unknown"/>
    <d v="2016-05-22T00:00:00"/>
    <s v="Has no high school or college education"/>
    <x v="1"/>
    <x v="2"/>
    <n v="19"/>
    <x v="1"/>
  </r>
  <r>
    <s v="f491a7ac1c8e3a7f8186f9103b527b69"/>
    <n v="2818"/>
    <n v="422"/>
    <n v="6.6777251184834121"/>
    <n v="3.3556407630569912E-2"/>
    <s v="Low Engagement"/>
    <n v="241"/>
    <n v="8.5521646557842446E-2"/>
    <n v="1.9063439329220059E-2"/>
    <n v="0.13397972709520339"/>
    <x v="2"/>
    <n v="45"/>
    <n v="5"/>
    <n v="418"/>
    <n v="4072"/>
    <n v="2823"/>
    <n v="2.8740033175623458E-2"/>
    <n v="24395"/>
    <n v="17461"/>
    <n v="6934"/>
    <s v="unknown"/>
    <d v="2013-12-05T00:00:00"/>
    <s v="Has high school and/or college education"/>
    <x v="0"/>
    <x v="192"/>
    <n v="15"/>
    <x v="1"/>
  </r>
  <r>
    <s v="ceac22053c90d851cafce5be116570ba"/>
    <n v="140"/>
    <n v="21"/>
    <n v="6.666666666666667"/>
    <n v="3.3500837520938027E-2"/>
    <s v="Low Engagement"/>
    <n v="29"/>
    <n v="0.20714285714285716"/>
    <n v="2.2939408321468123E-3"/>
    <n v="7.3552290679139085E-2"/>
    <x v="3"/>
    <n v="6"/>
    <n v="14"/>
    <n v="86"/>
    <n v="77"/>
    <n v="122"/>
    <n v="1.9627339729694068E-3"/>
    <n v="1666"/>
    <n v="317"/>
    <n v="1349"/>
    <s v="unknown"/>
    <d v="2020-02-08T00:00:00"/>
    <s v="Has no high school or college education"/>
    <x v="1"/>
    <x v="2"/>
    <n v="21"/>
    <x v="0"/>
  </r>
  <r>
    <s v="cfb3babf27280859fde11d20527bf3d9"/>
    <n v="5064"/>
    <n v="760"/>
    <n v="6.6631578947368419"/>
    <n v="3.3483205501190161E-2"/>
    <s v="Low Engagement"/>
    <n v="52"/>
    <n v="1.0268562401263823E-2"/>
    <n v="4.1132732162632493E-3"/>
    <n v="0.12111339248796897"/>
    <x v="2"/>
    <n v="6"/>
    <n v="0"/>
    <n v="74"/>
    <n v="2642"/>
    <n v="1429"/>
    <n v="4.5920435053062147E-2"/>
    <n v="38978"/>
    <n v="5185"/>
    <n v="33793"/>
    <s v="unknown"/>
    <d v="2016-08-30T00:00:00"/>
    <s v="Has high school and/or college education"/>
    <x v="0"/>
    <x v="193"/>
    <n v="20"/>
    <x v="1"/>
  </r>
  <r>
    <s v="2446057f2a235c475e11c837dd3432c3"/>
    <n v="4198"/>
    <n v="634"/>
    <n v="6.6214511041009461"/>
    <n v="3.3273623638698221E-2"/>
    <s v="Low Engagement"/>
    <n v="261"/>
    <n v="6.2172463077656025E-2"/>
    <n v="2.064546748932131E-2"/>
    <n v="0.1683236113714186"/>
    <x v="1"/>
    <n v="58"/>
    <n v="6"/>
    <n v="291"/>
    <n v="1888"/>
    <n v="958"/>
    <n v="6.048542911537954E-2"/>
    <n v="51341"/>
    <n v="6967"/>
    <n v="44374"/>
    <s v="USA"/>
    <d v="2017-03-11T00:00:00"/>
    <s v="Has high school and/or college education"/>
    <x v="0"/>
    <x v="2"/>
    <n v="24"/>
    <x v="0"/>
  </r>
  <r>
    <s v="bd9d06153b2cf3c36fac2c2ae1ead90a"/>
    <n v="1074"/>
    <n v="163"/>
    <n v="6.5889570552147241"/>
    <n v="3.3110336960878013E-2"/>
    <s v="Low Engagement"/>
    <n v="64"/>
    <n v="5.9590316573556797E-2"/>
    <n v="5.0624901123239993E-3"/>
    <n v="9.332813327026597E-2"/>
    <x v="2"/>
    <n v="20"/>
    <n v="12"/>
    <n v="204"/>
    <n v="274"/>
    <n v="264"/>
    <n v="1.6982479123861943E-2"/>
    <n v="14415"/>
    <n v="6631"/>
    <n v="7784"/>
    <s v="USA"/>
    <d v="2020-07-26T00:00:00"/>
    <s v="Has no high school or college education"/>
    <x v="0"/>
    <x v="2"/>
    <n v="24"/>
    <x v="0"/>
  </r>
  <r>
    <s v="46dbcb66a80522ee0c4d431f11dac515"/>
    <n v="2019"/>
    <n v="307"/>
    <n v="6.5765472312703581"/>
    <n v="3.3047976036534463E-2"/>
    <s v="Low Engagement"/>
    <n v="282"/>
    <n v="0.13967310549777118"/>
    <n v="2.2306597057427623E-2"/>
    <n v="0.12575834412952752"/>
    <x v="2"/>
    <n v="91"/>
    <n v="15"/>
    <n v="771"/>
    <n v="1689"/>
    <n v="2132"/>
    <n v="1.5049197941603363E-2"/>
    <n v="12774"/>
    <n v="1943"/>
    <n v="10831"/>
    <s v="unknown"/>
    <d v="2017-12-21T00:00:00"/>
    <s v="Has no high school or college education"/>
    <x v="1"/>
    <x v="2"/>
    <n v="30"/>
    <x v="0"/>
  </r>
  <r>
    <s v="0a4d4178571ee92830da3ce13973f26f"/>
    <n v="1545"/>
    <n v="235"/>
    <n v="6.5744680851063828"/>
    <n v="3.3037528065861223E-2"/>
    <s v="Low Engagement"/>
    <n v="2"/>
    <n v="1.2944983818770227E-3"/>
    <n v="1.5820281601012498E-4"/>
    <n v="7.8345760457452521E-2"/>
    <x v="2"/>
    <n v="0"/>
    <n v="0"/>
    <n v="20"/>
    <n v="58"/>
    <n v="62"/>
    <n v="1.1954298693709826E-2"/>
    <n v="10147"/>
    <n v="659"/>
    <n v="9488"/>
    <s v="Sweden"/>
    <d v="2020-08-09T00:00:00"/>
    <s v="Has no high school or college education"/>
    <x v="0"/>
    <x v="194"/>
    <n v="33"/>
    <x v="3"/>
  </r>
  <r>
    <s v="e31025c2d843c2b89a5f2222becf6935"/>
    <n v="2222"/>
    <n v="338"/>
    <n v="6.5739644970414197"/>
    <n v="3.3034997472569945E-2"/>
    <s v="Low Engagement"/>
    <n v="68"/>
    <n v="3.0603060306030602E-2"/>
    <n v="5.3788957443442493E-3"/>
    <n v="0.23617445284916455"/>
    <x v="1"/>
    <n v="25"/>
    <n v="22"/>
    <n v="42"/>
    <n v="112"/>
    <n v="173"/>
    <n v="0.15934666641533618"/>
    <n v="135256"/>
    <n v="13546"/>
    <n v="121710"/>
    <s v="USA"/>
    <d v="2019-09-22T00:00:00"/>
    <s v="Has no high school or college education"/>
    <x v="0"/>
    <x v="176"/>
    <n v="33"/>
    <x v="3"/>
  </r>
  <r>
    <s v="0e955a18aa4bc96924c75cb55d5860ac"/>
    <n v="6524"/>
    <n v="993"/>
    <n v="6.569989929506546"/>
    <n v="3.3015024771389678E-2"/>
    <s v="Low Engagement"/>
    <n v="89"/>
    <n v="1.3641937461679951E-2"/>
    <n v="7.0400253124505621E-3"/>
    <n v="0.24394301566408957"/>
    <x v="1"/>
    <n v="32"/>
    <n v="10"/>
    <n v="389"/>
    <n v="675"/>
    <n v="640"/>
    <n v="0.1638329154964091"/>
    <n v="139064"/>
    <n v="37964"/>
    <n v="101100"/>
    <s v="United Kingdom"/>
    <d v="2017-09-03T00:00:00"/>
    <s v="Has no high school or college education"/>
    <x v="0"/>
    <x v="2"/>
    <n v="26"/>
    <x v="0"/>
  </r>
  <r>
    <s v="caf408a17632fb96bd3111da302b044e"/>
    <n v="2817"/>
    <n v="429"/>
    <n v="6.5664335664335667"/>
    <n v="3.299715360016868E-2"/>
    <s v="Low Engagement"/>
    <n v="60"/>
    <n v="2.1299254526091587E-2"/>
    <n v="4.7460844803037493E-3"/>
    <n v="9.1279062540089467E-2"/>
    <x v="2"/>
    <n v="25"/>
    <n v="0"/>
    <n v="82"/>
    <n v="960"/>
    <n v="889"/>
    <n v="1.5792586379144595E-2"/>
    <n v="13405"/>
    <n v="7525"/>
    <n v="5880"/>
    <s v="Australia"/>
    <d v="2017-09-13T00:00:00"/>
    <s v="Has high school and/or college education"/>
    <x v="0"/>
    <x v="195"/>
    <n v="23"/>
    <x v="0"/>
  </r>
  <r>
    <s v="a4eecbac8dff80510f4455eb090783ea"/>
    <n v="984"/>
    <n v="150"/>
    <n v="6.56"/>
    <n v="3.296482412060301E-2"/>
    <s v="Low Engagement"/>
    <n v="67"/>
    <n v="6.8089430894308939E-2"/>
    <n v="5.2997943363391866E-3"/>
    <n v="8.3983149186980105E-2"/>
    <x v="2"/>
    <n v="27"/>
    <n v="3"/>
    <n v="89"/>
    <n v="395"/>
    <n v="326"/>
    <n v="7.4539122730957006E-3"/>
    <n v="6327"/>
    <n v="3748"/>
    <n v="2579"/>
    <s v="USA"/>
    <d v="2014-08-06T00:00:00"/>
    <s v="Has high school and/or college education"/>
    <x v="0"/>
    <x v="196"/>
    <n v="23"/>
    <x v="0"/>
  </r>
  <r>
    <s v="3167a0bfedec32dcbf4f5de5ed0d6f20"/>
    <n v="2483"/>
    <n v="380"/>
    <n v="6.5342105263157899"/>
    <n v="3.2835228775456228E-2"/>
    <s v="Low Engagement"/>
    <n v="96"/>
    <n v="3.8662907772855415E-2"/>
    <n v="7.5937351684859994E-3"/>
    <n v="0.11504083678686845"/>
    <x v="2"/>
    <n v="44"/>
    <n v="9"/>
    <n v="128"/>
    <n v="1137"/>
    <n v="1035"/>
    <n v="3.4182908898983996E-2"/>
    <n v="29015"/>
    <n v="9461"/>
    <n v="19554"/>
    <s v="USA"/>
    <d v="2019-08-17T00:00:00"/>
    <s v="Has no high school or college education"/>
    <x v="0"/>
    <x v="2"/>
    <n v="35"/>
    <x v="3"/>
  </r>
  <r>
    <s v="db85a24bf536b042f9edc68e7f224d51"/>
    <n v="789"/>
    <n v="121"/>
    <n v="6.5206611570247937"/>
    <n v="3.2767141492586901E-2"/>
    <s v="Low Engagement"/>
    <n v="2"/>
    <n v="2.5348542458808617E-3"/>
    <n v="1.5820281601012498E-4"/>
    <n v="0.1017406812657775"/>
    <x v="2"/>
    <n v="1"/>
    <n v="0"/>
    <n v="2"/>
    <n v="13"/>
    <n v="15"/>
    <n v="3.5889992648583439E-2"/>
    <n v="30464"/>
    <n v="881"/>
    <n v="29583"/>
    <s v="Finland"/>
    <d v="2020-12-13T00:00:00"/>
    <s v="Has no high school or college education"/>
    <x v="0"/>
    <x v="2"/>
    <n v="23"/>
    <x v="0"/>
  </r>
  <r>
    <s v="a4a1099987cadebac7fa90670020c7bc"/>
    <n v="358"/>
    <n v="55"/>
    <n v="6.5090909090909088"/>
    <n v="3.2708999543170393E-2"/>
    <s v="Low Engagement"/>
    <n v="3"/>
    <n v="8.3798882681564244E-3"/>
    <n v="2.3730422401518748E-4"/>
    <n v="7.3644582049460422E-2"/>
    <x v="3"/>
    <n v="0"/>
    <n v="0"/>
    <n v="2"/>
    <n v="56"/>
    <n v="84"/>
    <n v="7.7519745150892534E-3"/>
    <n v="6580"/>
    <n v="2374"/>
    <n v="4206"/>
    <s v="India"/>
    <d v="2019-06-14T00:00:00"/>
    <s v="Has no high school or college education"/>
    <x v="0"/>
    <x v="197"/>
    <n v="29"/>
    <x v="0"/>
  </r>
  <r>
    <s v="f95b9e869a99e4771263439bbb57fc2c"/>
    <n v="221"/>
    <n v="34"/>
    <n v="6.5"/>
    <n v="3.2663316582914576E-2"/>
    <s v="Low Engagement"/>
    <n v="6"/>
    <n v="2.7149321266968326E-2"/>
    <n v="4.7460844803037496E-4"/>
    <n v="6.8146691327841541E-2"/>
    <x v="3"/>
    <n v="3"/>
    <n v="0"/>
    <n v="8"/>
    <n v="14"/>
    <n v="12"/>
    <n v="1.8708412659516314E-3"/>
    <n v="1588"/>
    <n v="359"/>
    <n v="1229"/>
    <s v="Italy"/>
    <d v="2020-01-04T00:00:00"/>
    <s v="Has no high school or college education"/>
    <x v="0"/>
    <x v="2"/>
    <n v="21"/>
    <x v="0"/>
  </r>
  <r>
    <s v="c9874e5aa8d3195e1c767c7755fa2dc6"/>
    <n v="149"/>
    <n v="23"/>
    <n v="6.4782608695652177"/>
    <n v="3.2554074721433256E-2"/>
    <s v="Low Engagement"/>
    <n v="3"/>
    <n v="2.0134228187919462E-2"/>
    <n v="2.3730422401518748E-4"/>
    <n v="6.6942298710108594E-2"/>
    <x v="3"/>
    <n v="1"/>
    <n v="0"/>
    <n v="2"/>
    <n v="18"/>
    <n v="19"/>
    <n v="1.359540819211702E-3"/>
    <n v="1154"/>
    <n v="217"/>
    <n v="937"/>
    <s v="USA"/>
    <d v="2020-11-23T00:00:00"/>
    <s v="Has no high school or college education"/>
    <x v="0"/>
    <x v="2"/>
    <n v="18"/>
    <x v="1"/>
  </r>
  <r>
    <s v="f4d3b56f3cba2275588c4ecda539484d"/>
    <n v="1916"/>
    <n v="297"/>
    <n v="6.4511784511784516"/>
    <n v="3.2417982166725888E-2"/>
    <s v="Low Engagement"/>
    <n v="6"/>
    <n v="3.1315240083507308E-3"/>
    <n v="4.7460844803037496E-4"/>
    <n v="0.18638846863220052"/>
    <x v="1"/>
    <n v="0"/>
    <n v="0"/>
    <n v="17"/>
    <n v="451"/>
    <n v="365"/>
    <n v="0.12060328740268798"/>
    <n v="102370"/>
    <n v="8728"/>
    <n v="93642"/>
    <s v="France"/>
    <d v="2019-09-22T00:00:00"/>
    <s v="Has no high school or college education"/>
    <x v="0"/>
    <x v="2"/>
    <n v="24"/>
    <x v="0"/>
  </r>
  <r>
    <s v="adbfe79d8ddb02cc4557f33e73d05b5e"/>
    <n v="3231"/>
    <n v="502"/>
    <n v="6.4362549800796813"/>
    <n v="3.234298984964664E-2"/>
    <s v="Low Engagement"/>
    <n v="45"/>
    <n v="1.3927576601671309E-2"/>
    <n v="3.559563360227812E-3"/>
    <n v="0.1226795008703719"/>
    <x v="2"/>
    <n v="20"/>
    <n v="2"/>
    <n v="421"/>
    <n v="293"/>
    <n v="255"/>
    <n v="5.0874394450622987E-2"/>
    <n v="43183"/>
    <n v="20165"/>
    <n v="23018"/>
    <s v="unknown"/>
    <d v="2019-05-30T00:00:00"/>
    <s v="Has no high school or college education"/>
    <x v="0"/>
    <x v="2"/>
    <n v="27"/>
    <x v="0"/>
  </r>
  <r>
    <s v="680fa4029c2d090d3c2ee945496aca7d"/>
    <n v="7168"/>
    <n v="1114"/>
    <n v="6.4344703770197489"/>
    <n v="3.2334021995074118E-2"/>
    <s v="Low Engagement"/>
    <n v="37"/>
    <n v="5.161830357142857E-3"/>
    <n v="2.9267520961873119E-3"/>
    <n v="0.10079430458673767"/>
    <x v="2"/>
    <n v="18"/>
    <n v="1"/>
    <n v="63"/>
    <n v="188"/>
    <n v="124"/>
    <n v="3.0272756404214812E-2"/>
    <n v="25696"/>
    <n v="8164"/>
    <n v="17532"/>
    <s v="Italy"/>
    <d v="2017-02-23T00:00:00"/>
    <s v="Has high school and/or college education"/>
    <x v="0"/>
    <x v="2"/>
    <n v="20"/>
    <x v="1"/>
  </r>
  <r>
    <s v="5c7af04e285da1475c2348cec80b49ea"/>
    <n v="482"/>
    <n v="75"/>
    <n v="6.4266666666666667"/>
    <n v="3.2294807370184253E-2"/>
    <s v="Low Engagement"/>
    <n v="3"/>
    <n v="6.2240663900414933E-3"/>
    <n v="2.3730422401518748E-4"/>
    <n v="7.4350099043707929E-2"/>
    <x v="3"/>
    <n v="1"/>
    <n v="0"/>
    <n v="19"/>
    <n v="5"/>
    <n v="0"/>
    <n v="9.2858758553090431E-3"/>
    <n v="7882"/>
    <n v="5220"/>
    <n v="2662"/>
    <s v="unknown"/>
    <d v="2019-10-21T00:00:00"/>
    <s v="Has no high school or college education"/>
    <x v="0"/>
    <x v="2"/>
    <n v="22"/>
    <x v="0"/>
  </r>
  <r>
    <s v="85b1284e9eeab300cd2fc24ccc4092bb"/>
    <n v="7817"/>
    <n v="1226"/>
    <n v="6.3760195758564437"/>
    <n v="3.2040299376163033E-2"/>
    <s v="Low Engagement"/>
    <n v="84"/>
    <n v="1.0745810413201995E-2"/>
    <n v="6.6445182724252493E-3"/>
    <n v="0.18606928280617732"/>
    <x v="1"/>
    <n v="32"/>
    <n v="12"/>
    <n v="473"/>
    <n v="878"/>
    <n v="933"/>
    <n v="0.10869964750900077"/>
    <n v="92266"/>
    <n v="75458"/>
    <n v="16808"/>
    <s v="Denmark"/>
    <d v="2016-12-19T00:00:00"/>
    <s v="Has high school and/or college education"/>
    <x v="0"/>
    <x v="2"/>
    <n v="22"/>
    <x v="0"/>
  </r>
  <r>
    <s v="0a32c88fd0a642b6227a47b268d8130b"/>
    <n v="8027"/>
    <n v="1262"/>
    <n v="6.3605388272583205"/>
    <n v="3.1962506669639804E-2"/>
    <s v="Low Engagement"/>
    <n v="32"/>
    <n v="3.9865454092438022E-3"/>
    <n v="2.5312450561619996E-3"/>
    <n v="0.18210624767885661"/>
    <x v="1"/>
    <n v="12"/>
    <n v="14"/>
    <n v="424"/>
    <n v="34"/>
    <n v="71"/>
    <n v="0.11311874422725302"/>
    <n v="96017"/>
    <n v="70063"/>
    <n v="25954"/>
    <s v="unknown"/>
    <d v="2015-07-18T00:00:00"/>
    <s v="Has high school and/or college education"/>
    <x v="0"/>
    <x v="2"/>
    <n v="15"/>
    <x v="1"/>
  </r>
  <r>
    <s v="075a6a1290e9b25acab78014de8ca6d7"/>
    <n v="4895"/>
    <n v="771"/>
    <n v="6.3488975356679633"/>
    <n v="3.1904007716924442E-2"/>
    <s v="Low Engagement"/>
    <n v="240"/>
    <n v="4.9029622063329927E-2"/>
    <n v="1.8984337921214997E-2"/>
    <n v="0.15435463514161601"/>
    <x v="1"/>
    <n v="82"/>
    <n v="53"/>
    <n v="1096"/>
    <n v="1047"/>
    <n v="1206"/>
    <n v="5.257794386533713E-2"/>
    <n v="44629"/>
    <n v="12259"/>
    <n v="32370"/>
    <s v="unknown"/>
    <d v="2015-01-20T00:00:00"/>
    <s v="Has high school and/or college education"/>
    <x v="0"/>
    <x v="2"/>
    <n v="19"/>
    <x v="1"/>
  </r>
  <r>
    <s v="355ea83c3d68ff7fcef72229572aacaf"/>
    <n v="983"/>
    <n v="155"/>
    <n v="6.3419354838709676"/>
    <n v="3.1869022532014915E-2"/>
    <s v="Low Engagement"/>
    <n v="20"/>
    <n v="2.0345879959308241E-2"/>
    <n v="1.5820281601012498E-3"/>
    <n v="7.1331801107140477E-2"/>
    <x v="3"/>
    <n v="11"/>
    <n v="3"/>
    <n v="38"/>
    <n v="65"/>
    <n v="53"/>
    <n v="4.4296997229081453E-3"/>
    <n v="3760"/>
    <n v="1463"/>
    <n v="2297"/>
    <s v="USA"/>
    <d v="2020-06-12T00:00:00"/>
    <s v="Has no high school or college education"/>
    <x v="0"/>
    <x v="2"/>
    <n v="26"/>
    <x v="0"/>
  </r>
  <r>
    <s v="2b0b77f40b9aba8bfeeae443872885e6"/>
    <n v="3113"/>
    <n v="493"/>
    <n v="6.3144016227180524"/>
    <n v="3.173066142069373E-2"/>
    <s v="Low Engagement"/>
    <n v="88"/>
    <n v="2.8268551236749116E-2"/>
    <n v="6.9609239044454993E-3"/>
    <n v="0.12993048361327633"/>
    <x v="2"/>
    <n v="8"/>
    <n v="6"/>
    <n v="206"/>
    <n v="562"/>
    <n v="476"/>
    <n v="5.2547312962997868E-2"/>
    <n v="44603"/>
    <n v="23575"/>
    <n v="21028"/>
    <s v="unknown"/>
    <d v="2019-02-03T00:00:00"/>
    <s v="Has no high school or college education"/>
    <x v="0"/>
    <x v="2"/>
    <n v="26"/>
    <x v="0"/>
  </r>
  <r>
    <s v="e4f3daf2e7918e120f386be9211f1c05"/>
    <n v="3085"/>
    <n v="489"/>
    <n v="6.3087934560327197"/>
    <n v="3.1702479678556383E-2"/>
    <s v="Low Engagement"/>
    <n v="42"/>
    <n v="1.3614262560777957E-2"/>
    <n v="3.3222591362126247E-3"/>
    <n v="0.12841901826025184"/>
    <x v="2"/>
    <n v="11"/>
    <n v="7"/>
    <n v="177"/>
    <n v="445"/>
    <n v="361"/>
    <n v="5.836954063071384E-2"/>
    <n v="49545"/>
    <n v="21363"/>
    <n v="28182"/>
    <s v="unknown"/>
    <d v="2017-09-16T00:00:00"/>
    <s v="Has no high school or college education"/>
    <x v="0"/>
    <x v="2"/>
    <n v="18"/>
    <x v="1"/>
  </r>
  <r>
    <s v="45e6e25ca1f6dad948edede60fdebf78"/>
    <n v="10507"/>
    <n v="1667"/>
    <n v="6.3029394121175768"/>
    <n v="3.1673062372450135E-2"/>
    <s v="Low Engagement"/>
    <n v="582"/>
    <n v="5.5391643666127345E-2"/>
    <n v="4.6037019458946372E-2"/>
    <n v="0.33706612698110933"/>
    <x v="1"/>
    <n v="215"/>
    <n v="24"/>
    <n v="2234"/>
    <n v="3001"/>
    <n v="2407"/>
    <n v="0.18164596331831634"/>
    <n v="154184"/>
    <n v="68001"/>
    <n v="86183"/>
    <s v="unknown"/>
    <d v="2014-02-24T00:00:00"/>
    <s v="Has no high school or college education"/>
    <x v="0"/>
    <x v="2"/>
    <n v="17"/>
    <x v="1"/>
  </r>
  <r>
    <s v="105cef742720596e6da33b3c17e51cea"/>
    <n v="4437"/>
    <n v="705"/>
    <n v="6.2936170212765958"/>
    <n v="3.1626216187319575E-2"/>
    <s v="Low Engagement"/>
    <n v="95"/>
    <n v="2.1410863195853055E-2"/>
    <n v="7.5146337604809366E-3"/>
    <n v="0.14697974517278714"/>
    <x v="1"/>
    <n v="39"/>
    <n v="16"/>
    <n v="218"/>
    <n v="742"/>
    <n v="671"/>
    <n v="6.8698045277186107E-2"/>
    <n v="58312"/>
    <n v="24516"/>
    <n v="33796"/>
    <s v="unknown"/>
    <d v="2017-05-05T00:00:00"/>
    <s v="Has high school and/or college education"/>
    <x v="0"/>
    <x v="198"/>
    <n v="20"/>
    <x v="1"/>
  </r>
  <r>
    <s v="a4b793d372df15fb545ca8cdaeda1e98"/>
    <n v="595"/>
    <n v="95"/>
    <n v="6.2631578947368425"/>
    <n v="3.1473155249933882E-2"/>
    <s v="Low Engagement"/>
    <n v="284"/>
    <n v="0.47731092436974792"/>
    <n v="2.2464799873437746E-2"/>
    <n v="0.11524264225933491"/>
    <x v="2"/>
    <n v="37"/>
    <n v="127"/>
    <n v="67"/>
    <n v="2647"/>
    <n v="3115"/>
    <n v="7.3667320125916569E-3"/>
    <n v="6253"/>
    <n v="141"/>
    <n v="6112"/>
    <s v="France"/>
    <d v="2018-12-22T00:00:00"/>
    <s v="Has no high school or college education"/>
    <x v="1"/>
    <x v="1"/>
    <n v="19"/>
    <x v="1"/>
  </r>
  <r>
    <s v="73c2478a689ccd5f0228550f2a08ff73"/>
    <n v="707"/>
    <n v="113"/>
    <n v="6.2566371681415927"/>
    <n v="3.1440387779605991E-2"/>
    <s v="Low Engagement"/>
    <n v="19"/>
    <n v="2.6874115983026876E-2"/>
    <n v="1.5029267520961873E-3"/>
    <n v="7.5213738825708545E-2"/>
    <x v="2"/>
    <n v="9"/>
    <n v="1"/>
    <n v="17"/>
    <n v="193"/>
    <n v="180"/>
    <n v="9.3271097623041973E-3"/>
    <n v="7917"/>
    <n v="2665"/>
    <n v="5252"/>
    <s v="USA"/>
    <d v="2019-12-31T00:00:00"/>
    <s v="Has no high school or college education"/>
    <x v="0"/>
    <x v="2"/>
    <n v="34"/>
    <x v="3"/>
  </r>
  <r>
    <s v="e0b9cc0d6082d718b101d3f91a837b99"/>
    <n v="7026"/>
    <n v="1123"/>
    <n v="6.2564559216384685"/>
    <n v="3.1439476993158133E-2"/>
    <s v="Low Engagement"/>
    <n v="177"/>
    <n v="2.5192143467122119E-2"/>
    <n v="1.4000949216896061E-2"/>
    <n v="0.17103132083729186"/>
    <x v="1"/>
    <n v="51"/>
    <n v="32"/>
    <n v="1025"/>
    <n v="874"/>
    <n v="1760"/>
    <n v="8.0150468417183471E-2"/>
    <n v="68033"/>
    <n v="14736"/>
    <n v="53297"/>
    <s v="Mexico"/>
    <d v="2015-10-31T00:00:00"/>
    <s v="Has high school and/or college education"/>
    <x v="0"/>
    <x v="199"/>
    <n v="27"/>
    <x v="0"/>
  </r>
  <r>
    <s v="1ebb4860e500cd5c07deca307f059065"/>
    <n v="763"/>
    <n v="122"/>
    <n v="6.2540983606557381"/>
    <n v="3.1427629953043913E-2"/>
    <s v="Low Engagement"/>
    <n v="84"/>
    <n v="0.11009174311926606"/>
    <n v="6.6445182724252493E-3"/>
    <n v="8.8882039377556107E-2"/>
    <x v="2"/>
    <n v="32"/>
    <n v="1"/>
    <n v="67"/>
    <n v="383"/>
    <n v="204"/>
    <n v="1.2737742926617782E-2"/>
    <n v="10812"/>
    <n v="1824"/>
    <n v="8988"/>
    <s v="USA"/>
    <d v="2020-12-01T00:00:00"/>
    <s v="Has no high school or college education"/>
    <x v="0"/>
    <x v="2"/>
    <n v="20"/>
    <x v="1"/>
  </r>
  <r>
    <s v="ac205dec86749cb0bc1820759778e8b7"/>
    <n v="5458"/>
    <n v="873"/>
    <n v="6.2520045819014891"/>
    <n v="3.1417108451766276E-2"/>
    <s v="Low Engagement"/>
    <n v="315"/>
    <n v="5.7713448149505311E-2"/>
    <n v="2.4916943521594685E-2"/>
    <n v="0.21975373852476945"/>
    <x v="1"/>
    <n v="67"/>
    <n v="142"/>
    <n v="1275"/>
    <n v="1805"/>
    <n v="2145"/>
    <n v="0.10708563457804754"/>
    <n v="90896"/>
    <n v="4239"/>
    <n v="86657"/>
    <s v="unknown"/>
    <d v="2015-05-23T00:00:00"/>
    <s v="Has high school and/or college education"/>
    <x v="0"/>
    <x v="2"/>
    <n v="16"/>
    <x v="1"/>
  </r>
  <r>
    <s v="c5b8a2fb43a89965c7f05676a3f4ed5c"/>
    <n v="2774"/>
    <n v="445"/>
    <n v="6.2337078651685394"/>
    <n v="3.1325165151600699E-2"/>
    <s v="Low Engagement"/>
    <n v="80"/>
    <n v="2.8839221341023791E-2"/>
    <n v="6.3281126404049993E-3"/>
    <n v="0.10939050310620702"/>
    <x v="2"/>
    <n v="43"/>
    <n v="5"/>
    <n v="92"/>
    <n v="277"/>
    <n v="277"/>
    <n v="3.4083947522195623E-2"/>
    <n v="28931"/>
    <n v="16834"/>
    <n v="12097"/>
    <s v="unknown"/>
    <d v="2018-11-06T00:00:00"/>
    <s v="Has no high school or college education"/>
    <x v="0"/>
    <x v="200"/>
    <n v="24"/>
    <x v="0"/>
  </r>
  <r>
    <s v="c872048ac3c30830f23578016deb316d"/>
    <n v="1873"/>
    <n v="303"/>
    <n v="6.1815181518151814"/>
    <n v="3.1062905285503425E-2"/>
    <s v="Low Engagement"/>
    <n v="386"/>
    <n v="0.20608649225840897"/>
    <n v="3.0533143489954121E-2"/>
    <n v="0.17206488034483039"/>
    <x v="1"/>
    <n v="54"/>
    <n v="203"/>
    <n v="830"/>
    <n v="1088"/>
    <n v="1589"/>
    <n v="4.8872782793915291E-2"/>
    <n v="41484"/>
    <n v="4721"/>
    <n v="36763"/>
    <s v="unknown"/>
    <d v="2020-02-26T00:00:00"/>
    <s v="Has no high school or college education"/>
    <x v="0"/>
    <x v="2"/>
    <n v="22"/>
    <x v="0"/>
  </r>
  <r>
    <s v="8d50005fe70a521f1cdb8547f08027eb"/>
    <n v="1949"/>
    <n v="316"/>
    <n v="6.1677215189873413"/>
    <n v="3.0993575472298196E-2"/>
    <s v="Low Engagement"/>
    <n v="9"/>
    <n v="4.6177526936890716E-3"/>
    <n v="7.1191267204556241E-4"/>
    <n v="9.2202846375962016E-2"/>
    <x v="2"/>
    <n v="2"/>
    <n v="0"/>
    <n v="82"/>
    <n v="58"/>
    <n v="34"/>
    <n v="2.8791870087274508E-2"/>
    <n v="24439"/>
    <n v="6829"/>
    <n v="17610"/>
    <s v="Czechia"/>
    <d v="2020-04-09T00:00:00"/>
    <s v="Has no high school or college education"/>
    <x v="0"/>
    <x v="2"/>
    <n v="19"/>
    <x v="1"/>
  </r>
  <r>
    <s v="9333e4169e96253b531df01077a56830"/>
    <n v="1511"/>
    <n v="246"/>
    <n v="6.1422764227642279"/>
    <n v="3.0865710667156925E-2"/>
    <s v="Low Engagement"/>
    <n v="3"/>
    <n v="1.9854401058901389E-3"/>
    <n v="2.3730422401518748E-4"/>
    <n v="7.5357289890541995E-2"/>
    <x v="2"/>
    <n v="0"/>
    <n v="1"/>
    <n v="10"/>
    <n v="6"/>
    <n v="4"/>
    <n v="1.3151260108197772E-2"/>
    <n v="11163"/>
    <n v="3335"/>
    <n v="7828"/>
    <s v="USA"/>
    <d v="2018-09-26T00:00:00"/>
    <s v="Has no high school or college education"/>
    <x v="0"/>
    <x v="2"/>
    <n v="28"/>
    <x v="0"/>
  </r>
  <r>
    <s v="35300c1da44084c67f367e0b856063ee"/>
    <n v="1392"/>
    <n v="227"/>
    <n v="6.1321585903083697"/>
    <n v="3.0814867287981756E-2"/>
    <s v="Low Engagement"/>
    <n v="220"/>
    <n v="0.15804597701149425"/>
    <n v="1.7402309761113746E-2"/>
    <n v="0.11111833743498013"/>
    <x v="2"/>
    <n v="64"/>
    <n v="8"/>
    <n v="153"/>
    <n v="633"/>
    <n v="555"/>
    <n v="1.4683983336789127E-2"/>
    <n v="12464"/>
    <n v="4827"/>
    <n v="7637"/>
    <s v="unknown"/>
    <d v="2013-10-29T00:00:00"/>
    <s v="Has high school and/or college education"/>
    <x v="0"/>
    <x v="2"/>
    <n v="16"/>
    <x v="1"/>
  </r>
  <r>
    <s v="f6cd8681f212bee73b9c6d2432735243"/>
    <n v="3854"/>
    <n v="631"/>
    <n v="6.107765451664025"/>
    <n v="3.069228870182927E-2"/>
    <s v="Low Engagement"/>
    <n v="290"/>
    <n v="7.5246497145822516E-2"/>
    <n v="2.2939408321468121E-2"/>
    <n v="0.1351280902822925"/>
    <x v="1"/>
    <n v="155"/>
    <n v="18"/>
    <n v="961"/>
    <n v="1098"/>
    <n v="926"/>
    <n v="2.7864696235697727E-2"/>
    <n v="23652"/>
    <n v="12946"/>
    <n v="10706"/>
    <s v="Belgium"/>
    <d v="2014-03-11T00:00:00"/>
    <s v="Has high school and/or college education"/>
    <x v="0"/>
    <x v="2"/>
    <n v="19"/>
    <x v="1"/>
  </r>
  <r>
    <s v="36812a1aa45ca54b6b22e18db6767a09"/>
    <n v="1878"/>
    <n v="308"/>
    <n v="6.0974025974025974"/>
    <n v="3.0640214057299484E-2"/>
    <s v="Low Engagement"/>
    <n v="73"/>
    <n v="3.8871139510117149E-2"/>
    <n v="5.774402784369562E-3"/>
    <n v="0.12945634721559951"/>
    <x v="2"/>
    <n v="18"/>
    <n v="6"/>
    <n v="253"/>
    <n v="907"/>
    <n v="1078"/>
    <n v="5.6627113532261408E-2"/>
    <n v="48066"/>
    <n v="15329"/>
    <n v="32737"/>
    <s v="Mexico"/>
    <d v="2020-03-30T00:00:00"/>
    <s v="Has no high school or college education"/>
    <x v="0"/>
    <x v="201"/>
    <n v="27"/>
    <x v="0"/>
  </r>
  <r>
    <s v="9adf272ecb6ac3d4ade9b3970ec84fd1"/>
    <n v="2694"/>
    <n v="443"/>
    <n v="6.0812641083521441"/>
    <n v="3.0559116122372585E-2"/>
    <s v="Low Engagement"/>
    <n v="19"/>
    <n v="7.0527097253155159E-3"/>
    <n v="1.5029267520961873E-3"/>
    <n v="9.280992578965308E-2"/>
    <x v="2"/>
    <n v="7"/>
    <n v="1"/>
    <n v="35"/>
    <n v="44"/>
    <n v="33"/>
    <n v="2.8685840040715539E-2"/>
    <n v="24349"/>
    <n v="4587"/>
    <n v="19762"/>
    <s v="unknown"/>
    <d v="2015-07-11T00:00:00"/>
    <s v="Has high school and/or college education"/>
    <x v="0"/>
    <x v="2"/>
    <n v="19"/>
    <x v="1"/>
  </r>
  <r>
    <s v="6fbbc0195b3d48568cc1cd1b7c70c6cc"/>
    <n v="152"/>
    <n v="25"/>
    <n v="6.08"/>
    <n v="3.0552763819095479E-2"/>
    <s v="Low Engagement"/>
    <n v="7"/>
    <n v="4.6052631578947366E-2"/>
    <n v="5.5370985603543741E-4"/>
    <n v="6.3844631955641565E-2"/>
    <x v="3"/>
    <n v="2"/>
    <n v="0"/>
    <n v="5"/>
    <n v="76"/>
    <n v="91"/>
    <n v="1.631684605379729E-3"/>
    <n v="1385"/>
    <n v="219"/>
    <n v="1166"/>
    <s v="Finland"/>
    <d v="2021-03-20T00:00:00"/>
    <s v="Has no high school or college education"/>
    <x v="0"/>
    <x v="2"/>
    <n v="26"/>
    <x v="0"/>
  </r>
  <r>
    <s v="dcdd976dc6a9dc33592941d7b37c0fbc"/>
    <n v="103"/>
    <n v="17"/>
    <n v="6.0588235294117645"/>
    <n v="3.0446349394028967E-2"/>
    <s v="Low Engagement"/>
    <n v="12"/>
    <n v="0.11650485436893204"/>
    <n v="9.4921689606074992E-4"/>
    <n v="6.2885381510454072E-2"/>
    <x v="3"/>
    <n v="3"/>
    <n v="0"/>
    <n v="22"/>
    <n v="123"/>
    <n v="150"/>
    <n v="9.4248930274641387E-5"/>
    <n v="80"/>
    <n v="33"/>
    <n v="47"/>
    <s v="New Zealand"/>
    <d v="2018-05-17T00:00:00"/>
    <s v="Has no high school or college education"/>
    <x v="0"/>
    <x v="2"/>
    <n v="20"/>
    <x v="1"/>
  </r>
  <r>
    <s v="960f40ce2b7245633699909c6e01601c"/>
    <n v="1441"/>
    <n v="238"/>
    <n v="6.0546218487394956"/>
    <n v="3.0425235420801486E-2"/>
    <s v="Low Engagement"/>
    <n v="21"/>
    <n v="1.457321304649549E-2"/>
    <n v="1.6611295681063123E-3"/>
    <n v="9.2822048558049708E-2"/>
    <x v="2"/>
    <n v="8"/>
    <n v="6"/>
    <n v="241"/>
    <n v="55"/>
    <n v="65"/>
    <n v="2.8649318580234114E-2"/>
    <n v="24318"/>
    <n v="2872"/>
    <n v="21446"/>
    <s v="unknown"/>
    <d v="2020-05-19T00:00:00"/>
    <s v="Has no high school or college education"/>
    <x v="0"/>
    <x v="202"/>
    <n v="22"/>
    <x v="0"/>
  </r>
  <r>
    <s v="1db86a4045ab07583415068ff877a330"/>
    <n v="11132"/>
    <n v="1845"/>
    <n v="6.0336043360433607"/>
    <n v="3.0319619779112364E-2"/>
    <s v="Low Engagement"/>
    <n v="627"/>
    <n v="5.632411067193676E-2"/>
    <n v="4.959658281917418E-2"/>
    <n v="0.2834811111587604"/>
    <x v="1"/>
    <n v="227"/>
    <n v="225"/>
    <n v="922"/>
    <n v="800"/>
    <n v="1005"/>
    <n v="0.12364870596218733"/>
    <n v="104955"/>
    <n v="68721"/>
    <n v="36234"/>
    <s v="unknown"/>
    <d v="2015-03-14T00:00:00"/>
    <s v="Has no high school or college education"/>
    <x v="0"/>
    <x v="2"/>
    <n v="32"/>
    <x v="3"/>
  </r>
  <r>
    <s v="1e74b4cb4b126a8f34b2d9b1fda0a92f"/>
    <n v="4271"/>
    <n v="708"/>
    <n v="6.0324858757062145"/>
    <n v="3.0313999375408112E-2"/>
    <s v="Low Engagement"/>
    <n v="663"/>
    <n v="0.15523296651837978"/>
    <n v="5.2444233507356428E-2"/>
    <n v="0.30706775603338454"/>
    <x v="1"/>
    <n v="123"/>
    <n v="85"/>
    <n v="1781"/>
    <n v="2296"/>
    <n v="3448"/>
    <n v="0.14155129026785546"/>
    <n v="120151"/>
    <n v="4532"/>
    <n v="115619"/>
    <s v="unknown"/>
    <d v="2014-02-08T00:00:00"/>
    <s v="Has high school and/or college education"/>
    <x v="1"/>
    <x v="2"/>
    <n v="21"/>
    <x v="0"/>
  </r>
  <r>
    <s v="25a1f4b6df1c88a21f36b8a1b4eb3ee8"/>
    <n v="3541"/>
    <n v="588"/>
    <n v="6.0221088435374153"/>
    <n v="3.0261853485112639E-2"/>
    <s v="Low Engagement"/>
    <n v="215"/>
    <n v="6.0717311493928269E-2"/>
    <n v="1.7006802721088437E-2"/>
    <n v="0.15714687679384642"/>
    <x v="1"/>
    <n v="86"/>
    <n v="54"/>
    <n v="1091"/>
    <n v="948"/>
    <n v="1162"/>
    <n v="6.2609564381444271E-2"/>
    <n v="53144"/>
    <n v="5662"/>
    <n v="47482"/>
    <s v="unknown"/>
    <d v="2018-02-18T00:00:00"/>
    <s v="Has high school and/or college education"/>
    <x v="1"/>
    <x v="2"/>
    <n v="21"/>
    <x v="0"/>
  </r>
  <r>
    <s v="f59c6dc819abce7773b3f1d16cf7a7df"/>
    <n v="1764"/>
    <n v="294"/>
    <n v="6"/>
    <n v="3.015075376884422E-2"/>
    <s v="Low Engagement"/>
    <n v="61"/>
    <n v="3.4580498866213151E-2"/>
    <n v="4.825185888308812E-3"/>
    <n v="8.4898581544235754E-2"/>
    <x v="2"/>
    <n v="18"/>
    <n v="0"/>
    <n v="101"/>
    <n v="815"/>
    <n v="695"/>
    <n v="1.4946702229929691E-2"/>
    <n v="12687"/>
    <n v="6427"/>
    <n v="6260"/>
    <s v="Spain"/>
    <d v="2017-07-09T00:00:00"/>
    <s v="Has no high school or college education"/>
    <x v="0"/>
    <x v="2"/>
    <n v="20"/>
    <x v="1"/>
  </r>
  <r>
    <s v="cccce00c77b648c501d899b99ad119c0"/>
    <n v="2549"/>
    <n v="429"/>
    <n v="5.9417249417249414"/>
    <n v="2.9857914280024832E-2"/>
    <s v="Low Engagement"/>
    <n v="31"/>
    <n v="1.2161632012553943E-2"/>
    <n v="2.4521436481569374E-3"/>
    <n v="0.18148054261551982"/>
    <x v="1"/>
    <n v="9"/>
    <n v="2"/>
    <n v="258"/>
    <n v="358"/>
    <n v="396"/>
    <n v="0.11686042675915628"/>
    <n v="99193"/>
    <n v="6990"/>
    <n v="92203"/>
    <s v="USA"/>
    <d v="2017-02-06T00:00:00"/>
    <s v="Has high school and/or college education"/>
    <x v="0"/>
    <x v="2"/>
    <n v="21"/>
    <x v="0"/>
  </r>
  <r>
    <s v="53b5a9f465a2f47d859ab9769fafe209"/>
    <n v="942"/>
    <n v="159"/>
    <n v="5.9245283018867925"/>
    <n v="2.9771499004456244E-2"/>
    <s v="Low Engagement"/>
    <n v="86"/>
    <n v="9.1295116772823773E-2"/>
    <n v="6.8027210884353739E-3"/>
    <n v="8.6770944945354214E-2"/>
    <x v="2"/>
    <n v="27"/>
    <n v="8"/>
    <n v="473"/>
    <n v="418"/>
    <n v="483"/>
    <n v="1.362250475957098E-2"/>
    <n v="11563"/>
    <n v="804"/>
    <n v="10759"/>
    <s v="USA"/>
    <d v="2020-01-27T00:00:00"/>
    <s v="Has no high school or college education"/>
    <x v="0"/>
    <x v="2"/>
    <n v="19"/>
    <x v="1"/>
  </r>
  <r>
    <s v="4f26f7cc49a287a6c05379c899640e66"/>
    <n v="7464"/>
    <n v="1262"/>
    <n v="5.9144215530903326"/>
    <n v="2.9720711322061971E-2"/>
    <s v="Low Engagement"/>
    <n v="211"/>
    <n v="2.8269024651661308E-2"/>
    <n v="1.6690397089068186E-2"/>
    <n v="0.23292325167551475"/>
    <x v="1"/>
    <n v="83"/>
    <n v="45"/>
    <n v="567"/>
    <n v="783"/>
    <n v="878"/>
    <n v="0.14010103485325442"/>
    <n v="118920"/>
    <n v="70081"/>
    <n v="48839"/>
    <s v="unknown"/>
    <d v="2013-09-30T00:00:00"/>
    <s v="Has high school and/or college education"/>
    <x v="0"/>
    <x v="203"/>
    <n v="29"/>
    <x v="0"/>
  </r>
  <r>
    <s v="3bae0caa42a35ed17186b825fc577aa6"/>
    <n v="2182"/>
    <n v="369"/>
    <n v="5.9132791327913283"/>
    <n v="2.9714970516539339E-2"/>
    <s v="Low Engagement"/>
    <n v="305"/>
    <n v="0.13978001833180567"/>
    <n v="2.4125929441544059E-2"/>
    <n v="0.1352637493610406"/>
    <x v="1"/>
    <n v="69"/>
    <n v="109"/>
    <n v="833"/>
    <n v="1146"/>
    <n v="2119"/>
    <n v="2.7581949444873799E-2"/>
    <n v="23412"/>
    <n v="1989"/>
    <n v="21423"/>
    <s v="Austria"/>
    <d v="2014-09-28T00:00:00"/>
    <s v="Has high school and/or college education"/>
    <x v="1"/>
    <x v="2"/>
    <n v="18"/>
    <x v="1"/>
  </r>
  <r>
    <s v="98782b8096bd852d90b441126a557850"/>
    <n v="2190"/>
    <n v="371"/>
    <n v="5.9029649595687328"/>
    <n v="2.9663140500345391E-2"/>
    <s v="Low Engagement"/>
    <n v="44"/>
    <n v="2.0091324200913242E-2"/>
    <n v="3.4804619522227497E-3"/>
    <n v="9.009801902739599E-2"/>
    <x v="2"/>
    <n v="9"/>
    <n v="2"/>
    <n v="197"/>
    <n v="320"/>
    <n v="443"/>
    <n v="2.3810814122259712E-2"/>
    <n v="20211"/>
    <n v="658"/>
    <n v="19553"/>
    <s v="unknown"/>
    <d v="2019-06-02T00:00:00"/>
    <s v="Has no high school or college education"/>
    <x v="1"/>
    <x v="2"/>
    <n v="20"/>
    <x v="1"/>
  </r>
  <r>
    <s v="a009fd4b706db1a5759cada90049df5b"/>
    <n v="3258"/>
    <n v="552"/>
    <n v="5.9021739130434785"/>
    <n v="2.9659165392178284E-2"/>
    <s v="Low Engagement"/>
    <n v="43"/>
    <n v="1.3198281154082258E-2"/>
    <n v="3.4013605442176869E-3"/>
    <n v="0.16171067318059013"/>
    <x v="1"/>
    <n v="20"/>
    <n v="5"/>
    <n v="104"/>
    <n v="359"/>
    <n v="426"/>
    <n v="9.5589621307798162E-2"/>
    <n v="81138"/>
    <n v="19351"/>
    <n v="61787"/>
    <s v="USA"/>
    <d v="2017-11-14T00:00:00"/>
    <s v="Has no high school or college education"/>
    <x v="0"/>
    <x v="2"/>
    <n v="24"/>
    <x v="0"/>
  </r>
  <r>
    <s v="555a0ce088fde391ce95924c6782a3d3"/>
    <n v="2922"/>
    <n v="497"/>
    <n v="5.8792756539235409"/>
    <n v="2.9544098763434879E-2"/>
    <s v="Low Engagement"/>
    <n v="271"/>
    <n v="9.2744695414099937E-2"/>
    <n v="2.1436481569371935E-2"/>
    <n v="0.16319469066504813"/>
    <x v="1"/>
    <n v="99"/>
    <n v="80"/>
    <n v="1109"/>
    <n v="688"/>
    <n v="715"/>
    <n v="6.1233529999434509E-2"/>
    <n v="51976"/>
    <n v="31198"/>
    <n v="20778"/>
    <s v="USA"/>
    <d v="2017-01-26T00:00:00"/>
    <s v="Has high school and/or college education"/>
    <x v="0"/>
    <x v="204"/>
    <n v="18"/>
    <x v="1"/>
  </r>
  <r>
    <s v="1a80f3abfb235c0e3e9e630763698fd2"/>
    <n v="7361"/>
    <n v="1254"/>
    <n v="5.8700159489633172"/>
    <n v="2.9497567582730238E-2"/>
    <s v="Low Engagement"/>
    <n v="100"/>
    <n v="1.3585110718652357E-2"/>
    <n v="7.9101408005062494E-3"/>
    <n v="0.15127132711689051"/>
    <x v="1"/>
    <n v="16"/>
    <n v="3"/>
    <n v="683"/>
    <n v="2185"/>
    <n v="2183"/>
    <n v="7.6455910350417516E-2"/>
    <n v="64897"/>
    <n v="4336"/>
    <n v="60561"/>
    <s v="Germany"/>
    <d v="2015-04-12T00:00:00"/>
    <s v="Has high school and/or college education"/>
    <x v="0"/>
    <x v="205"/>
    <n v="27"/>
    <x v="0"/>
  </r>
  <r>
    <s v="f3d44e56cf41a729008608440be71071"/>
    <n v="1384"/>
    <n v="237"/>
    <n v="5.8396624472573837"/>
    <n v="2.9345037423403938E-2"/>
    <s v="Low Engagement"/>
    <n v="170"/>
    <n v="0.12283236994219653"/>
    <n v="1.3447239360860624E-2"/>
    <n v="9.8401229974251922E-2"/>
    <x v="2"/>
    <n v="23"/>
    <n v="84"/>
    <n v="428"/>
    <n v="713"/>
    <n v="685"/>
    <n v="1.2816676405722795E-2"/>
    <n v="10879"/>
    <n v="10516"/>
    <n v="363"/>
    <s v="Uruguay"/>
    <d v="2019-06-18T00:00:00"/>
    <s v="Has no high school or college education"/>
    <x v="0"/>
    <x v="2"/>
    <n v="18"/>
    <x v="1"/>
  </r>
  <r>
    <s v="d5209e9250b00db316e043f61b2d85a4"/>
    <n v="1803"/>
    <n v="309"/>
    <n v="5.8349514563106792"/>
    <n v="2.9321364102063714E-2"/>
    <s v="Low Engagement"/>
    <n v="107"/>
    <n v="5.9345535219079315E-2"/>
    <n v="8.4638506565416858E-3"/>
    <n v="0.11242647370110931"/>
    <x v="2"/>
    <n v="30"/>
    <n v="9"/>
    <n v="129"/>
    <n v="510"/>
    <n v="371"/>
    <n v="3.6856044183898512E-2"/>
    <n v="31284"/>
    <n v="4092"/>
    <n v="27192"/>
    <s v="USA"/>
    <d v="2018-06-16T00:00:00"/>
    <s v="Has no high school or college education"/>
    <x v="0"/>
    <x v="73"/>
    <n v="20"/>
    <x v="1"/>
  </r>
  <r>
    <s v="6cd9971ad619af9b89d536d2ed4623f0"/>
    <n v="326"/>
    <n v="56"/>
    <n v="5.8214285714285712"/>
    <n v="2.9253409906676239E-2"/>
    <s v="Low Engagement"/>
    <n v="6"/>
    <n v="1.8404907975460124E-2"/>
    <n v="4.7460844803037496E-4"/>
    <n v="6.9294446918457361E-2"/>
    <x v="3"/>
    <n v="2"/>
    <n v="0"/>
    <n v="8"/>
    <n v="20"/>
    <n v="14"/>
    <n v="9.8384102090441281E-3"/>
    <n v="8351"/>
    <n v="474"/>
    <n v="7877"/>
    <s v="unknown"/>
    <d v="2018-08-25T00:00:00"/>
    <s v="Has no high school or college education"/>
    <x v="0"/>
    <x v="2"/>
    <n v="21"/>
    <x v="0"/>
  </r>
  <r>
    <s v="089f156439148cb84dbf5c68a8f7713a"/>
    <n v="2437"/>
    <n v="419"/>
    <n v="5.8162291169451077"/>
    <n v="2.9227281994699032E-2"/>
    <s v="Low Engagement"/>
    <n v="134"/>
    <n v="5.4985638079606075E-2"/>
    <n v="1.0599588672678373E-2"/>
    <n v="0.11265500427042048"/>
    <x v="2"/>
    <n v="46"/>
    <n v="4"/>
    <n v="114"/>
    <n v="1443"/>
    <n v="1342"/>
    <n v="3.300126293566568E-2"/>
    <n v="28012"/>
    <n v="14787"/>
    <n v="13225"/>
    <s v="Germany"/>
    <d v="2019-09-17T00:00:00"/>
    <s v="Has no high school or college education"/>
    <x v="0"/>
    <x v="206"/>
    <n v="19"/>
    <x v="1"/>
  </r>
  <r>
    <s v="050e75190335559b0c53337f0dabe429"/>
    <n v="2732"/>
    <n v="470"/>
    <n v="5.8127659574468087"/>
    <n v="2.9209879183149792E-2"/>
    <s v="Low Engagement"/>
    <n v="123"/>
    <n v="4.5021961932650074E-2"/>
    <n v="9.7294731846226858E-3"/>
    <n v="0.12494426429144399"/>
    <x v="2"/>
    <n v="61"/>
    <n v="1"/>
    <n v="182"/>
    <n v="631"/>
    <n v="697"/>
    <n v="4.7065559555899042E-2"/>
    <n v="39950"/>
    <n v="15843"/>
    <n v="24107"/>
    <s v="United Kingdom"/>
    <d v="2014-06-05T00:00:00"/>
    <s v="Has high school and/or college education"/>
    <x v="0"/>
    <x v="207"/>
    <n v="20"/>
    <x v="1"/>
  </r>
  <r>
    <s v="2102855f0579e23a8f5c7c272970cb24"/>
    <n v="488"/>
    <n v="84"/>
    <n v="5.8095238095238093"/>
    <n v="2.9193586982531706E-2"/>
    <s v="Low Engagement"/>
    <n v="29"/>
    <n v="5.9426229508196718E-2"/>
    <n v="2.2939408321468123E-3"/>
    <n v="6.5292401202484779E-2"/>
    <x v="3"/>
    <n v="14"/>
    <n v="0"/>
    <n v="42"/>
    <n v="214"/>
    <n v="256"/>
    <n v="2.3173455731277451E-3"/>
    <n v="1967"/>
    <n v="487"/>
    <n v="1480"/>
    <s v="unknown"/>
    <d v="2019-08-17T00:00:00"/>
    <s v="Has no high school or college education"/>
    <x v="0"/>
    <x v="2"/>
    <n v="18"/>
    <x v="1"/>
  </r>
  <r>
    <s v="853c5b62aeb011174e96f35b54c59aab"/>
    <n v="4883"/>
    <n v="846"/>
    <n v="5.7718676122931445"/>
    <n v="2.9004359860769571E-2"/>
    <s v="Low Engagement"/>
    <n v="195"/>
    <n v="3.9934466516485766E-2"/>
    <n v="1.5424774560987186E-2"/>
    <n v="0.12771239034923443"/>
    <x v="2"/>
    <n v="71"/>
    <n v="12"/>
    <n v="716"/>
    <n v="1453"/>
    <n v="1230"/>
    <n v="3.8854121505720908E-2"/>
    <n v="32980"/>
    <n v="13280"/>
    <n v="19700"/>
    <s v="unknown"/>
    <d v="2017-06-24T00:00:00"/>
    <s v="Has high school and/or college education"/>
    <x v="0"/>
    <x v="2"/>
    <n v="20"/>
    <x v="1"/>
  </r>
  <r>
    <s v="af08ca9b9a3511f2ba84004aafc525ca"/>
    <n v="853"/>
    <n v="148"/>
    <n v="5.7635135135135132"/>
    <n v="2.8962379464892028E-2"/>
    <s v="Low Engagement"/>
    <n v="22"/>
    <n v="2.5791324736225089E-2"/>
    <n v="1.7402309761113748E-3"/>
    <n v="6.6289671693490093E-2"/>
    <x v="3"/>
    <n v="7"/>
    <n v="0"/>
    <n v="27"/>
    <n v="74"/>
    <n v="61"/>
    <n v="4.8844508114832897E-3"/>
    <n v="4146"/>
    <n v="1149"/>
    <n v="2997"/>
    <s v="unknown"/>
    <d v="2020-07-19T00:00:00"/>
    <s v="Has no high school or college education"/>
    <x v="0"/>
    <x v="2"/>
    <n v="21"/>
    <x v="0"/>
  </r>
  <r>
    <s v="6616736cf6e7b84613d47f1fc01588be"/>
    <n v="2699"/>
    <n v="469"/>
    <n v="5.7547974413646052"/>
    <n v="2.8918580107359825E-2"/>
    <s v="Low Engagement"/>
    <n v="76"/>
    <n v="2.8158577250833643E-2"/>
    <n v="6.0117070083847493E-3"/>
    <n v="0.10478922779127124"/>
    <x v="2"/>
    <n v="32"/>
    <n v="0"/>
    <n v="129"/>
    <n v="515"/>
    <n v="527"/>
    <n v="3.49286535597821E-2"/>
    <n v="29648"/>
    <n v="26613"/>
    <n v="3035"/>
    <s v="Netherlands"/>
    <d v="2016-04-15T00:00:00"/>
    <s v="Has no high school or college education"/>
    <x v="0"/>
    <x v="1"/>
    <n v="18"/>
    <x v="1"/>
  </r>
  <r>
    <s v="e44c5663205c908e4c90b2384aa86ba0"/>
    <n v="2940"/>
    <n v="513"/>
    <n v="5.730994152046784"/>
    <n v="2.8798965588174793E-2"/>
    <s v="Low Engagement"/>
    <n v="102"/>
    <n v="3.4693877551020408E-2"/>
    <n v="8.0683436165163748E-3"/>
    <n v="9.9261941174268953E-2"/>
    <x v="2"/>
    <n v="46"/>
    <n v="10"/>
    <n v="206"/>
    <n v="396"/>
    <n v="364"/>
    <n v="2.5527322764886617E-2"/>
    <n v="21668"/>
    <n v="11552"/>
    <n v="10116"/>
    <s v="Austria"/>
    <d v="2018-10-18T00:00:00"/>
    <s v="Has no high school or college education"/>
    <x v="0"/>
    <x v="1"/>
    <n v="20"/>
    <x v="1"/>
  </r>
  <r>
    <s v="450ed0684b2694c2d7032dff6adc56de"/>
    <n v="1925"/>
    <n v="336"/>
    <n v="5.729166666666667"/>
    <n v="2.8789782244556115E-2"/>
    <s v="Low Engagement"/>
    <n v="26"/>
    <n v="1.3506493506493506E-2"/>
    <n v="2.0566366081316246E-3"/>
    <n v="7.4139587059770307E-2"/>
    <x v="3"/>
    <n v="8"/>
    <n v="0"/>
    <n v="22"/>
    <n v="421"/>
    <n v="383"/>
    <n v="1.2446749354394828E-2"/>
    <n v="10565"/>
    <n v="9505"/>
    <n v="1060"/>
    <s v="unknown"/>
    <d v="2020-01-08T00:00:00"/>
    <s v="Has no high school or college education"/>
    <x v="0"/>
    <x v="2"/>
    <n v="24"/>
    <x v="0"/>
  </r>
  <r>
    <s v="19fbe8caeaa5cddb8ceb32dfb0ba4bfa"/>
    <n v="5401"/>
    <n v="944"/>
    <n v="5.7213983050847457"/>
    <n v="2.8750745251682138E-2"/>
    <s v="Low Engagement"/>
    <n v="226"/>
    <n v="4.1844102943899279E-2"/>
    <n v="1.7876918209144124E-2"/>
    <n v="0.17626507226104293"/>
    <x v="1"/>
    <n v="115"/>
    <n v="2"/>
    <n v="457"/>
    <n v="2325"/>
    <n v="2567"/>
    <n v="8.3009745339390401E-2"/>
    <n v="70460"/>
    <n v="54673"/>
    <n v="15787"/>
    <s v="unknown"/>
    <d v="2016-03-18T00:00:00"/>
    <s v="Has high school and/or college education"/>
    <x v="0"/>
    <x v="208"/>
    <n v="20"/>
    <x v="1"/>
  </r>
  <r>
    <s v="a489dd96c6b35daf2e867d0c45627c01"/>
    <n v="3243"/>
    <n v="567"/>
    <n v="5.71957671957672"/>
    <n v="2.8741591555661909E-2"/>
    <s v="Low Engagement"/>
    <n v="457"/>
    <n v="0.14091890225100215"/>
    <n v="3.6149343458313561E-2"/>
    <n v="0.14724501869621354"/>
    <x v="1"/>
    <n v="189"/>
    <n v="64"/>
    <n v="1025"/>
    <n v="2300"/>
    <n v="2168"/>
    <n v="1.7463148668262617E-2"/>
    <n v="14823"/>
    <n v="2231"/>
    <n v="12592"/>
    <s v="unknown"/>
    <d v="2015-09-22T00:00:00"/>
    <s v="Has no high school or college education"/>
    <x v="1"/>
    <x v="2"/>
    <n v="19"/>
    <x v="1"/>
  </r>
  <r>
    <s v="5cf49f6384a8f0479553e17171bbdd53"/>
    <n v="2166"/>
    <n v="379"/>
    <n v="5.7150395778364116"/>
    <n v="2.8718791848424179E-2"/>
    <s v="Low Engagement"/>
    <n v="48"/>
    <n v="2.2160664819944598E-2"/>
    <n v="3.7968675842429997E-3"/>
    <n v="9.1550611621361577E-2"/>
    <x v="2"/>
    <n v="22"/>
    <n v="2"/>
    <n v="129"/>
    <n v="385"/>
    <n v="348"/>
    <n v="2.651929275602722E-2"/>
    <n v="22510"/>
    <n v="16829"/>
    <n v="5681"/>
    <s v="Italy"/>
    <d v="2018-10-12T00:00:00"/>
    <s v="Has no high school or college education"/>
    <x v="0"/>
    <x v="209"/>
    <n v="26"/>
    <x v="0"/>
  </r>
  <r>
    <s v="60e115fdc06f079ab8d666f177130b6c"/>
    <n v="320"/>
    <n v="56"/>
    <n v="5.7142857142857144"/>
    <n v="2.8715003589375451E-2"/>
    <s v="Low Engagement"/>
    <n v="11"/>
    <n v="3.4375000000000003E-2"/>
    <n v="8.7011548805568742E-4"/>
    <n v="6.9485783573421778E-2"/>
    <x v="3"/>
    <n v="2"/>
    <n v="0"/>
    <n v="12"/>
    <n v="199"/>
    <n v="265"/>
    <n v="1.03155454185595E-2"/>
    <n v="8756"/>
    <n v="1204"/>
    <n v="7552"/>
    <s v="Guatemala"/>
    <d v="2019-07-17T00:00:00"/>
    <s v="Has no high school or college education"/>
    <x v="0"/>
    <x v="2"/>
    <n v="45"/>
    <x v="2"/>
  </r>
  <r>
    <s v="476a9a7baee665b179173e5418f21306"/>
    <n v="6153"/>
    <n v="1084"/>
    <n v="5.67619926199262"/>
    <n v="2.8523614381872463E-2"/>
    <s v="Low Engagement"/>
    <n v="158"/>
    <n v="2.5678530797984721E-2"/>
    <n v="1.2498022464799873E-2"/>
    <n v="0.14115973709648505"/>
    <x v="1"/>
    <n v="45"/>
    <n v="25"/>
    <n v="832"/>
    <n v="765"/>
    <n v="988"/>
    <n v="5.9116463403140376E-2"/>
    <n v="50179"/>
    <n v="12018"/>
    <n v="38161"/>
    <s v="Austria"/>
    <d v="2017-07-26T00:00:00"/>
    <s v="Has no high school or college education"/>
    <x v="0"/>
    <x v="27"/>
    <n v="17"/>
    <x v="1"/>
  </r>
  <r>
    <s v="c77a301dc18336dbb3f2932577d8ca53"/>
    <n v="2485"/>
    <n v="438"/>
    <n v="5.6735159817351599"/>
    <n v="2.8510130561483216E-2"/>
    <s v="Low Engagement"/>
    <n v="23"/>
    <n v="9.2555331991951706E-3"/>
    <n v="1.8193323841164373E-3"/>
    <n v="0.10203891872828061"/>
    <x v="2"/>
    <n v="7"/>
    <n v="0"/>
    <n v="36"/>
    <n v="169"/>
    <n v="161"/>
    <n v="4.1379992837081297E-2"/>
    <n v="35124"/>
    <n v="13030"/>
    <n v="22094"/>
    <s v="unknown"/>
    <d v="2015-02-01T00:00:00"/>
    <s v="Has high school and/or college education"/>
    <x v="0"/>
    <x v="2"/>
    <n v="27"/>
    <x v="0"/>
  </r>
  <r>
    <s v="9826b820af65e94b9b7b548bad39f20d"/>
    <n v="385"/>
    <n v="68"/>
    <n v="5.6617647058823533"/>
    <n v="2.8451078924031925E-2"/>
    <s v="Low Engagement"/>
    <n v="9"/>
    <n v="2.3376623376623377E-2"/>
    <n v="7.1191267204556241E-4"/>
    <n v="6.0836539072345736E-2"/>
    <x v="3"/>
    <n v="2"/>
    <n v="0"/>
    <n v="11"/>
    <n v="179"/>
    <n v="151"/>
    <n v="2.5105558801907599E-3"/>
    <n v="2131"/>
    <n v="1155"/>
    <n v="976"/>
    <s v="Canada"/>
    <d v="2019-03-30T00:00:00"/>
    <s v="Has no high school or college education"/>
    <x v="0"/>
    <x v="210"/>
    <n v="23"/>
    <x v="0"/>
  </r>
  <r>
    <s v="27e24f05a90cf4420e69591326f250e7"/>
    <n v="593"/>
    <n v="105"/>
    <n v="5.647619047619048"/>
    <n v="2.8379995214166072E-2"/>
    <s v="Low Engagement"/>
    <n v="21"/>
    <n v="3.5413153456998317E-2"/>
    <n v="1.6611295681063123E-3"/>
    <n v="7.7646715832852625E-2"/>
    <x v="2"/>
    <n v="4"/>
    <n v="3"/>
    <n v="18"/>
    <n v="118"/>
    <n v="69"/>
    <n v="1.7564466268307856E-2"/>
    <n v="14909"/>
    <n v="7247"/>
    <n v="7662"/>
    <s v="USA"/>
    <d v="2020-10-24T00:00:00"/>
    <s v="Has no high school or college education"/>
    <x v="0"/>
    <x v="2"/>
    <n v="21"/>
    <x v="0"/>
  </r>
  <r>
    <s v="7bbf9072ff1e977d146f64ea52e722c2"/>
    <n v="1985"/>
    <n v="352"/>
    <n v="5.6392045454545459"/>
    <n v="2.8337711283691187E-2"/>
    <s v="Low Engagement"/>
    <n v="202"/>
    <n v="0.1017632241813602"/>
    <n v="1.5978484417022622E-2"/>
    <n v="0.11872725294974903"/>
    <x v="2"/>
    <n v="79"/>
    <n v="24"/>
    <n v="460"/>
    <n v="541"/>
    <n v="559"/>
    <n v="3.0094861548321427E-2"/>
    <n v="25545"/>
    <n v="11326"/>
    <n v="14219"/>
    <s v="unknown"/>
    <d v="2018-12-20T00:00:00"/>
    <s v="Has no high school or college education"/>
    <x v="0"/>
    <x v="2"/>
    <n v="29"/>
    <x v="0"/>
  </r>
  <r>
    <s v="cc0cd04c3cdc25117d15d8735481d8c9"/>
    <n v="2006"/>
    <n v="356"/>
    <n v="5.6348314606741576"/>
    <n v="2.8315735983287224E-2"/>
    <s v="Low Engagement"/>
    <n v="86"/>
    <n v="4.2871385842472583E-2"/>
    <n v="6.8027210884353739E-3"/>
    <n v="9.565349441525911E-2"/>
    <x v="2"/>
    <n v="42"/>
    <n v="1"/>
    <n v="114"/>
    <n v="620"/>
    <n v="818"/>
    <n v="2.5416580271813916E-2"/>
    <n v="21574"/>
    <n v="21223"/>
    <n v="351"/>
    <s v="France"/>
    <d v="2018-09-07T00:00:00"/>
    <s v="Has no high school or college education"/>
    <x v="0"/>
    <x v="2"/>
    <n v="23"/>
    <x v="0"/>
  </r>
  <r>
    <s v="471e4a61e8e28e3f984e09c0d38790f7"/>
    <n v="1737"/>
    <n v="309"/>
    <n v="5.6213592233009706"/>
    <n v="2.8248036297994827E-2"/>
    <s v="Low Engagement"/>
    <n v="61"/>
    <n v="3.5118019573978122E-2"/>
    <n v="4.825185888308812E-3"/>
    <n v="8.3743897766511255E-2"/>
    <x v="2"/>
    <n v="12"/>
    <n v="21"/>
    <n v="375"/>
    <n v="512"/>
    <n v="621"/>
    <n v="1.7597453393903978E-2"/>
    <n v="14937"/>
    <n v="7785"/>
    <n v="7152"/>
    <s v="unknown"/>
    <d v="2019-05-23T00:00:00"/>
    <s v="Has no high school or college education"/>
    <x v="0"/>
    <x v="211"/>
    <n v="23"/>
    <x v="0"/>
  </r>
  <r>
    <s v="3eb3480f2bdf464f029e05c11ab5a231"/>
    <n v="6152"/>
    <n v="1101"/>
    <n v="5.5876475930971843"/>
    <n v="2.807863112109138E-2"/>
    <s v="Low Engagement"/>
    <n v="94"/>
    <n v="1.5279583875162549E-2"/>
    <n v="7.4355323524758739E-3"/>
    <n v="0.10041632151839613"/>
    <x v="2"/>
    <n v="46"/>
    <n v="13"/>
    <n v="169"/>
    <n v="334"/>
    <n v="306"/>
    <n v="2.9387994571261615E-2"/>
    <n v="24945"/>
    <n v="5448"/>
    <n v="19497"/>
    <s v="USA"/>
    <d v="2013-09-25T00:00:00"/>
    <s v="Has high school and/or college education"/>
    <x v="0"/>
    <x v="2"/>
    <n v="38"/>
    <x v="3"/>
  </r>
  <r>
    <s v="f859f4d10a9830a1ef6ac01499cecc61"/>
    <n v="4396"/>
    <n v="789"/>
    <n v="5.5716096324461342"/>
    <n v="2.7998038354000675E-2"/>
    <s v="Low Engagement"/>
    <n v="38"/>
    <n v="8.6442220200181989E-3"/>
    <n v="3.0058535041923747E-3"/>
    <n v="0.20845412780038075"/>
    <x v="1"/>
    <n v="19"/>
    <n v="3"/>
    <n v="142"/>
    <n v="88"/>
    <n v="98"/>
    <n v="0.14644634408399465"/>
    <n v="124306"/>
    <n v="38666"/>
    <n v="85640"/>
    <s v="unknown"/>
    <d v="2018-04-30T00:00:00"/>
    <s v="Has no high school or college education"/>
    <x v="0"/>
    <x v="2"/>
    <n v="25"/>
    <x v="0"/>
  </r>
  <r>
    <s v="50cab907936c89a83f722cc998340a05"/>
    <n v="851"/>
    <n v="153"/>
    <n v="5.5620915032679736"/>
    <n v="2.7950208559135548E-2"/>
    <s v="Low Engagement"/>
    <n v="22"/>
    <n v="2.5851938895417155E-2"/>
    <n v="1.7402309761113748E-3"/>
    <n v="8.9759665521267629E-2"/>
    <x v="2"/>
    <n v="8"/>
    <n v="0"/>
    <n v="28"/>
    <n v="120"/>
    <n v="80"/>
    <n v="3.0378786450773784E-2"/>
    <n v="25786"/>
    <n v="2093"/>
    <n v="23693"/>
    <s v="Czechia"/>
    <d v="2020-10-01T00:00:00"/>
    <s v="Has no high school or college education"/>
    <x v="0"/>
    <x v="17"/>
    <n v="26"/>
    <x v="0"/>
  </r>
  <r>
    <s v="311445c2c71471195e7f2e2599b75e79"/>
    <n v="211"/>
    <n v="38"/>
    <n v="5.5526315789473681"/>
    <n v="2.7902671250991801E-2"/>
    <s v="Low Engagement"/>
    <n v="18"/>
    <n v="8.5308056872037921E-2"/>
    <n v="1.4238253440911248E-3"/>
    <n v="7.57709551512976E-2"/>
    <x v="2"/>
    <n v="14"/>
    <n v="1"/>
    <n v="31"/>
    <n v="32"/>
    <n v="29"/>
    <n v="1.7117961961131741E-2"/>
    <n v="14530"/>
    <n v="11636"/>
    <n v="2894"/>
    <s v="Germany"/>
    <d v="2021-03-02T00:00:00"/>
    <s v="Has no high school or college education"/>
    <x v="0"/>
    <x v="2"/>
    <n v="24"/>
    <x v="0"/>
  </r>
  <r>
    <s v="175725c8236a6514c4afb606b5fb50c2"/>
    <n v="3006"/>
    <n v="543"/>
    <n v="5.5359116022099446"/>
    <n v="2.7818651267386658E-2"/>
    <s v="Low Engagement"/>
    <n v="237"/>
    <n v="7.8842315369261479E-2"/>
    <n v="1.8747033697199812E-2"/>
    <n v="0.14073297027600901"/>
    <x v="1"/>
    <n v="105"/>
    <n v="17"/>
    <n v="306"/>
    <n v="1106"/>
    <n v="771"/>
    <n v="4.7601600346836061E-2"/>
    <n v="40405"/>
    <n v="33391"/>
    <n v="7014"/>
    <s v="USA"/>
    <d v="2014-09-08T00:00:00"/>
    <s v="Has no high school or college education"/>
    <x v="0"/>
    <x v="212"/>
    <n v="18"/>
    <x v="1"/>
  </r>
  <r>
    <s v="76c4f851b3eff5a12c405795981c86fd"/>
    <n v="4312"/>
    <n v="779"/>
    <n v="5.535301668806162"/>
    <n v="2.7815586275407849E-2"/>
    <s v="Low Engagement"/>
    <n v="107"/>
    <n v="2.481447124304267E-2"/>
    <n v="8.4638506565416858E-3"/>
    <n v="0.14159385906681704"/>
    <x v="1"/>
    <n v="56"/>
    <n v="8"/>
    <n v="706"/>
    <n v="382"/>
    <n v="324"/>
    <n v="6.9034985202917953E-2"/>
    <n v="58598"/>
    <n v="25303"/>
    <n v="33295"/>
    <s v="unknown"/>
    <d v="2016-03-16T00:00:00"/>
    <s v="Has high school and/or college education"/>
    <x v="0"/>
    <x v="2"/>
    <n v="18"/>
    <x v="1"/>
  </r>
  <r>
    <s v="12f3fad3d3307e75c646ae12493d5b44"/>
    <n v="6096"/>
    <n v="1103"/>
    <n v="5.5267452402538533"/>
    <n v="2.7772589147004288E-2"/>
    <s v="Low Engagement"/>
    <n v="314"/>
    <n v="5.1509186351706038E-2"/>
    <n v="2.4837842113589623E-2"/>
    <n v="0.16280931514225055"/>
    <x v="1"/>
    <n v="128"/>
    <n v="55"/>
    <n v="1807"/>
    <n v="284"/>
    <n v="268"/>
    <n v="5.7588452621062748E-2"/>
    <n v="48882"/>
    <n v="39514"/>
    <n v="9368"/>
    <s v="unknown"/>
    <d v="2013-12-01T00:00:00"/>
    <s v="Has high school and/or college education"/>
    <x v="0"/>
    <x v="213"/>
    <n v="20"/>
    <x v="1"/>
  </r>
  <r>
    <s v="2cf6fbeb57f8ebd0eb09ab3332cbf587"/>
    <n v="1556"/>
    <n v="282"/>
    <n v="5.5177304964539005"/>
    <n v="2.7727288926904022E-2"/>
    <s v="Low Engagement"/>
    <n v="12"/>
    <n v="7.7120822622107968E-3"/>
    <n v="9.4921689606074992E-4"/>
    <n v="9.7842352091915483E-2"/>
    <x v="2"/>
    <n v="6"/>
    <n v="0"/>
    <n v="23"/>
    <n v="25"/>
    <n v="29"/>
    <n v="4.0489340445985941E-2"/>
    <n v="34368"/>
    <n v="2080"/>
    <n v="32288"/>
    <s v="USA"/>
    <d v="2020-03-17T00:00:00"/>
    <s v="Has no high school or college education"/>
    <x v="0"/>
    <x v="2"/>
    <n v="18"/>
    <x v="1"/>
  </r>
  <r>
    <s v="69e66b7860ea5b684558207a04753621"/>
    <n v="22"/>
    <n v="4"/>
    <n v="5.5"/>
    <n v="2.7638190954773871E-2"/>
    <s v="Low Engagement"/>
    <n v="50"/>
    <n v="2.2727272727272729"/>
    <n v="3.9550704002531247E-3"/>
    <n v="6.3484584952047549E-2"/>
    <x v="3"/>
    <n v="12"/>
    <n v="0"/>
    <n v="2"/>
    <n v="288"/>
    <n v="243"/>
    <n v="2.9806224199355338E-4"/>
    <n v="253"/>
    <n v="240"/>
    <n v="13"/>
    <s v="Germany"/>
    <d v="2021-04-11T00:00:00"/>
    <s v="Has no high school or college education"/>
    <x v="0"/>
    <x v="2"/>
    <n v="19"/>
    <x v="1"/>
  </r>
  <r>
    <s v="e4c11cb3d0b4916955620087422878a5"/>
    <n v="3650"/>
    <n v="677"/>
    <n v="5.3914327917282128"/>
    <n v="2.7092627094111622E-2"/>
    <s v="Low Engagement"/>
    <n v="55"/>
    <n v="1.5068493150684932E-2"/>
    <n v="4.3505774402784365E-3"/>
    <n v="0.20642635176543048"/>
    <x v="1"/>
    <n v="30"/>
    <n v="2"/>
    <n v="75"/>
    <n v="215"/>
    <n v="182"/>
    <n v="0.14353994269665038"/>
    <n v="121839"/>
    <n v="57582"/>
    <n v="64257"/>
    <s v="unknown"/>
    <d v="2014-09-25T00:00:00"/>
    <s v="Has high school and/or college education"/>
    <x v="0"/>
    <x v="2"/>
    <n v="22"/>
    <x v="0"/>
  </r>
  <r>
    <s v="3fe4938e43c8373cf8415d3f6994b13d"/>
    <n v="5836"/>
    <n v="1086"/>
    <n v="5.3738489871086559"/>
    <n v="2.7004266266877668E-2"/>
    <s v="Low Engagement"/>
    <n v="90"/>
    <n v="1.5421521590130226E-2"/>
    <n v="7.1191267204556239E-3"/>
    <n v="0.11528407085148322"/>
    <x v="2"/>
    <n v="31"/>
    <n v="0"/>
    <n v="263"/>
    <n v="734"/>
    <n v="565"/>
    <n v="4.7037284876816646E-2"/>
    <n v="39926"/>
    <n v="12507"/>
    <n v="27419"/>
    <s v="unknown"/>
    <d v="2017-10-05T00:00:00"/>
    <s v="Has no high school or college education"/>
    <x v="0"/>
    <x v="2"/>
    <n v="18"/>
    <x v="1"/>
  </r>
  <r>
    <s v="60a5335f19451f41584ee38801edc050"/>
    <n v="1029"/>
    <n v="192"/>
    <n v="5.359375"/>
    <n v="2.6931532663316583E-2"/>
    <s v="Low Engagement"/>
    <n v="10"/>
    <n v="9.7181729834791061E-3"/>
    <n v="7.9101408005062491E-4"/>
    <n v="6.919129996729087E-2"/>
    <x v="3"/>
    <n v="5"/>
    <n v="1"/>
    <n v="33"/>
    <n v="254"/>
    <n v="185"/>
    <n v="1.3746206480556446E-2"/>
    <n v="11668"/>
    <n v="9122"/>
    <n v="2546"/>
    <s v="Germany"/>
    <d v="2020-06-06T00:00:00"/>
    <s v="Has no high school or college education"/>
    <x v="0"/>
    <x v="214"/>
    <n v="26"/>
    <x v="0"/>
  </r>
  <r>
    <s v="45a3d3346765ce9db72d5d0898e4675d"/>
    <n v="1851"/>
    <n v="346"/>
    <n v="5.3497109826589595"/>
    <n v="2.6882969762105323E-2"/>
    <s v="Low Engagement"/>
    <n v="38"/>
    <n v="2.0529443544030253E-2"/>
    <n v="3.0058535041923747E-3"/>
    <n v="6.6342084526224171E-2"/>
    <x v="3"/>
    <n v="18"/>
    <n v="0"/>
    <n v="67"/>
    <n v="166"/>
    <n v="121"/>
    <n v="6.5644379936287724E-3"/>
    <n v="5572"/>
    <n v="2257"/>
    <n v="3315"/>
    <s v="USA"/>
    <d v="2013-07-24T00:00:00"/>
    <s v="Has no high school or college education"/>
    <x v="0"/>
    <x v="2"/>
    <n v="34"/>
    <x v="3"/>
  </r>
  <r>
    <s v="5d22d10ac7d2d66e6586b5d46899376e"/>
    <n v="1916"/>
    <n v="359"/>
    <n v="5.3370473537604459"/>
    <n v="2.681933343598214E-2"/>
    <s v="Low Engagement"/>
    <n v="24"/>
    <n v="1.2526096033402923E-2"/>
    <n v="1.8984337921214998E-3"/>
    <n v="7.221258861164262E-2"/>
    <x v="3"/>
    <n v="3"/>
    <n v="7"/>
    <n v="86"/>
    <n v="110"/>
    <n v="107"/>
    <n v="1.4777054155435336E-2"/>
    <n v="12543"/>
    <n v="4101"/>
    <n v="8442"/>
    <s v="unknown"/>
    <d v="2019-11-28T00:00:00"/>
    <s v="Has no high school or college education"/>
    <x v="0"/>
    <x v="2"/>
    <n v="26"/>
    <x v="0"/>
  </r>
  <r>
    <s v="03846287ef12001853246f9433fbf143"/>
    <n v="1841"/>
    <n v="345"/>
    <n v="5.3362318840579714"/>
    <n v="2.6815235598281265E-2"/>
    <s v="Low Engagement"/>
    <n v="65"/>
    <n v="3.5306898424769147E-2"/>
    <n v="5.141591520329062E-3"/>
    <n v="7.2833137376087015E-2"/>
    <x v="3"/>
    <n v="28"/>
    <n v="0"/>
    <n v="51"/>
    <n v="286"/>
    <n v="196"/>
    <n v="8.9194831388663739E-3"/>
    <n v="7571"/>
    <n v="4485"/>
    <n v="3086"/>
    <s v="USA"/>
    <d v="2019-09-01T00:00:00"/>
    <s v="Has no high school or college education"/>
    <x v="0"/>
    <x v="215"/>
    <n v="20"/>
    <x v="1"/>
  </r>
  <r>
    <s v="b4e6d6a79b772f28ef4ee5a18da94a47"/>
    <n v="256"/>
    <n v="48"/>
    <n v="5.333333333333333"/>
    <n v="2.6800670016750416E-2"/>
    <s v="Low Engagement"/>
    <n v="7"/>
    <n v="2.734375E-2"/>
    <n v="5.5370985603543741E-4"/>
    <n v="6.2298154855937204E-2"/>
    <x v="3"/>
    <n v="3"/>
    <n v="1"/>
    <n v="15"/>
    <n v="11"/>
    <n v="11"/>
    <n v="7.5893951103654976E-3"/>
    <n v="6442"/>
    <n v="1250"/>
    <n v="5192"/>
    <s v="unknown"/>
    <d v="2019-08-28T00:00:00"/>
    <s v="Has no high school or college education"/>
    <x v="0"/>
    <x v="2"/>
    <n v="28"/>
    <x v="0"/>
  </r>
  <r>
    <s v="76626af9ffddca2af56b0b918fbb64a6"/>
    <n v="483"/>
    <n v="91"/>
    <n v="5.3076923076923075"/>
    <n v="2.6671820641669886E-2"/>
    <s v="Low Engagement"/>
    <n v="25"/>
    <n v="5.1759834368530024E-2"/>
    <n v="1.9775352001265623E-3"/>
    <n v="6.5305158310423689E-2"/>
    <x v="3"/>
    <n v="1"/>
    <n v="3"/>
    <n v="56"/>
    <n v="298"/>
    <n v="235"/>
    <n v="8.0064466268307856E-3"/>
    <n v="6796"/>
    <n v="1110"/>
    <n v="5686"/>
    <s v="unknown"/>
    <d v="2020-10-17T00:00:00"/>
    <s v="Has no high school or college education"/>
    <x v="0"/>
    <x v="2"/>
    <n v="21"/>
    <x v="0"/>
  </r>
  <r>
    <s v="034b3aa648f3c446751ed35583cba991"/>
    <n v="1824"/>
    <n v="344"/>
    <n v="5.3023255813953485"/>
    <n v="2.664485216781582E-2"/>
    <s v="Low Engagement"/>
    <n v="129"/>
    <n v="7.0723684210526314E-2"/>
    <n v="1.020408163265306E-2"/>
    <n v="0.10172043079484551"/>
    <x v="2"/>
    <n v="60"/>
    <n v="9"/>
    <n v="316"/>
    <n v="1277"/>
    <n v="927"/>
    <n v="2.8022563193907748E-2"/>
    <n v="23786"/>
    <n v="10163"/>
    <n v="13623"/>
    <s v="USA"/>
    <d v="2020-01-02T00:00:00"/>
    <s v="Has no high school or college education"/>
    <x v="0"/>
    <x v="58"/>
    <n v="28"/>
    <x v="0"/>
  </r>
  <r>
    <s v="3b56a7c20ee07e6c472f3b021e76e244"/>
    <n v="74"/>
    <n v="14"/>
    <n v="5.2857142857142856"/>
    <n v="2.6561378320172288E-2"/>
    <s v="Low Engagement"/>
    <n v="1"/>
    <n v="1.3513513513513514E-2"/>
    <n v="7.9101408005062489E-5"/>
    <n v="5.45262234476084E-2"/>
    <x v="3"/>
    <n v="0"/>
    <n v="0"/>
    <n v="0"/>
    <n v="5"/>
    <n v="0"/>
    <n v="1.2452639912536993E-3"/>
    <n v="1057"/>
    <n v="1037"/>
    <n v="20"/>
    <s v="India"/>
    <d v="2020-10-04T00:00:00"/>
    <s v="Has no high school or college education"/>
    <x v="0"/>
    <x v="2"/>
    <n v="18"/>
    <x v="1"/>
  </r>
  <r>
    <s v="a058e4c7a0102bceaf4e893863b8e3c0"/>
    <n v="6695"/>
    <n v="1271"/>
    <n v="5.2675059008654603"/>
    <n v="2.6469878898821408E-2"/>
    <s v="Low Engagement"/>
    <n v="699"/>
    <n v="0.10440627333831218"/>
    <n v="5.5291884195538682E-2"/>
    <n v="0.2614729050882697"/>
    <x v="1"/>
    <n v="277"/>
    <n v="180"/>
    <n v="2754"/>
    <n v="1105"/>
    <n v="1352"/>
    <n v="9.7949378899549494E-2"/>
    <n v="83141"/>
    <n v="80651"/>
    <n v="2490"/>
    <s v="unknown"/>
    <d v="2015-07-08T00:00:00"/>
    <s v="Has high school and/or college education"/>
    <x v="0"/>
    <x v="2"/>
    <n v="26"/>
    <x v="0"/>
  </r>
  <r>
    <s v="c7fe44d056147151b80e07a4b01db8a7"/>
    <n v="655"/>
    <n v="125"/>
    <n v="5.24"/>
    <n v="2.6331658291457286E-2"/>
    <s v="Low Engagement"/>
    <n v="12"/>
    <n v="1.8320610687022901E-2"/>
    <n v="9.4921689606074992E-4"/>
    <n v="7.9998358544533341E-2"/>
    <x v="2"/>
    <n v="3"/>
    <n v="1"/>
    <n v="13"/>
    <n v="101"/>
    <n v="95"/>
    <n v="2.5436608169497277E-2"/>
    <n v="21591"/>
    <n v="3291"/>
    <n v="18300"/>
    <s v="unknown"/>
    <d v="2018-12-30T00:00:00"/>
    <s v="Has no high school or college education"/>
    <x v="0"/>
    <x v="2"/>
    <n v="23"/>
    <x v="0"/>
  </r>
  <r>
    <s v="3788180af7bc17e750105b703a7a145f"/>
    <n v="2582"/>
    <n v="495"/>
    <n v="5.2161616161616164"/>
    <n v="2.6211867417897571E-2"/>
    <s v="Low Engagement"/>
    <n v="127"/>
    <n v="4.9186676994577849E-2"/>
    <n v="1.0045878816642937E-2"/>
    <n v="0.11186206463548692"/>
    <x v="2"/>
    <n v="45"/>
    <n v="0"/>
    <n v="84"/>
    <n v="1177"/>
    <n v="903"/>
    <n v="3.9346572166405913E-2"/>
    <n v="33398"/>
    <n v="15211"/>
    <n v="18187"/>
    <s v="Morocco"/>
    <d v="2014-09-15T00:00:00"/>
    <s v="Has high school and/or college education"/>
    <x v="0"/>
    <x v="2"/>
    <n v="20"/>
    <x v="1"/>
  </r>
  <r>
    <s v="f332772c283a67966ac34a3828d4e764"/>
    <n v="161"/>
    <n v="31"/>
    <n v="5.193548387096774"/>
    <n v="2.6098233100988813E-2"/>
    <s v="Low Engagement"/>
    <n v="28"/>
    <n v="0.17391304347826086"/>
    <n v="2.2148394241417496E-3"/>
    <n v="5.8504054985983357E-2"/>
    <x v="3"/>
    <n v="5"/>
    <n v="7"/>
    <n v="22"/>
    <n v="146"/>
    <n v="161"/>
    <n v="1.8779099357222296E-3"/>
    <n v="1594"/>
    <n v="46"/>
    <n v="1548"/>
    <s v="Ukraine"/>
    <d v="2020-10-14T00:00:00"/>
    <s v="Has no high school or college education"/>
    <x v="0"/>
    <x v="3"/>
    <n v="30"/>
    <x v="0"/>
  </r>
  <r>
    <s v="414b329459461c8fa00fe0411c3ac711"/>
    <n v="1597"/>
    <n v="308"/>
    <n v="5.1850649350649354"/>
    <n v="2.6055602688768519E-2"/>
    <s v="Low Engagement"/>
    <n v="84"/>
    <n v="5.2598622417031934E-2"/>
    <n v="6.6445182724252493E-3"/>
    <n v="7.4570662838110147E-2"/>
    <x v="3"/>
    <n v="29"/>
    <n v="0"/>
    <n v="113"/>
    <n v="436"/>
    <n v="339"/>
    <n v="9.1704209157226057E-3"/>
    <n v="7784"/>
    <n v="4361"/>
    <n v="3423"/>
    <s v="unknown"/>
    <d v="2020-01-09T00:00:00"/>
    <s v="Has no high school or college education"/>
    <x v="0"/>
    <x v="2"/>
    <n v="19"/>
    <x v="1"/>
  </r>
  <r>
    <s v="7c20677e7046d3953bcd2f7bbc2e8ee5"/>
    <n v="5053"/>
    <n v="975"/>
    <n v="5.1825641025641023"/>
    <n v="2.6043035691276896E-2"/>
    <s v="Low Engagement"/>
    <n v="54"/>
    <n v="1.0686720759944587E-2"/>
    <n v="4.2714760322733747E-3"/>
    <n v="0.17765556394586587"/>
    <x v="1"/>
    <n v="14"/>
    <n v="12"/>
    <n v="662"/>
    <n v="143"/>
    <n v="173"/>
    <n v="0.11702654049876533"/>
    <n v="99334"/>
    <n v="18947"/>
    <n v="80387"/>
    <s v="unknown"/>
    <d v="2016-11-18T00:00:00"/>
    <s v="Has high school and/or college education"/>
    <x v="0"/>
    <x v="2"/>
    <n v="18"/>
    <x v="1"/>
  </r>
  <r>
    <s v="4082b3a9434f214f76ceca29ccfbdf00"/>
    <n v="1677"/>
    <n v="324"/>
    <n v="5.1759259259259256"/>
    <n v="2.6009678019728269E-2"/>
    <s v="Low Engagement"/>
    <n v="155"/>
    <n v="9.2426952892069175E-2"/>
    <n v="1.2260718240784686E-2"/>
    <n v="0.10726005323241684"/>
    <x v="2"/>
    <n v="45"/>
    <n v="23"/>
    <n v="136"/>
    <n v="1779"/>
    <n v="1409"/>
    <n v="3.0719260711390927E-2"/>
    <n v="26075"/>
    <n v="18964"/>
    <n v="7111"/>
    <s v="USA"/>
    <d v="2019-09-11T00:00:00"/>
    <s v="Has no high school or college education"/>
    <x v="0"/>
    <x v="216"/>
    <n v="27"/>
    <x v="0"/>
  </r>
  <r>
    <s v="9e242c7752480dd0cbd000a74c03a270"/>
    <n v="2064"/>
    <n v="400"/>
    <n v="5.16"/>
    <n v="2.592964824120603E-2"/>
    <s v="Low Engagement"/>
    <n v="237"/>
    <n v="0.11482558139534883"/>
    <n v="1.8747033697199812E-2"/>
    <n v="0.10090710461685429"/>
    <x v="2"/>
    <n v="65"/>
    <n v="26"/>
    <n v="565"/>
    <n v="1082"/>
    <n v="1328"/>
    <n v="1.15537407400426E-2"/>
    <n v="9807"/>
    <n v="929"/>
    <n v="8878"/>
    <s v="New Zealand"/>
    <d v="2014-06-25T00:00:00"/>
    <s v="Has high school and/or college education"/>
    <x v="1"/>
    <x v="2"/>
    <n v="17"/>
    <x v="1"/>
  </r>
  <r>
    <s v="262a31096b7d54772b4b18f685b5de53"/>
    <n v="3617"/>
    <n v="701"/>
    <n v="5.1597717546362336"/>
    <n v="2.5928501279579064E-2"/>
    <s v="Low Engagement"/>
    <n v="268"/>
    <n v="7.4094553497373511E-2"/>
    <n v="2.1199177345356746E-2"/>
    <n v="0.1451650950493476"/>
    <x v="1"/>
    <n v="119"/>
    <n v="8"/>
    <n v="339"/>
    <n v="934"/>
    <n v="737"/>
    <n v="5.0909737799475975E-2"/>
    <n v="43213"/>
    <n v="10991"/>
    <n v="32222"/>
    <s v="USA"/>
    <d v="2014-07-15T00:00:00"/>
    <s v="Has high school and/or college education"/>
    <x v="0"/>
    <x v="2"/>
    <n v="22"/>
    <x v="0"/>
  </r>
  <r>
    <s v="00ff275ea954e6564836e1375c31ce25"/>
    <n v="1856"/>
    <n v="360"/>
    <n v="5.1555555555555559"/>
    <n v="2.5907314349525406E-2"/>
    <s v="Low Engagement"/>
    <n v="114"/>
    <n v="6.1422413793103446E-2"/>
    <n v="9.017560512577124E-3"/>
    <n v="0.10103200830557016"/>
    <x v="2"/>
    <n v="18"/>
    <n v="4"/>
    <n v="503"/>
    <n v="1316"/>
    <n v="1305"/>
    <n v="3.1182258581365103E-2"/>
    <n v="26468"/>
    <n v="20914"/>
    <n v="5554"/>
    <s v="Ireland"/>
    <d v="2019-12-16T00:00:00"/>
    <s v="Has no high school or college education"/>
    <x v="0"/>
    <x v="2"/>
    <n v="19"/>
    <x v="1"/>
  </r>
  <r>
    <s v="8109caa67dead6bacfaa57e592809ff2"/>
    <n v="659"/>
    <n v="129"/>
    <n v="5.1085271317829459"/>
    <n v="2.5670990611974604E-2"/>
    <s v="Low Engagement"/>
    <n v="5"/>
    <n v="7.5872534142640367E-3"/>
    <n v="3.9550704002531246E-4"/>
    <n v="7.9916401837335685E-2"/>
    <x v="2"/>
    <n v="1"/>
    <n v="0"/>
    <n v="6"/>
    <n v="117"/>
    <n v="131"/>
    <n v="2.7783406533335848E-2"/>
    <n v="23583"/>
    <n v="410"/>
    <n v="23173"/>
    <s v="unknown"/>
    <d v="2018-08-08T00:00:00"/>
    <s v="Has no high school or college education"/>
    <x v="0"/>
    <x v="2"/>
    <n v="39"/>
    <x v="3"/>
  </r>
  <r>
    <s v="ec8e335c7f9c46f2719b4e95276b9213"/>
    <n v="1073"/>
    <n v="212"/>
    <n v="5.0613207547169807"/>
    <n v="2.5433772636768746E-2"/>
    <s v="Low Engagement"/>
    <n v="5"/>
    <n v="4.6598322460391422E-3"/>
    <n v="3.9550704002531246E-4"/>
    <n v="5.905945660340433E-2"/>
    <x v="3"/>
    <n v="2"/>
    <n v="0"/>
    <n v="12"/>
    <n v="14"/>
    <n v="6"/>
    <n v="7.4008972498162146E-3"/>
    <n v="6282"/>
    <n v="2258"/>
    <n v="4024"/>
    <s v="Germany"/>
    <d v="2014-06-22T00:00:00"/>
    <s v="Has high school and/or college education"/>
    <x v="0"/>
    <x v="2"/>
    <n v="20"/>
    <x v="1"/>
  </r>
  <r>
    <s v="2a589b48b66eed314ea98672852d33de"/>
    <n v="558"/>
    <n v="111"/>
    <n v="5.0270270270270272"/>
    <n v="2.5261442346869483E-2"/>
    <s v="Low Engagement"/>
    <n v="31"/>
    <n v="5.5555555555555552E-2"/>
    <n v="2.4521436481569374E-3"/>
    <n v="7.0494041606082691E-2"/>
    <x v="3"/>
    <n v="10"/>
    <n v="13"/>
    <n v="167"/>
    <n v="48"/>
    <n v="73"/>
    <n v="1.5066869616029857E-2"/>
    <n v="12789"/>
    <n v="10443"/>
    <n v="2346"/>
    <s v="New Zealand"/>
    <d v="2019-06-09T00:00:00"/>
    <s v="Has no high school or college education"/>
    <x v="0"/>
    <x v="2"/>
    <n v="22"/>
    <x v="0"/>
  </r>
  <r>
    <s v="048c5c3f3b4ca47ed938d2498c1b2ed4"/>
    <n v="5"/>
    <n v="1"/>
    <n v="5"/>
    <n v="2.5125628140703519E-2"/>
    <s v="Low Engagement"/>
    <n v="40"/>
    <n v="8"/>
    <n v="3.1640563202024997E-3"/>
    <n v="5.6579368921812034E-2"/>
    <x v="3"/>
    <n v="25"/>
    <n v="2"/>
    <n v="0"/>
    <n v="182"/>
    <n v="139"/>
    <n v="0"/>
    <n v="0"/>
    <n v="0"/>
    <n v="0"/>
    <s v="Japan"/>
    <d v="2021-04-13T00:00:00"/>
    <s v="Has no high school or college education"/>
    <x v="0"/>
    <x v="178"/>
    <n v="30"/>
    <x v="0"/>
  </r>
  <r>
    <s v="6d172ab71f6eeef43aa3ab44c4d62370"/>
    <n v="877"/>
    <n v="176"/>
    <n v="4.9829545454545459"/>
    <n v="2.503997259022385E-2"/>
    <s v="Low Engagement"/>
    <n v="4"/>
    <n v="4.5610034207525657E-3"/>
    <n v="3.1640563202024995E-4"/>
    <n v="6.7639864321813792E-2"/>
    <x v="3"/>
    <n v="3"/>
    <n v="0"/>
    <n v="16"/>
    <n v="7"/>
    <n v="4"/>
    <n v="1.6927107877325591E-2"/>
    <n v="14368"/>
    <n v="6026"/>
    <n v="8342"/>
    <s v="United Kingdom"/>
    <d v="2020-02-29T00:00:00"/>
    <s v="Has no high school or college education"/>
    <x v="0"/>
    <x v="2"/>
    <n v="23"/>
    <x v="0"/>
  </r>
  <r>
    <s v="9a655bfaf59c5924c2e67390b29e8a41"/>
    <n v="2353"/>
    <n v="473"/>
    <n v="4.9746300211416488"/>
    <n v="2.4998140809757027E-2"/>
    <s v="Low Engagement"/>
    <n v="35"/>
    <n v="1.4874628134296642E-2"/>
    <n v="2.7685492801771874E-3"/>
    <n v="8.51228318395921E-2"/>
    <x v="2"/>
    <n v="8"/>
    <n v="3"/>
    <n v="232"/>
    <n v="200"/>
    <n v="270"/>
    <n v="2.9589451659723664E-2"/>
    <n v="25116"/>
    <n v="14302"/>
    <n v="10814"/>
    <s v="Germany"/>
    <d v="2019-05-26T00:00:00"/>
    <s v="Has no high school or college education"/>
    <x v="0"/>
    <x v="2"/>
    <n v="20"/>
    <x v="1"/>
  </r>
  <r>
    <s v="5f15003301cf2623858e446206561632"/>
    <n v="4219"/>
    <n v="858"/>
    <n v="4.9172494172494172"/>
    <n v="2.4709796066579987E-2"/>
    <s v="Low Engagement"/>
    <n v="250"/>
    <n v="5.9255747807537333E-2"/>
    <n v="1.9775352001265623E-2"/>
    <n v="0.13137171175462395"/>
    <x v="2"/>
    <n v="86"/>
    <n v="0"/>
    <n v="268"/>
    <n v="4303"/>
    <n v="3523"/>
    <n v="4.2401415618932722E-2"/>
    <n v="35991"/>
    <n v="28238"/>
    <n v="7753"/>
    <s v="Australia"/>
    <d v="2017-06-01T00:00:00"/>
    <s v="Has high school and/or college education"/>
    <x v="0"/>
    <x v="3"/>
    <n v="20"/>
    <x v="1"/>
  </r>
  <r>
    <s v="54760c829616a6ad6d0a347e88e9aeb4"/>
    <n v="644"/>
    <n v="131"/>
    <n v="4.9160305343511448"/>
    <n v="2.4703671026890174E-2"/>
    <s v="Low Engagement"/>
    <n v="44"/>
    <n v="6.8322981366459631E-2"/>
    <n v="3.4804619522227497E-3"/>
    <n v="6.7496708400404129E-2"/>
    <x v="3"/>
    <n v="15"/>
    <n v="5"/>
    <n v="160"/>
    <n v="250"/>
    <n v="349"/>
    <n v="1.1128442442178281E-2"/>
    <n v="9446"/>
    <n v="732"/>
    <n v="8714"/>
    <s v="unknown"/>
    <d v="2020-02-28T00:00:00"/>
    <s v="Has no high school or college education"/>
    <x v="1"/>
    <x v="217"/>
    <n v="26"/>
    <x v="0"/>
  </r>
  <r>
    <s v="953323c71418cbfb60647b4b705c2851"/>
    <n v="377"/>
    <n v="77"/>
    <n v="4.8961038961038961"/>
    <n v="2.4603537166351237E-2"/>
    <s v="Low Engagement"/>
    <n v="11"/>
    <n v="2.9177718832891247E-2"/>
    <n v="8.7011548805568742E-4"/>
    <n v="5.3473176640174237E-2"/>
    <x v="3"/>
    <n v="9"/>
    <n v="0"/>
    <n v="36"/>
    <n v="30"/>
    <n v="19"/>
    <n v="2.5258713313603891E-3"/>
    <n v="2144"/>
    <n v="1869"/>
    <n v="275"/>
    <s v="unknown"/>
    <d v="2020-04-13T00:00:00"/>
    <s v="Has no high school or college education"/>
    <x v="0"/>
    <x v="2"/>
    <n v="18"/>
    <x v="1"/>
  </r>
  <r>
    <s v="10ee95b0d8aaa9dea5a94c88fc512621"/>
    <n v="6440"/>
    <n v="1332"/>
    <n v="4.8348348348348349"/>
    <n v="2.4295652436355956E-2"/>
    <s v="Low Engagement"/>
    <n v="1177"/>
    <n v="0.18276397515527951"/>
    <n v="9.3102357221958545E-2"/>
    <n v="0.35010605117276744"/>
    <x v="1"/>
    <n v="496"/>
    <n v="261"/>
    <n v="5004"/>
    <n v="3094"/>
    <n v="3624"/>
    <n v="0.11531003185613843"/>
    <n v="97877"/>
    <n v="47540"/>
    <n v="50337"/>
    <s v="unknown"/>
    <d v="2013-05-11T00:00:00"/>
    <s v="Has high school and/or college education"/>
    <x v="0"/>
    <x v="2"/>
    <n v="20"/>
    <x v="1"/>
  </r>
  <r>
    <s v="410ebe2a89343d83d66dbc109c7e2af9"/>
    <n v="1900"/>
    <n v="393"/>
    <n v="4.8346055979643765"/>
    <n v="2.4294500492283298E-2"/>
    <s v="Low Engagement"/>
    <n v="3"/>
    <n v="1.5789473684210526E-3"/>
    <n v="2.3730422401518748E-4"/>
    <n v="6.6730571412578502E-2"/>
    <x v="3"/>
    <n v="0"/>
    <n v="0"/>
    <n v="5"/>
    <n v="23"/>
    <n v="17"/>
    <n v="1.7666961979981528E-2"/>
    <n v="14996"/>
    <n v="225"/>
    <n v="14771"/>
    <s v="Switzerland"/>
    <d v="2019-12-26T00:00:00"/>
    <s v="Has no high school or college education"/>
    <x v="0"/>
    <x v="2"/>
    <n v="22"/>
    <x v="0"/>
  </r>
  <r>
    <s v="78f1520bc74353646e7feafee8dbe172"/>
    <n v="2390"/>
    <n v="496"/>
    <n v="4.818548387096774"/>
    <n v="2.4213810990436051E-2"/>
    <s v="Low Engagement"/>
    <n v="174"/>
    <n v="7.2803347280334732E-2"/>
    <n v="1.3763644992880873E-2"/>
    <n v="0.19673373800195837"/>
    <x v="1"/>
    <n v="77"/>
    <n v="4"/>
    <n v="274"/>
    <n v="1179"/>
    <n v="1382"/>
    <n v="0.1207788260353245"/>
    <n v="102519"/>
    <n v="874"/>
    <n v="101645"/>
    <s v="Canada"/>
    <d v="2017-05-31T00:00:00"/>
    <s v="Has high school and/or college education"/>
    <x v="1"/>
    <x v="2"/>
    <n v="22"/>
    <x v="0"/>
  </r>
  <r>
    <s v="caccace70211eebbd30d84575d178b39"/>
    <n v="1156"/>
    <n v="240"/>
    <n v="4.8166666666666664"/>
    <n v="2.420435510887772E-2"/>
    <s v="Low Engagement"/>
    <n v="14"/>
    <n v="1.2110726643598616E-2"/>
    <n v="1.1074197120708748E-3"/>
    <n v="6.5000045843665297E-2"/>
    <x v="3"/>
    <n v="3"/>
    <n v="0"/>
    <n v="97"/>
    <n v="234"/>
    <n v="250"/>
    <n v="1.437649620176811E-2"/>
    <n v="12203"/>
    <n v="1187"/>
    <n v="11016"/>
    <s v="Germany"/>
    <d v="2019-08-02T00:00:00"/>
    <s v="Has no high school or college education"/>
    <x v="0"/>
    <x v="2"/>
    <n v="22"/>
    <x v="0"/>
  </r>
  <r>
    <s v="d22fd43e901d0df2863a37aa30124efe"/>
    <n v="303"/>
    <n v="63"/>
    <n v="4.8095238095238093"/>
    <n v="2.4168461354391001E-2"/>
    <s v="Low Engagement"/>
    <n v="8"/>
    <n v="2.6402640264026403E-2"/>
    <n v="6.3281126404049991E-4"/>
    <n v="5.4435159136695235E-2"/>
    <x v="3"/>
    <n v="4"/>
    <n v="0"/>
    <n v="66"/>
    <n v="22"/>
    <n v="20"/>
    <n v="4.8326138998322369E-3"/>
    <n v="4102"/>
    <n v="3484"/>
    <n v="618"/>
    <s v="Denmark"/>
    <d v="2019-08-06T00:00:00"/>
    <s v="Has no high school or college education"/>
    <x v="0"/>
    <x v="2"/>
    <n v="21"/>
    <x v="0"/>
  </r>
  <r>
    <s v="102c3f7e715e2e638e4cd9161c9e2dae"/>
    <n v="863"/>
    <n v="180"/>
    <n v="4.7944444444444443"/>
    <n v="2.4092685650474593E-2"/>
    <s v="Low Engagement"/>
    <n v="22"/>
    <n v="2.5492468134414831E-2"/>
    <n v="1.7402309761113748E-3"/>
    <n v="6.2703561099960878E-2"/>
    <x v="3"/>
    <n v="11"/>
    <n v="0"/>
    <n v="80"/>
    <n v="104"/>
    <n v="104"/>
    <n v="1.1037727846788938E-2"/>
    <n v="9369"/>
    <n v="8348"/>
    <n v="1021"/>
    <s v="Canada"/>
    <d v="2019-07-06T00:00:00"/>
    <s v="Has no high school or college education"/>
    <x v="1"/>
    <x v="2"/>
    <n v="22"/>
    <x v="0"/>
  </r>
  <r>
    <s v="2bea87835d707033f570076ad6d1c465"/>
    <n v="4443"/>
    <n v="927"/>
    <n v="4.7928802588996762"/>
    <n v="2.4084825421606414E-2"/>
    <s v="Low Engagement"/>
    <n v="196"/>
    <n v="4.4114337159576862E-2"/>
    <n v="1.5503875968992248E-2"/>
    <n v="0.12615931641147762"/>
    <x v="2"/>
    <n v="117"/>
    <n v="5"/>
    <n v="349"/>
    <n v="795"/>
    <n v="605"/>
    <n v="4.6981913630280293E-2"/>
    <n v="39879"/>
    <n v="30636"/>
    <n v="9243"/>
    <s v="unknown"/>
    <d v="2014-06-26T00:00:00"/>
    <s v="Has high school and/or college education"/>
    <x v="0"/>
    <x v="2"/>
    <n v="23"/>
    <x v="0"/>
  </r>
  <r>
    <s v="a607cd885b4f38e3d55bc5994333a97e"/>
    <n v="2114"/>
    <n v="442"/>
    <n v="4.7828054298642533"/>
    <n v="2.4034198140021373E-2"/>
    <s v="Low Engagement"/>
    <n v="48"/>
    <n v="2.2705771050141911E-2"/>
    <n v="3.7968675842429997E-3"/>
    <n v="0.11645033525241556"/>
    <x v="2"/>
    <n v="20"/>
    <n v="6"/>
    <n v="176"/>
    <n v="218"/>
    <n v="198"/>
    <n v="6.0788203803886824E-2"/>
    <n v="51598"/>
    <n v="18833"/>
    <n v="32765"/>
    <s v="unknown"/>
    <d v="2015-08-12T00:00:00"/>
    <s v="Has high school and/or college education"/>
    <x v="0"/>
    <x v="2"/>
    <n v="16"/>
    <x v="1"/>
  </r>
  <r>
    <s v="5ea74458158b329e84bd61eca26bd638"/>
    <n v="5297"/>
    <n v="1111"/>
    <n v="4.767776777677768"/>
    <n v="2.3958677274762655E-2"/>
    <s v="Low Engagement"/>
    <n v="105"/>
    <n v="1.9822541060977913E-2"/>
    <n v="8.3056478405315621E-3"/>
    <n v="0.1032885228060347"/>
    <x v="2"/>
    <n v="41"/>
    <n v="5"/>
    <n v="187"/>
    <n v="906"/>
    <n v="650"/>
    <n v="3.8759872575446268E-2"/>
    <n v="32900"/>
    <n v="14026"/>
    <n v="18874"/>
    <s v="Canada"/>
    <d v="2013-08-14T00:00:00"/>
    <s v="Has high school and/or college education"/>
    <x v="0"/>
    <x v="2"/>
    <n v="22"/>
    <x v="0"/>
  </r>
  <r>
    <s v="41725ef546507180eb9ca538fe6035be"/>
    <n v="781"/>
    <n v="165"/>
    <n v="4.7333333333333334"/>
    <n v="2.3785594639865997E-2"/>
    <s v="Low Engagement"/>
    <n v="7"/>
    <n v="8.9628681177976958E-3"/>
    <n v="5.5370985603543741E-4"/>
    <n v="6.6582371409099422E-2"/>
    <x v="3"/>
    <n v="0"/>
    <n v="0"/>
    <n v="15"/>
    <n v="37"/>
    <n v="27"/>
    <n v="1.7903762417296562E-2"/>
    <n v="15197"/>
    <n v="2912"/>
    <n v="12285"/>
    <s v="United Kingdom"/>
    <d v="2016-07-20T00:00:00"/>
    <s v="Has high school and/or college education"/>
    <x v="0"/>
    <x v="38"/>
    <n v="30"/>
    <x v="0"/>
  </r>
  <r>
    <s v="34f471c8b8c91654921c727510a7e160"/>
    <n v="4887"/>
    <n v="1035"/>
    <n v="4.7217391304347824"/>
    <n v="2.3727332313742626E-2"/>
    <s v="Low Engagement"/>
    <n v="287"/>
    <n v="5.8727235522815634E-2"/>
    <n v="2.2702104097452935E-2"/>
    <n v="0.12416483312474169"/>
    <x v="2"/>
    <n v="168"/>
    <n v="7"/>
    <n v="510"/>
    <n v="1104"/>
    <n v="1300"/>
    <n v="3.1305960302350569E-2"/>
    <n v="26573"/>
    <n v="13887"/>
    <n v="12686"/>
    <s v="Poland"/>
    <d v="2017-03-07T00:00:00"/>
    <s v="Has no high school or college education"/>
    <x v="0"/>
    <x v="2"/>
    <n v="32"/>
    <x v="3"/>
  </r>
  <r>
    <s v="57d4128229977a4763010585881d45d4"/>
    <n v="118"/>
    <n v="25"/>
    <n v="4.72"/>
    <n v="2.371859296482412E-2"/>
    <s v="Low Engagement"/>
    <n v="22"/>
    <n v="0.1864406779661017"/>
    <n v="1.7402309761113748E-3"/>
    <n v="5.319375954800358E-2"/>
    <x v="3"/>
    <n v="7"/>
    <n v="0"/>
    <n v="16"/>
    <n v="83"/>
    <n v="68"/>
    <n v="2.2761116661325896E-3"/>
    <n v="1932"/>
    <n v="764"/>
    <n v="1168"/>
    <s v="Australia"/>
    <d v="2021-03-01T00:00:00"/>
    <s v="Has no high school or college education"/>
    <x v="0"/>
    <x v="2"/>
    <n v="19"/>
    <x v="1"/>
  </r>
  <r>
    <s v="e0fc55fe6b0aa36e0f8e3ba894cabdb0"/>
    <n v="33"/>
    <n v="7"/>
    <n v="4.7142857142857144"/>
    <n v="2.3689877961234746E-2"/>
    <s v="Low Engagement"/>
    <n v="58"/>
    <n v="1.7575757575757576"/>
    <n v="4.5878816642936247E-3"/>
    <n v="5.6887746730274857E-2"/>
    <x v="3"/>
    <n v="16"/>
    <n v="0"/>
    <n v="0"/>
    <n v="981"/>
    <n v="859"/>
    <n v="3.3222747921811087E-4"/>
    <n v="282"/>
    <n v="72"/>
    <n v="210"/>
    <s v="United Kingdom"/>
    <d v="2020-11-06T00:00:00"/>
    <s v="Has no high school or college education"/>
    <x v="0"/>
    <x v="2"/>
    <n v="19"/>
    <x v="1"/>
  </r>
  <r>
    <s v="0e517b74ab2def0782a63f409078f923"/>
    <n v="226"/>
    <n v="48"/>
    <n v="4.708333333333333"/>
    <n v="2.3659966499162476E-2"/>
    <s v="Low Engagement"/>
    <n v="6"/>
    <n v="2.6548672566371681E-2"/>
    <n v="4.7460844803037496E-4"/>
    <n v="5.1745757309891539E-2"/>
    <x v="3"/>
    <n v="0"/>
    <n v="2"/>
    <n v="16"/>
    <n v="12"/>
    <n v="12"/>
    <n v="3.4766074155058342E-3"/>
    <n v="2951"/>
    <n v="1064"/>
    <n v="1887"/>
    <s v="Belgium"/>
    <d v="2021-02-06T00:00:00"/>
    <s v="Has no high school or college education"/>
    <x v="0"/>
    <x v="218"/>
    <n v="41"/>
    <x v="2"/>
  </r>
  <r>
    <s v="ce372968a342b2c301ebf81a1b0588ee"/>
    <n v="2726"/>
    <n v="581"/>
    <n v="4.6919104991394152"/>
    <n v="2.3577439694167916E-2"/>
    <s v="Low Engagement"/>
    <n v="24"/>
    <n v="8.8041085840058694E-3"/>
    <n v="1.8984337921214998E-3"/>
    <n v="9.7096023235043252E-2"/>
    <x v="2"/>
    <n v="6"/>
    <n v="0"/>
    <n v="26"/>
    <n v="182"/>
    <n v="160"/>
    <n v="4.6144276262464423E-2"/>
    <n v="39168"/>
    <n v="8255"/>
    <n v="30913"/>
    <s v="USA"/>
    <d v="2018-06-08T00:00:00"/>
    <s v="Has no high school or college education"/>
    <x v="0"/>
    <x v="219"/>
    <n v="21"/>
    <x v="0"/>
  </r>
  <r>
    <s v="3344657a51768dadf01803d4523111e8"/>
    <n v="1190"/>
    <n v="254"/>
    <n v="4.6850393700787398"/>
    <n v="2.3542911407430853E-2"/>
    <s v="Low Engagement"/>
    <n v="81"/>
    <n v="6.8067226890756297E-2"/>
    <n v="6.407214048410062E-3"/>
    <n v="8.4718350476251772E-2"/>
    <x v="2"/>
    <n v="46"/>
    <n v="0"/>
    <n v="108"/>
    <n v="466"/>
    <n v="428"/>
    <n v="2.4818099564569943E-2"/>
    <n v="21066"/>
    <n v="16214"/>
    <n v="4852"/>
    <s v="United Kingdom"/>
    <d v="2015-01-09T00:00:00"/>
    <s v="Has high school and/or college education"/>
    <x v="0"/>
    <x v="2"/>
    <n v="18"/>
    <x v="1"/>
  </r>
  <r>
    <s v="573a5bfe7371738794bd428ca1518d4b"/>
    <n v="3980"/>
    <n v="856"/>
    <n v="4.6495327102803738"/>
    <n v="2.336448598130841E-2"/>
    <s v="Low Engagement"/>
    <n v="63"/>
    <n v="1.5829145728643215E-2"/>
    <n v="4.9833887043189366E-3"/>
    <n v="0.13365235716375626"/>
    <x v="2"/>
    <n v="16"/>
    <n v="2"/>
    <n v="85"/>
    <n v="422"/>
    <n v="263"/>
    <n v="7.6956607792501561E-2"/>
    <n v="65322"/>
    <n v="40338"/>
    <n v="24984"/>
    <s v="unknown"/>
    <d v="2017-06-18T00:00:00"/>
    <s v="Has high school and/or college education"/>
    <x v="0"/>
    <x v="3"/>
    <n v="25"/>
    <x v="0"/>
  </r>
  <r>
    <s v="144a2f98a16f208f5a90cd0a5f253bcf"/>
    <n v="725"/>
    <n v="156"/>
    <n v="4.6474358974358978"/>
    <n v="2.335394923334622E-2"/>
    <s v="Low Engagement"/>
    <n v="13"/>
    <n v="1.793103448275862E-2"/>
    <n v="1.0283183040658123E-3"/>
    <n v="5.2796033067321849E-2"/>
    <x v="3"/>
    <n v="7"/>
    <n v="0"/>
    <n v="24"/>
    <n v="71"/>
    <n v="54"/>
    <n v="4.0314979924977856E-3"/>
    <n v="3422"/>
    <n v="1455"/>
    <n v="1967"/>
    <s v="Sweden"/>
    <d v="2020-02-29T00:00:00"/>
    <s v="Has no high school or college education"/>
    <x v="0"/>
    <x v="220"/>
    <n v="28"/>
    <x v="0"/>
  </r>
  <r>
    <s v="5bd5a2fc01025566b609ca1ccf18eb67"/>
    <n v="1027"/>
    <n v="224"/>
    <n v="4.5848214285714288"/>
    <n v="2.3039303661162958E-2"/>
    <s v="Low Engagement"/>
    <n v="6"/>
    <n v="5.8422590068159686E-3"/>
    <n v="4.7460844803037496E-4"/>
    <n v="7.122977140128614E-2"/>
    <x v="3"/>
    <n v="1"/>
    <n v="1"/>
    <n v="11"/>
    <n v="11"/>
    <n v="8"/>
    <n v="2.4201947182899475E-2"/>
    <n v="20543"/>
    <n v="2033"/>
    <n v="18510"/>
    <s v="USA"/>
    <d v="2017-09-16T00:00:00"/>
    <s v="Has no high school or college education"/>
    <x v="0"/>
    <x v="2"/>
    <n v="32"/>
    <x v="3"/>
  </r>
  <r>
    <s v="c8a17da5af8f9602ae3927e23ac30ad2"/>
    <n v="3963"/>
    <n v="869"/>
    <n v="4.5604142692750287"/>
    <n v="2.2916654619472506E-2"/>
    <s v="Low Engagement"/>
    <n v="55"/>
    <n v="1.387837496845824E-2"/>
    <n v="4.3505774402784365E-3"/>
    <n v="8.411684710945494E-2"/>
    <x v="2"/>
    <n v="18"/>
    <n v="0"/>
    <n v="334"/>
    <n v="464"/>
    <n v="518"/>
    <n v="2.9582382989953065E-2"/>
    <n v="25110"/>
    <n v="5506"/>
    <n v="19604"/>
    <s v="unknown"/>
    <d v="2015-12-27T00:00:00"/>
    <s v="Has high school and/or college education"/>
    <x v="0"/>
    <x v="1"/>
    <n v="27"/>
    <x v="0"/>
  </r>
  <r>
    <s v="25e0339088c8e6c2b848fcc20e1dbd0c"/>
    <n v="1801"/>
    <n v="395"/>
    <n v="4.5594936708860763"/>
    <n v="2.2912028496914955E-2"/>
    <s v="Low Engagement"/>
    <n v="82"/>
    <n v="4.5530260966129929E-2"/>
    <n v="6.4863154564151239E-3"/>
    <n v="0.10579627321136695"/>
    <x v="2"/>
    <n v="48"/>
    <n v="2"/>
    <n v="169"/>
    <n v="418"/>
    <n v="382"/>
    <n v="4.6999585304706791E-2"/>
    <n v="39894"/>
    <n v="11142"/>
    <n v="28752"/>
    <s v="USA"/>
    <d v="2018-11-04T00:00:00"/>
    <s v="Has no high school or college education"/>
    <x v="0"/>
    <x v="221"/>
    <n v="23"/>
    <x v="0"/>
  </r>
  <r>
    <s v="5008aac977b015ea0ffd49b87cedf5db"/>
    <n v="50"/>
    <n v="11"/>
    <n v="4.5454545454545459"/>
    <n v="2.2841480127912289E-2"/>
    <s v="Low Engagement"/>
    <n v="11"/>
    <n v="0.22"/>
    <n v="8.7011548805568742E-4"/>
    <n v="4.9626259977105694E-2"/>
    <x v="3"/>
    <n v="4"/>
    <n v="6"/>
    <n v="7"/>
    <n v="8"/>
    <n v="8"/>
    <n v="2.2030687451697422E-3"/>
    <n v="1870"/>
    <n v="449"/>
    <n v="1421"/>
    <s v="USA"/>
    <d v="2021-04-01T00:00:00"/>
    <s v="Has no high school or college education"/>
    <x v="0"/>
    <x v="222"/>
    <n v="24"/>
    <x v="0"/>
  </r>
  <r>
    <s v="ac7cabbd2bb954f128b6e05344c9ccd4"/>
    <n v="712"/>
    <n v="157"/>
    <n v="4.5350318471337578"/>
    <n v="2.2789104759466119E-2"/>
    <s v="Low Engagement"/>
    <n v="42"/>
    <n v="5.8988764044943819E-2"/>
    <n v="3.3222591362126247E-3"/>
    <n v="7.064485932516458E-2"/>
    <x v="3"/>
    <n v="10"/>
    <n v="0"/>
    <n v="57"/>
    <n v="287"/>
    <n v="227"/>
    <n v="1.842213153380709E-2"/>
    <n v="15637"/>
    <n v="10658"/>
    <n v="4979"/>
    <s v="unknown"/>
    <d v="2019-10-22T00:00:00"/>
    <s v="Has no high school or college education"/>
    <x v="0"/>
    <x v="2"/>
    <n v="22"/>
    <x v="0"/>
  </r>
  <r>
    <s v="047b89e2fb091a0b163dc08f437ac4d7"/>
    <n v="3175"/>
    <n v="711"/>
    <n v="4.4655414908579463"/>
    <n v="2.2439906989235911E-2"/>
    <s v="Low Engagement"/>
    <n v="32"/>
    <n v="1.0078740157480314E-2"/>
    <n v="2.5312450561619996E-3"/>
    <n v="9.1890146732781827E-2"/>
    <x v="2"/>
    <n v="11"/>
    <n v="0"/>
    <n v="57"/>
    <n v="229"/>
    <n v="330"/>
    <n v="4.1947842641986012E-2"/>
    <n v="35606"/>
    <n v="1928"/>
    <n v="33678"/>
    <s v="Slovakia"/>
    <d v="2017-01-21T00:00:00"/>
    <s v="Has high school and/or college education"/>
    <x v="0"/>
    <x v="2"/>
    <n v="20"/>
    <x v="1"/>
  </r>
  <r>
    <s v="13b392a9f7f282efe2b4a009e1927ca0"/>
    <n v="2024"/>
    <n v="455"/>
    <n v="4.4483516483516485"/>
    <n v="2.2353525871113812E-2"/>
    <s v="Low Engagement"/>
    <n v="179"/>
    <n v="8.8438735177865616E-2"/>
    <n v="1.4159152032906186E-2"/>
    <n v="8.7829506530929288E-2"/>
    <x v="2"/>
    <n v="59"/>
    <n v="81"/>
    <n v="429"/>
    <n v="256"/>
    <n v="289"/>
    <n v="1.4804150722889296E-2"/>
    <n v="12566"/>
    <n v="7913"/>
    <n v="4653"/>
    <s v="USA"/>
    <d v="2013-09-10T00:00:00"/>
    <s v="Has no high school or college education"/>
    <x v="0"/>
    <x v="223"/>
    <n v="43"/>
    <x v="2"/>
  </r>
  <r>
    <s v="f41c5effa65ab0793f9dc36db8cff524"/>
    <n v="2157"/>
    <n v="489"/>
    <n v="4.4110429447852759"/>
    <n v="2.2166044948669729E-2"/>
    <s v="Low Engagement"/>
    <n v="30"/>
    <n v="1.3908205841446454E-2"/>
    <n v="2.3730422401518746E-3"/>
    <n v="9.1915491299096153E-2"/>
    <x v="2"/>
    <n v="8"/>
    <n v="6"/>
    <n v="177"/>
    <n v="146"/>
    <n v="140"/>
    <n v="4.2837316921452942E-2"/>
    <n v="36361"/>
    <n v="27153"/>
    <n v="9208"/>
    <s v="United Kingdom"/>
    <d v="2019-01-16T00:00:00"/>
    <s v="Has no high school or college education"/>
    <x v="0"/>
    <x v="2"/>
    <n v="21"/>
    <x v="0"/>
  </r>
  <r>
    <s v="b852b236e318f6278876b13b4ffcfe3f"/>
    <n v="136"/>
    <n v="31"/>
    <n v="4.387096774193548"/>
    <n v="2.2045712433133406E-2"/>
    <s v="Low Engagement"/>
    <n v="44"/>
    <n v="0.3235294117647059"/>
    <n v="3.4804619522227497E-3"/>
    <n v="5.4124863897665618E-2"/>
    <x v="3"/>
    <n v="10"/>
    <n v="6"/>
    <n v="19"/>
    <n v="236"/>
    <n v="260"/>
    <n v="3.072515126953309E-3"/>
    <n v="2608"/>
    <n v="580"/>
    <n v="2028"/>
    <s v="Spain"/>
    <d v="2020-08-21T00:00:00"/>
    <s v="Has no high school or college education"/>
    <x v="0"/>
    <x v="2"/>
    <n v="36"/>
    <x v="3"/>
  </r>
  <r>
    <s v="95791a32eab7c55fc98b7b099462df98"/>
    <n v="328"/>
    <n v="75"/>
    <n v="4.3733333333333331"/>
    <n v="2.1976549413735343E-2"/>
    <s v="Low Engagement"/>
    <n v="21"/>
    <n v="6.402439024390244E-2"/>
    <n v="1.6611295681063123E-3"/>
    <n v="5.4640911864646535E-2"/>
    <x v="3"/>
    <n v="12"/>
    <n v="3"/>
    <n v="64"/>
    <n v="86"/>
    <n v="53"/>
    <n v="7.3655539009632237E-3"/>
    <n v="6252"/>
    <n v="3610"/>
    <n v="2642"/>
    <s v="Canada"/>
    <d v="2020-07-23T00:00:00"/>
    <s v="Has no high school or college education"/>
    <x v="0"/>
    <x v="224"/>
    <n v="21"/>
    <x v="0"/>
  </r>
  <r>
    <s v="dc4572c2c68debce7bbd16ec199bc453"/>
    <n v="1365"/>
    <n v="313"/>
    <n v="4.3610223642172521"/>
    <n v="2.1914685247322874E-2"/>
    <s v="Low Engagement"/>
    <n v="152"/>
    <n v="0.11135531135531136"/>
    <n v="1.2023414016769499E-2"/>
    <n v="8.1764956515781584E-2"/>
    <x v="2"/>
    <n v="54"/>
    <n v="32"/>
    <n v="464"/>
    <n v="812"/>
    <n v="912"/>
    <n v="1.3888757987596841E-2"/>
    <n v="11789"/>
    <n v="10009"/>
    <n v="1780"/>
    <s v="unknown"/>
    <d v="2020-02-26T00:00:00"/>
    <s v="Has no high school or college education"/>
    <x v="0"/>
    <x v="2"/>
    <n v="22"/>
    <x v="0"/>
  </r>
  <r>
    <s v="07288cdd5b93614048f6775f65f07be5"/>
    <n v="1717"/>
    <n v="394"/>
    <n v="4.3578680203045685"/>
    <n v="2.1898834272887278E-2"/>
    <s v="Low Engagement"/>
    <n v="65"/>
    <n v="3.7856726849155503E-2"/>
    <n v="5.141591520329062E-3"/>
    <n v="8.8498204699474836E-2"/>
    <x v="2"/>
    <n v="23"/>
    <n v="3"/>
    <n v="114"/>
    <n v="687"/>
    <n v="353"/>
    <n v="3.4417353113042164E-2"/>
    <n v="29214"/>
    <n v="14627"/>
    <n v="14587"/>
    <s v="USA"/>
    <d v="2017-07-27T00:00:00"/>
    <s v="Has high school and/or college education"/>
    <x v="0"/>
    <x v="2"/>
    <n v="26"/>
    <x v="0"/>
  </r>
  <r>
    <s v="963bd18fc405c837450d0bde5a021919"/>
    <n v="152"/>
    <n v="35"/>
    <n v="4.3428571428571425"/>
    <n v="2.182340272792534E-2"/>
    <s v="Low Engagement"/>
    <n v="61"/>
    <n v="0.40131578947368424"/>
    <n v="4.825185888308812E-3"/>
    <n v="5.4805160116862567E-2"/>
    <x v="3"/>
    <n v="15"/>
    <n v="4"/>
    <n v="52"/>
    <n v="531"/>
    <n v="674"/>
    <n v="1.5079828843942622E-3"/>
    <n v="1280"/>
    <n v="638"/>
    <n v="642"/>
    <s v="USA"/>
    <d v="2020-12-24T00:00:00"/>
    <s v="Has no high school or college education"/>
    <x v="1"/>
    <x v="2"/>
    <n v="33"/>
    <x v="3"/>
  </r>
  <r>
    <s v="465c4a1e90b62492e66617b8d12f36f0"/>
    <n v="2187"/>
    <n v="504"/>
    <n v="4.3392857142857144"/>
    <n v="2.1805455850681981E-2"/>
    <s v="Low Engagement"/>
    <n v="39"/>
    <n v="1.7832647462277092E-2"/>
    <n v="3.0849549121974369E-3"/>
    <n v="8.9633981692390938E-2"/>
    <x v="2"/>
    <n v="22"/>
    <n v="2"/>
    <n v="78"/>
    <n v="193"/>
    <n v="148"/>
    <n v="3.9853160166632109E-2"/>
    <n v="33828"/>
    <n v="4983"/>
    <n v="28845"/>
    <s v="USA"/>
    <d v="2017-10-10T00:00:00"/>
    <s v="Has no high school or college education"/>
    <x v="0"/>
    <x v="225"/>
    <n v="22"/>
    <x v="0"/>
  </r>
  <r>
    <s v="3beec9cafe5f7f5c169839d3366dcb38"/>
    <n v="1032"/>
    <n v="240"/>
    <n v="4.3"/>
    <n v="2.1608040201005024E-2"/>
    <s v="Low Engagement"/>
    <n v="4"/>
    <n v="3.875968992248062E-3"/>
    <n v="3.1640563202024995E-4"/>
    <n v="6.2871860130358476E-2"/>
    <x v="3"/>
    <n v="2"/>
    <n v="0"/>
    <n v="16"/>
    <n v="25"/>
    <n v="18"/>
    <n v="1.902296846430793E-2"/>
    <n v="16147"/>
    <n v="8081"/>
    <n v="8066"/>
    <s v="unknown"/>
    <d v="2018-08-07T00:00:00"/>
    <s v="Has no high school or college education"/>
    <x v="0"/>
    <x v="2"/>
    <n v="18"/>
    <x v="1"/>
  </r>
  <r>
    <s v="56b15852fd75873cd9074e9284a21bc9"/>
    <n v="1565"/>
    <n v="364"/>
    <n v="4.2994505494505493"/>
    <n v="2.1605279142967584E-2"/>
    <s v="Low Engagement"/>
    <n v="35"/>
    <n v="2.2364217252396165E-2"/>
    <n v="2.7685492801771874E-3"/>
    <n v="9.8843319510518307E-2"/>
    <x v="2"/>
    <n v="15"/>
    <n v="10"/>
    <n v="39"/>
    <n v="57"/>
    <n v="38"/>
    <n v="5.0095662664228761E-2"/>
    <n v="42522"/>
    <n v="26631"/>
    <n v="15891"/>
    <s v="USA"/>
    <d v="2019-06-10T00:00:00"/>
    <s v="Has no high school or college education"/>
    <x v="0"/>
    <x v="24"/>
    <n v="20"/>
    <x v="1"/>
  </r>
  <r>
    <s v="9febc1b852dcadd105006b0d058bfc7a"/>
    <n v="1029"/>
    <n v="240"/>
    <n v="4.2874999999999996"/>
    <n v="2.1545226130653263E-2"/>
    <s v="Low Engagement"/>
    <n v="26"/>
    <n v="2.5267249757045675E-2"/>
    <n v="2.0566366081316246E-3"/>
    <n v="7.5604462504204523E-2"/>
    <x v="2"/>
    <n v="17"/>
    <n v="0"/>
    <n v="41"/>
    <n v="106"/>
    <n v="88"/>
    <n v="2.8400737026634749E-2"/>
    <n v="24107"/>
    <n v="19679"/>
    <n v="4428"/>
    <s v="Netherlands"/>
    <d v="2019-11-01T00:00:00"/>
    <s v="Has no high school or college education"/>
    <x v="0"/>
    <x v="2"/>
    <n v="29"/>
    <x v="0"/>
  </r>
  <r>
    <s v="3dc680c8016dbafc583343cdca1fcf10"/>
    <n v="552"/>
    <n v="129"/>
    <n v="4.2790697674418601"/>
    <n v="2.1502863152974172E-2"/>
    <s v="Low Engagement"/>
    <n v="13"/>
    <n v="2.355072463768116E-2"/>
    <n v="1.0283183040658123E-3"/>
    <n v="4.9358936022975176E-2"/>
    <x v="3"/>
    <n v="4"/>
    <n v="0"/>
    <n v="13"/>
    <n v="181"/>
    <n v="166"/>
    <n v="4.2965731088952137E-3"/>
    <n v="3647"/>
    <n v="1484"/>
    <n v="2163"/>
    <s v="unknown"/>
    <d v="2020-10-04T00:00:00"/>
    <s v="Has no high school or college education"/>
    <x v="0"/>
    <x v="3"/>
    <n v="21"/>
    <x v="0"/>
  </r>
  <r>
    <s v="cb3f8fff6d15d2480df5883454286539"/>
    <n v="958"/>
    <n v="224"/>
    <n v="4.2767857142857144"/>
    <n v="2.1491385498923189E-2"/>
    <s v="Low Engagement"/>
    <n v="31"/>
    <n v="3.2359081419624215E-2"/>
    <n v="2.4521436481569374E-3"/>
    <n v="6.4119080310710355E-2"/>
    <x v="3"/>
    <n v="21"/>
    <n v="0"/>
    <n v="53"/>
    <n v="96"/>
    <n v="86"/>
    <n v="1.6232022016550111E-2"/>
    <n v="13778"/>
    <n v="6293"/>
    <n v="7485"/>
    <s v="USA"/>
    <d v="2018-09-07T00:00:00"/>
    <s v="Has no high school or college education"/>
    <x v="0"/>
    <x v="2"/>
    <n v="25"/>
    <x v="0"/>
  </r>
  <r>
    <s v="c967761abf26f40ec3c851e4414f670d"/>
    <n v="1295"/>
    <n v="306"/>
    <n v="4.2320261437908497"/>
    <n v="2.1266463034124872E-2"/>
    <s v="Low Engagement"/>
    <n v="8"/>
    <n v="6.1776061776061776E-3"/>
    <n v="6.3281126404049991E-4"/>
    <n v="6.7539854132512914E-2"/>
    <x v="3"/>
    <n v="1"/>
    <n v="0"/>
    <n v="9"/>
    <n v="97"/>
    <n v="93"/>
    <n v="2.3741305536182165E-2"/>
    <n v="20152"/>
    <n v="1499"/>
    <n v="18653"/>
    <s v="USA"/>
    <d v="2019-07-20T00:00:00"/>
    <s v="Has no high school or college education"/>
    <x v="0"/>
    <x v="2"/>
    <n v="22"/>
    <x v="0"/>
  </r>
  <r>
    <s v="a66ec1d1d58b9d545426e832f7dae8e9"/>
    <n v="1585"/>
    <n v="376"/>
    <n v="4.2154255319148932"/>
    <n v="2.1183042873944187E-2"/>
    <s v="Low Engagement"/>
    <n v="81"/>
    <n v="5.1104100946372237E-2"/>
    <n v="6.407214048410062E-3"/>
    <n v="8.7706997794115671E-2"/>
    <x v="2"/>
    <n v="35"/>
    <n v="4"/>
    <n v="116"/>
    <n v="289"/>
    <n v="243"/>
    <n v="3.2526483949407173E-2"/>
    <n v="27609"/>
    <n v="16849"/>
    <n v="10760"/>
    <s v="USA"/>
    <d v="2018-11-18T00:00:00"/>
    <s v="Has no high school or college education"/>
    <x v="0"/>
    <x v="2"/>
    <n v="20"/>
    <x v="1"/>
  </r>
  <r>
    <s v="06aa963a8a10585ba467b7748284c7f3"/>
    <n v="105"/>
    <n v="25"/>
    <n v="4.2"/>
    <n v="2.1105527638190957E-2"/>
    <s v="Low Engagement"/>
    <n v="7"/>
    <n v="6.6666666666666666E-2"/>
    <n v="5.5370985603543741E-4"/>
    <n v="4.6382743334007062E-2"/>
    <x v="3"/>
    <n v="3"/>
    <n v="0"/>
    <n v="1"/>
    <n v="13"/>
    <n v="10"/>
    <n v="3.0642683455542781E-3"/>
    <n v="2601"/>
    <n v="1306"/>
    <n v="1295"/>
    <s v="Germany"/>
    <d v="2021-02-21T00:00:00"/>
    <s v="Has no high school or college education"/>
    <x v="0"/>
    <x v="226"/>
    <n v="23"/>
    <x v="0"/>
  </r>
  <r>
    <s v="ec6ebd712e06ce8df818e6e92f4df1ae"/>
    <n v="105"/>
    <n v="25"/>
    <n v="4.2"/>
    <n v="2.1105527638190957E-2"/>
    <s v="Low Engagement"/>
    <n v="1"/>
    <n v="9.5238095238095247E-3"/>
    <n v="7.9101408005062489E-5"/>
    <n v="4.5433526437946313E-2"/>
    <x v="3"/>
    <n v="1"/>
    <n v="0"/>
    <n v="1"/>
    <n v="1"/>
    <n v="0"/>
    <n v="3.0642683455542781E-3"/>
    <n v="2601"/>
    <n v="1306"/>
    <n v="1295"/>
    <s v="Germany"/>
    <d v="2021-02-21T00:00:00"/>
    <s v="Has no high school or college education"/>
    <x v="0"/>
    <x v="2"/>
    <n v="23"/>
    <x v="0"/>
  </r>
  <r>
    <s v="f20e188b88fa00be19c965d77469e09f"/>
    <n v="1635"/>
    <n v="393"/>
    <n v="4.1603053435114505"/>
    <n v="2.0906057002570103E-2"/>
    <s v="Low Engagement"/>
    <n v="41"/>
    <n v="2.5076452599388378E-2"/>
    <n v="3.2431577282075619E-3"/>
    <n v="6.4754292687507709E-2"/>
    <x v="3"/>
    <n v="19"/>
    <n v="0"/>
    <n v="40"/>
    <n v="316"/>
    <n v="224"/>
    <n v="1.6455863225952386E-2"/>
    <n v="13968"/>
    <n v="9135"/>
    <n v="4833"/>
    <s v="Sweden"/>
    <d v="2014-06-19T00:00:00"/>
    <s v="Has high school and/or college education"/>
    <x v="0"/>
    <x v="17"/>
    <n v="23"/>
    <x v="0"/>
  </r>
  <r>
    <s v="eaec506d1a93a5c8ecd928554e1013d1"/>
    <n v="4088"/>
    <n v="984"/>
    <n v="4.154471544715447"/>
    <n v="2.0876741430730889E-2"/>
    <s v="Low Engagement"/>
    <n v="114"/>
    <n v="2.7886497064579255E-2"/>
    <n v="9.017560512577124E-3"/>
    <n v="0.13867613663811931"/>
    <x v="1"/>
    <n v="43"/>
    <n v="0"/>
    <n v="342"/>
    <n v="1033"/>
    <n v="970"/>
    <n v="7.8887532751503273E-2"/>
    <n v="66961"/>
    <n v="5428"/>
    <n v="61533"/>
    <s v="unknown"/>
    <d v="2014-07-20T00:00:00"/>
    <s v="Has high school and/or college education"/>
    <x v="0"/>
    <x v="2"/>
    <n v="20"/>
    <x v="1"/>
  </r>
  <r>
    <s v="2ed9b8c1a0a87b0cd467564ba7b48674"/>
    <n v="4988"/>
    <n v="1206"/>
    <n v="4.1359867330016584"/>
    <n v="2.0783852929656576E-2"/>
    <s v="Low Engagement"/>
    <n v="166"/>
    <n v="3.3279871692060946E-2"/>
    <n v="1.3130833728840373E-2"/>
    <n v="0.17532852507662142"/>
    <x v="1"/>
    <n v="31"/>
    <n v="72"/>
    <n v="998"/>
    <n v="801"/>
    <n v="1078"/>
    <n v="0.10749915175962753"/>
    <n v="91247"/>
    <n v="69244"/>
    <n v="22003"/>
    <s v="Suisse"/>
    <d v="2015-05-31T00:00:00"/>
    <s v="Has high school and/or college education"/>
    <x v="0"/>
    <x v="227"/>
    <n v="28"/>
    <x v="0"/>
  </r>
  <r>
    <s v="8f8ab9dc2099704ad14eb98ca6384a37"/>
    <n v="1204"/>
    <n v="293"/>
    <n v="4.1092150170648463"/>
    <n v="2.0649321693793198E-2"/>
    <s v="Low Engagement"/>
    <n v="14"/>
    <n v="1.1627906976744186E-2"/>
    <n v="1.1074197120708748E-3"/>
    <n v="6.5431071547096001E-2"/>
    <x v="3"/>
    <n v="7"/>
    <n v="0"/>
    <n v="48"/>
    <n v="32"/>
    <n v="27"/>
    <n v="2.1917588735367855E-2"/>
    <n v="18604"/>
    <n v="5589"/>
    <n v="13015"/>
    <s v="unknown"/>
    <d v="2015-10-19T00:00:00"/>
    <s v="Has high school and/or college education"/>
    <x v="0"/>
    <x v="2"/>
    <n v="17"/>
    <x v="1"/>
  </r>
  <r>
    <s v="9d11cf01acb53092f86c5274c33d0597"/>
    <n v="3608"/>
    <n v="886"/>
    <n v="4.0722347629796838"/>
    <n v="2.0463491271254693E-2"/>
    <s v="Low Engagement"/>
    <n v="201"/>
    <n v="5.5709534368070954E-2"/>
    <n v="1.5899383009017561E-2"/>
    <n v="9.8703109967492542E-2"/>
    <x v="2"/>
    <n v="70"/>
    <n v="28"/>
    <n v="1265"/>
    <n v="504"/>
    <n v="427"/>
    <n v="2.5977361406948032E-2"/>
    <n v="22050"/>
    <n v="9776"/>
    <n v="12274"/>
    <s v="unknown"/>
    <d v="2014-06-15T00:00:00"/>
    <s v="Has high school and/or college education"/>
    <x v="0"/>
    <x v="178"/>
    <n v="18"/>
    <x v="1"/>
  </r>
  <r>
    <s v="354ce0ef3c3c1380cc1637997df7f3d6"/>
    <n v="1309"/>
    <n v="322"/>
    <n v="4.0652173913043477"/>
    <n v="2.0428228097006774E-2"/>
    <s v="Low Engagement"/>
    <n v="5"/>
    <n v="3.8197097020626434E-3"/>
    <n v="3.9550704002531246E-4"/>
    <n v="0.10037633495145008"/>
    <x v="2"/>
    <n v="1"/>
    <n v="1"/>
    <n v="23"/>
    <n v="18"/>
    <n v="27"/>
    <n v="5.872886467738591E-2"/>
    <n v="49850"/>
    <n v="1991"/>
    <n v="47859"/>
    <s v="USA"/>
    <d v="2018-07-23T00:00:00"/>
    <s v="Has no high school or college education"/>
    <x v="0"/>
    <x v="3"/>
    <n v="23"/>
    <x v="0"/>
  </r>
  <r>
    <s v="67480be3f0eaf1c1d715a295ab9340b9"/>
    <n v="8702"/>
    <n v="2143"/>
    <n v="4.0606626224918339"/>
    <n v="2.0405339811516755E-2"/>
    <s v="Low Engagement"/>
    <n v="98"/>
    <n v="1.1261778901401976E-2"/>
    <n v="7.7519379844961239E-3"/>
    <n v="0.31288724036705362"/>
    <x v="1"/>
    <n v="36"/>
    <n v="33"/>
    <n v="694"/>
    <n v="163"/>
    <n v="242"/>
    <n v="0.25657268477502782"/>
    <n v="217783"/>
    <n v="191175"/>
    <n v="26608"/>
    <s v="Spain"/>
    <d v="2013-08-27T00:00:00"/>
    <s v="Has high school and/or college education"/>
    <x v="0"/>
    <x v="2"/>
    <n v="20"/>
    <x v="1"/>
  </r>
  <r>
    <s v="a2c98794e71487b91a2753bf09a1c59c"/>
    <n v="1379"/>
    <n v="340"/>
    <n v="4.0558823529411763"/>
    <n v="2.0381318356488324E-2"/>
    <s v="Low Engagement"/>
    <n v="622"/>
    <n v="0.45105148658448152"/>
    <n v="4.9201075779148867E-2"/>
    <n v="0.15644886397201518"/>
    <x v="1"/>
    <n v="223"/>
    <n v="5"/>
    <n v="1078"/>
    <n v="2525"/>
    <n v="2284"/>
    <n v="1.7284075700740798E-2"/>
    <n v="14671"/>
    <n v="8138"/>
    <n v="6533"/>
    <s v="unknown"/>
    <d v="2019-02-15T00:00:00"/>
    <s v="Has no high school or college education"/>
    <x v="0"/>
    <x v="2"/>
    <n v="22"/>
    <x v="0"/>
  </r>
  <r>
    <s v="dee7603ebbd52dc35f2be2870eadb69f"/>
    <n v="2512"/>
    <n v="622"/>
    <n v="4.038585209003215"/>
    <n v="2.0294398035192035E-2"/>
    <s v="Low Engagement"/>
    <n v="32"/>
    <n v="1.2738853503184714E-2"/>
    <n v="2.5312450561619996E-3"/>
    <n v="7.7367229331753329E-2"/>
    <x v="2"/>
    <n v="18"/>
    <n v="1"/>
    <n v="53"/>
    <n v="82"/>
    <n v="90"/>
    <n v="3.1715943149045259E-2"/>
    <n v="26921"/>
    <n v="8212"/>
    <n v="18709"/>
    <s v="Sweden"/>
    <d v="2017-12-04T00:00:00"/>
    <s v="Has no high school or college education"/>
    <x v="0"/>
    <x v="5"/>
    <n v="32"/>
    <x v="3"/>
  </r>
  <r>
    <s v="e7f678a84df851342f821d0140be1d80"/>
    <n v="4"/>
    <n v="1"/>
    <n v="4"/>
    <n v="2.0100502512562814E-2"/>
    <s v="Low Engagement"/>
    <n v="38"/>
    <n v="9.5"/>
    <n v="3.0058535041923747E-3"/>
    <n v="4.6212712033510378E-2"/>
    <x v="3"/>
    <n v="17"/>
    <n v="3"/>
    <n v="0"/>
    <n v="507"/>
    <n v="526"/>
    <n v="0"/>
    <n v="0"/>
    <n v="0"/>
    <n v="0"/>
    <s v="unknown"/>
    <d v="2021-04-10T00:00:00"/>
    <s v="Has no high school or college education"/>
    <x v="0"/>
    <x v="228"/>
    <n v="21"/>
    <x v="0"/>
  </r>
  <r>
    <s v="adb26be3cdb95382c688c8519550faff"/>
    <n v="128"/>
    <n v="32"/>
    <n v="4"/>
    <n v="2.0100502512562814E-2"/>
    <s v="Low Engagement"/>
    <n v="11"/>
    <n v="8.59375E-2"/>
    <n v="8.7011548805568742E-4"/>
    <n v="4.2976796122629626E-2"/>
    <x v="3"/>
    <n v="6"/>
    <n v="0"/>
    <n v="8"/>
    <n v="21"/>
    <n v="18"/>
    <n v="1.0355601213926221E-3"/>
    <n v="879"/>
    <n v="191"/>
    <n v="688"/>
    <s v="USA"/>
    <d v="2020-09-01T00:00:00"/>
    <s v="Has no high school or college education"/>
    <x v="0"/>
    <x v="2"/>
    <n v="34"/>
    <x v="3"/>
  </r>
  <r>
    <s v="beda992bff4d11db9827286b944bcd0a"/>
    <n v="4"/>
    <n v="1"/>
    <n v="4"/>
    <n v="2.0100502512562814E-2"/>
    <s v="Low Engagement"/>
    <n v="0"/>
    <n v="0"/>
    <n v="0"/>
    <n v="4.0201005025125629E-2"/>
    <x v="3"/>
    <n v="0"/>
    <n v="0"/>
    <n v="0"/>
    <n v="0"/>
    <n v="0"/>
    <n v="0"/>
    <n v="0"/>
    <n v="0"/>
    <n v="0"/>
    <s v="USA"/>
    <d v="2021-04-05T00:00:00"/>
    <s v="Has no high school or college education"/>
    <x v="0"/>
    <x v="2"/>
    <n v="19"/>
    <x v="1"/>
  </r>
  <r>
    <s v="ea448a3d41133950d78a43b66d417a2c"/>
    <n v="2744"/>
    <n v="691"/>
    <n v="3.9710564399421129"/>
    <n v="1.9955057487146297E-2"/>
    <s v="Low Engagement"/>
    <n v="48"/>
    <n v="1.7492711370262391E-2"/>
    <n v="3.7968675842429997E-3"/>
    <n v="0.10269248937672329"/>
    <x v="2"/>
    <n v="26"/>
    <n v="5"/>
    <n v="250"/>
    <n v="99"/>
    <n v="96"/>
    <n v="5.5188639233944695E-2"/>
    <n v="46845"/>
    <n v="31891"/>
    <n v="14954"/>
    <s v="Czechia"/>
    <d v="2014-10-29T00:00:00"/>
    <s v="Has no high school or college education"/>
    <x v="0"/>
    <x v="3"/>
    <n v="20"/>
    <x v="1"/>
  </r>
  <r>
    <s v="499576b9ebd6e28e253e665f21829d19"/>
    <n v="245"/>
    <n v="62"/>
    <n v="3.9516129032258065"/>
    <n v="1.985735127249149E-2"/>
    <s v="Low Engagement"/>
    <n v="5"/>
    <n v="2.0408163265306121E-2"/>
    <n v="3.9550704002531246E-4"/>
    <n v="4.4684478571085519E-2"/>
    <x v="3"/>
    <n v="2"/>
    <n v="1"/>
    <n v="24"/>
    <n v="37"/>
    <n v="66"/>
    <n v="4.1787619460519126E-3"/>
    <n v="3547"/>
    <n v="354"/>
    <n v="3193"/>
    <s v="Netherlands"/>
    <d v="2020-10-08T00:00:00"/>
    <s v="Has no high school or college education"/>
    <x v="0"/>
    <x v="2"/>
    <n v="24"/>
    <x v="0"/>
  </r>
  <r>
    <s v="9d844294c324ef43cb445e3ec959349b"/>
    <n v="1687"/>
    <n v="434"/>
    <n v="3.8870967741935485"/>
    <n v="1.9533149619063057E-2"/>
    <s v="Low Engagement"/>
    <n v="77"/>
    <n v="4.5643153526970952E-2"/>
    <n v="6.090808416389812E-3"/>
    <n v="7.5931710909834318E-2"/>
    <x v="2"/>
    <n v="23"/>
    <n v="2"/>
    <n v="177"/>
    <n v="1058"/>
    <n v="995"/>
    <n v="2.4683794838928578E-2"/>
    <n v="20952"/>
    <n v="8311"/>
    <n v="12641"/>
    <s v="unknown"/>
    <d v="2016-03-03T00:00:00"/>
    <s v="Has high school and/or college education"/>
    <x v="0"/>
    <x v="2"/>
    <n v="20"/>
    <x v="1"/>
  </r>
  <r>
    <s v="4245f5c0db08dd6d55acf3f7ca17b736"/>
    <n v="330"/>
    <n v="85"/>
    <n v="3.8823529411764706"/>
    <n v="1.9509311262193321E-2"/>
    <s v="Low Engagement"/>
    <n v="10"/>
    <n v="3.0303030303030304E-2"/>
    <n v="7.9101408005062491E-4"/>
    <n v="4.8627125209002038E-2"/>
    <x v="3"/>
    <n v="7"/>
    <n v="1"/>
    <n v="21"/>
    <n v="24"/>
    <n v="13"/>
    <n v="8.0264745245141461E-3"/>
    <n v="6813"/>
    <n v="4431"/>
    <n v="2382"/>
    <s v="unknown"/>
    <d v="2019-03-30T00:00:00"/>
    <s v="Has no high school or college education"/>
    <x v="0"/>
    <x v="2"/>
    <n v="20"/>
    <x v="1"/>
  </r>
  <r>
    <s v="927beb022695b76c480eed8d011b3461"/>
    <n v="5095"/>
    <n v="1324"/>
    <n v="3.8481873111782479"/>
    <n v="1.9337624679287679E-2"/>
    <s v="Low Engagement"/>
    <n v="141"/>
    <n v="2.7674190382728166E-2"/>
    <n v="1.1153298528713811E-2"/>
    <n v="0.14442160249977143"/>
    <x v="1"/>
    <n v="53"/>
    <n v="7"/>
    <n v="200"/>
    <n v="671"/>
    <n v="581"/>
    <n v="8.3439756083768454E-2"/>
    <n v="70825"/>
    <n v="20109"/>
    <n v="50716"/>
    <s v="Iceland"/>
    <d v="2015-06-09T00:00:00"/>
    <s v="Has high school and/or college education"/>
    <x v="0"/>
    <x v="2"/>
    <n v="38"/>
    <x v="3"/>
  </r>
  <r>
    <s v="f249013eb1aa4c72512cdfa50264b894"/>
    <n v="2060"/>
    <n v="540"/>
    <n v="3.8148148148148149"/>
    <n v="1.9169923692536759E-2"/>
    <s v="Low Engagement"/>
    <n v="65"/>
    <n v="3.1553398058252427E-2"/>
    <n v="5.141591520329062E-3"/>
    <n v="9.0208014686160271E-2"/>
    <x v="2"/>
    <n v="29"/>
    <n v="4"/>
    <n v="121"/>
    <n v="252"/>
    <n v="192"/>
    <n v="4.1584984260428642E-2"/>
    <n v="35298"/>
    <n v="5566"/>
    <n v="29732"/>
    <s v="USA"/>
    <d v="2018-02-10T00:00:00"/>
    <s v="Has high school and/or college education"/>
    <x v="0"/>
    <x v="229"/>
    <n v="22"/>
    <x v="0"/>
  </r>
  <r>
    <s v="e555a0f636b117618f9781c73a7c76cf"/>
    <n v="217"/>
    <n v="57"/>
    <n v="3.807017543859649"/>
    <n v="1.9130741426430398E-2"/>
    <s v="Low Engagement"/>
    <n v="23"/>
    <n v="0.10599078341013825"/>
    <n v="1.8193323841164373E-3"/>
    <n v="4.8812128545110182E-2"/>
    <x v="3"/>
    <n v="6"/>
    <n v="3"/>
    <n v="6"/>
    <n v="95"/>
    <n v="91"/>
    <n v="6.9119809240165125E-3"/>
    <n v="5867"/>
    <n v="914"/>
    <n v="4953"/>
    <s v="USA"/>
    <d v="2020-04-15T00:00:00"/>
    <s v="Has no high school or college education"/>
    <x v="0"/>
    <x v="230"/>
    <n v="29"/>
    <x v="0"/>
  </r>
  <r>
    <s v="d6fb98c2854a66bd9b9b8ee9216431ba"/>
    <n v="1637"/>
    <n v="430"/>
    <n v="3.8069767441860467"/>
    <n v="1.9130536402944959E-2"/>
    <s v="Low Engagement"/>
    <n v="44"/>
    <n v="2.687843616371411E-2"/>
    <n v="3.4804619522227497E-3"/>
    <n v="7.3742901123070331E-2"/>
    <x v="3"/>
    <n v="22"/>
    <n v="9"/>
    <n v="128"/>
    <n v="99"/>
    <n v="70"/>
    <n v="2.8520904412734915E-2"/>
    <n v="24209"/>
    <n v="18207"/>
    <n v="6002"/>
    <s v="USA"/>
    <d v="2014-08-17T00:00:00"/>
    <s v="Has high school and/or college education"/>
    <x v="0"/>
    <x v="1"/>
    <n v="18"/>
    <x v="1"/>
  </r>
  <r>
    <s v="7921cd7e02c0ca9c32615ec7b25d9cac"/>
    <n v="2471"/>
    <n v="652"/>
    <n v="3.7898773006134969"/>
    <n v="1.9044609550821594E-2"/>
    <s v="Low Engagement"/>
    <n v="8"/>
    <n v="3.2375556454876568E-3"/>
    <n v="6.3281126404049991E-4"/>
    <n v="8.8665881949416561E-2"/>
    <x v="2"/>
    <n v="2"/>
    <n v="1"/>
    <n v="249"/>
    <n v="62"/>
    <n v="80"/>
    <n v="4.931104031969237E-2"/>
    <n v="41856"/>
    <n v="6525"/>
    <n v="35331"/>
    <s v="Finland"/>
    <d v="2016-06-09T00:00:00"/>
    <s v="Has high school and/or college education"/>
    <x v="0"/>
    <x v="34"/>
    <n v="20"/>
    <x v="1"/>
  </r>
  <r>
    <s v="95d7bda361cc1c61a88dd8db4409050f"/>
    <n v="1476"/>
    <n v="392"/>
    <n v="3.7653061224489797"/>
    <n v="1.8921136293713465E-2"/>
    <s v="Low Engagement"/>
    <n v="25"/>
    <n v="1.6937669376693765E-2"/>
    <n v="1.9775352001265623E-3"/>
    <n v="4.64838710455866E-2"/>
    <x v="3"/>
    <n v="17"/>
    <n v="0"/>
    <n v="27"/>
    <n v="54"/>
    <n v="23"/>
    <n v="4.686528057906543E-3"/>
    <n v="3978"/>
    <n v="1614"/>
    <n v="2364"/>
    <s v="Canada"/>
    <d v="2019-01-17T00:00:00"/>
    <s v="Has no high school or college education"/>
    <x v="0"/>
    <x v="2"/>
    <n v="22"/>
    <x v="0"/>
  </r>
  <r>
    <s v="3996922551f6de6304e8b53365480688"/>
    <n v="105"/>
    <n v="28"/>
    <n v="3.75"/>
    <n v="1.8844221105527637E-2"/>
    <s v="Low Engagement"/>
    <n v="0"/>
    <n v="0"/>
    <n v="0"/>
    <n v="3.9467390769989126E-2"/>
    <x v="3"/>
    <n v="0"/>
    <n v="0"/>
    <n v="1"/>
    <n v="0"/>
    <n v="0"/>
    <n v="1.778948558933856E-3"/>
    <n v="1510"/>
    <n v="272"/>
    <n v="1238"/>
    <s v="unknown"/>
    <d v="2016-05-05T00:00:00"/>
    <s v="Has high school and/or college education"/>
    <x v="0"/>
    <x v="3"/>
    <n v="28"/>
    <x v="0"/>
  </r>
  <r>
    <s v="ebed4cacf0216eec63abc9be955e953a"/>
    <n v="2005"/>
    <n v="537"/>
    <n v="3.7337057728119181"/>
    <n v="1.8762340566894062E-2"/>
    <s v="Low Engagement"/>
    <n v="33"/>
    <n v="1.6458852867830425E-2"/>
    <n v="2.6103464641670624E-3"/>
    <n v="0.10085808635783769"/>
    <x v="2"/>
    <n v="6"/>
    <n v="22"/>
    <n v="235"/>
    <n v="51"/>
    <n v="96"/>
    <n v="5.8112712295715442E-2"/>
    <n v="49327"/>
    <n v="43602"/>
    <n v="5725"/>
    <s v="unknown"/>
    <d v="2017-08-23T00:00:00"/>
    <s v="Has no high school or college education"/>
    <x v="0"/>
    <x v="2"/>
    <n v="19"/>
    <x v="1"/>
  </r>
  <r>
    <s v="883af370beebea637ba3bd4833bfeaa1"/>
    <n v="26"/>
    <n v="7"/>
    <n v="3.7142857142857144"/>
    <n v="1.8664752333094042E-2"/>
    <s v="Low Engagement"/>
    <n v="37"/>
    <n v="1.4230769230769231"/>
    <n v="2.9267520961873119E-3"/>
    <n v="4.3750858663467423E-2"/>
    <x v="3"/>
    <n v="11"/>
    <n v="19"/>
    <n v="33"/>
    <n v="47"/>
    <n v="121"/>
    <n v="5.6784980490471432E-4"/>
    <n v="482"/>
    <n v="114"/>
    <n v="368"/>
    <s v="USA"/>
    <d v="2020-01-10T00:00:00"/>
    <s v="Has no high school or college education"/>
    <x v="1"/>
    <x v="2"/>
    <n v="25"/>
    <x v="0"/>
  </r>
  <r>
    <s v="9b3e5bb925c4e824c05d8f62ce0bb95d"/>
    <n v="1788"/>
    <n v="485"/>
    <n v="3.6865979381443297"/>
    <n v="1.8525617779619748E-2"/>
    <s v="Low Engagement"/>
    <n v="4"/>
    <n v="2.2371364653243847E-3"/>
    <n v="3.1640563202024995E-4"/>
    <n v="9.368440496921504E-2"/>
    <x v="2"/>
    <n v="0"/>
    <n v="1"/>
    <n v="46"/>
    <n v="7"/>
    <n v="12"/>
    <n v="5.6000358145935042E-2"/>
    <n v="47534"/>
    <n v="20758"/>
    <n v="26776"/>
    <s v="Denmark"/>
    <d v="2019-09-25T00:00:00"/>
    <s v="Has no high school or college education"/>
    <x v="0"/>
    <x v="2"/>
    <n v="25"/>
    <x v="0"/>
  </r>
  <r>
    <s v="edefc09cfacaebc4bc560ed9ba54cff2"/>
    <n v="2565"/>
    <n v="697"/>
    <n v="3.6800573888091823"/>
    <n v="1.8492750697533578E-2"/>
    <s v="Low Engagement"/>
    <n v="533"/>
    <n v="0.2077972709551657"/>
    <n v="4.216105046669831E-2"/>
    <n v="0.15836039115431061"/>
    <x v="1"/>
    <n v="161"/>
    <n v="19"/>
    <n v="1151"/>
    <n v="5870"/>
    <n v="4579"/>
    <n v="3.7052788825846825E-2"/>
    <n v="31451"/>
    <n v="25006"/>
    <n v="6445"/>
    <s v="USA"/>
    <d v="2015-09-21T00:00:00"/>
    <s v="Has no high school or college education"/>
    <x v="0"/>
    <x v="231"/>
    <n v="37"/>
    <x v="3"/>
  </r>
  <r>
    <s v="ef409b8f072fcd50a5341d16fd4b382e"/>
    <n v="1921"/>
    <n v="539"/>
    <n v="3.5640074211502784"/>
    <n v="1.7909585030905922E-2"/>
    <s v="Low Engagement"/>
    <n v="25"/>
    <n v="1.3014055179593961E-2"/>
    <n v="1.9775352001265623E-3"/>
    <n v="6.1971041653371452E-2"/>
    <x v="3"/>
    <n v="6"/>
    <n v="14"/>
    <n v="169"/>
    <n v="69"/>
    <n v="89"/>
    <n v="2.219680119130648E-2"/>
    <n v="18841"/>
    <n v="8832"/>
    <n v="10009"/>
    <s v="Colombia"/>
    <d v="2018-04-23T00:00:00"/>
    <s v="Has no high school or college education"/>
    <x v="0"/>
    <x v="1"/>
    <n v="19"/>
    <x v="1"/>
  </r>
  <r>
    <s v="50e1134349bc4378cd7b2e904bc0d7b9"/>
    <n v="434"/>
    <n v="122"/>
    <n v="3.557377049180328"/>
    <n v="1.7876266578795617E-2"/>
    <s v="Low Engagement"/>
    <n v="4"/>
    <n v="9.2165898617511521E-3"/>
    <n v="3.1640563202024995E-4"/>
    <n v="5.1467529488831223E-2"/>
    <x v="3"/>
    <n v="1"/>
    <n v="0"/>
    <n v="6"/>
    <n v="26"/>
    <n v="16"/>
    <n v="1.5082185067199487E-2"/>
    <n v="12802"/>
    <n v="3078"/>
    <n v="9724"/>
    <s v="unknown"/>
    <d v="2016-01-13T00:00:00"/>
    <s v="Has high school and/or college education"/>
    <x v="0"/>
    <x v="2"/>
    <n v="25"/>
    <x v="0"/>
  </r>
  <r>
    <s v="637502c2c33eaef7503f0f820a6d65fa"/>
    <n v="1108"/>
    <n v="312"/>
    <n v="3.5512820512820511"/>
    <n v="1.7845638448653525E-2"/>
    <s v="Low Engagement"/>
    <n v="50"/>
    <n v="4.5126353790613721E-2"/>
    <n v="3.9550704002531247E-3"/>
    <n v="5.9522418244457094E-2"/>
    <x v="3"/>
    <n v="19"/>
    <n v="8"/>
    <n v="184"/>
    <n v="363"/>
    <n v="395"/>
    <n v="1.5921000546643797E-2"/>
    <n v="13514"/>
    <n v="4234"/>
    <n v="9280"/>
    <s v="United Kingdom"/>
    <d v="2019-07-06T00:00:00"/>
    <s v="Has no high school or college education"/>
    <x v="0"/>
    <x v="2"/>
    <n v="31"/>
    <x v="3"/>
  </r>
  <r>
    <s v="92824aa603f1cedb1f8e56e54abab2f2"/>
    <n v="1114"/>
    <n v="317"/>
    <n v="3.5141955835962144"/>
    <n v="1.7659274289428213E-2"/>
    <s v="Low Engagement"/>
    <n v="64"/>
    <n v="5.7450628366247758E-2"/>
    <n v="5.0624901123239993E-3"/>
    <n v="0.12257096278212877"/>
    <x v="2"/>
    <n v="23"/>
    <n v="13"/>
    <n v="265"/>
    <n v="253"/>
    <n v="314"/>
    <n v="7.7127433978624343E-2"/>
    <n v="65467"/>
    <n v="1270"/>
    <n v="64197"/>
    <s v="unknown"/>
    <d v="2018-10-08T00:00:00"/>
    <s v="Has no high school or college education"/>
    <x v="1"/>
    <x v="2"/>
    <n v="18"/>
    <x v="1"/>
  </r>
  <r>
    <s v="41ad495592a6ffd14b1df8e5eb9b0ee3"/>
    <n v="196"/>
    <n v="56"/>
    <n v="3.5"/>
    <n v="1.7587939698492462E-2"/>
    <s v="Low Engagement"/>
    <n v="4"/>
    <n v="2.0408163265306121E-2"/>
    <n v="3.1640563202024995E-4"/>
    <n v="4.113728955642796E-2"/>
    <x v="3"/>
    <n v="3"/>
    <n v="0"/>
    <n v="2"/>
    <n v="9"/>
    <n v="16"/>
    <n v="5.3285988954025372E-3"/>
    <n v="4523"/>
    <n v="988"/>
    <n v="3535"/>
    <s v="Germany"/>
    <d v="2019-01-05T00:00:00"/>
    <s v="Has no high school or college education"/>
    <x v="0"/>
    <x v="232"/>
    <n v="35"/>
    <x v="3"/>
  </r>
  <r>
    <s v="9cda2a7d567b3755720636d3b06e1be1"/>
    <n v="711"/>
    <n v="205"/>
    <n v="3.4682926829268292"/>
    <n v="1.7428606446868489E-2"/>
    <s v="Low Engagement"/>
    <n v="25"/>
    <n v="3.5161744022503515E-2"/>
    <n v="1.9775352001265623E-3"/>
    <n v="6.4916880756808903E-2"/>
    <x v="3"/>
    <n v="7"/>
    <n v="5"/>
    <n v="49"/>
    <n v="81"/>
    <n v="53"/>
    <n v="2.6104597462818797E-2"/>
    <n v="22158"/>
    <n v="2377"/>
    <n v="19781"/>
    <s v="USA"/>
    <d v="2020-01-17T00:00:00"/>
    <s v="Has no high school or college education"/>
    <x v="0"/>
    <x v="233"/>
    <n v="47"/>
    <x v="2"/>
  </r>
  <r>
    <s v="4ad5952d20a1b415d90767f63faa8d35"/>
    <n v="1379"/>
    <n v="401"/>
    <n v="3.4389027431421448"/>
    <n v="1.728091830724696E-2"/>
    <s v="Low Engagement"/>
    <n v="87"/>
    <n v="6.3089195068890505E-2"/>
    <n v="6.8818224964404366E-3"/>
    <n v="9.8165494048233604E-2"/>
    <x v="2"/>
    <n v="7"/>
    <n v="33"/>
    <n v="508"/>
    <n v="542"/>
    <n v="426"/>
    <n v="4.9840012440858797E-2"/>
    <n v="42305"/>
    <n v="23990"/>
    <n v="18315"/>
    <s v="unknown"/>
    <d v="2014-06-22T00:00:00"/>
    <s v="Has high school and/or college education"/>
    <x v="0"/>
    <x v="2"/>
    <n v="18"/>
    <x v="1"/>
  </r>
  <r>
    <s v="0e47097be2116331eb3e2ddccbb4a925"/>
    <n v="874"/>
    <n v="256"/>
    <n v="3.4140625"/>
    <n v="1.7156092964824121E-2"/>
    <s v="Low Engagement"/>
    <n v="129"/>
    <n v="0.14759725400457666"/>
    <n v="1.020408163265306E-2"/>
    <n v="0.1490929811905812"/>
    <x v="1"/>
    <n v="81"/>
    <n v="2"/>
    <n v="286"/>
    <n v="311"/>
    <n v="155"/>
    <n v="9.4372631995626843E-2"/>
    <n v="80105"/>
    <n v="78121"/>
    <n v="1984"/>
    <s v="Ireland"/>
    <d v="2015-10-12T00:00:00"/>
    <s v="Has high school and/or college education"/>
    <x v="0"/>
    <x v="234"/>
    <n v="22"/>
    <x v="0"/>
  </r>
  <r>
    <s v="36da7fa21516e9a39a486b4f8d2d52e6"/>
    <n v="283"/>
    <n v="83"/>
    <n v="3.4096385542168677"/>
    <n v="1.7133862081491796E-2"/>
    <s v="Low Engagement"/>
    <n v="3"/>
    <n v="1.0600706713780919E-2"/>
    <n v="2.3730422401518748E-4"/>
    <n v="3.5107547215828205E-2"/>
    <x v="3"/>
    <n v="2"/>
    <n v="0"/>
    <n v="3"/>
    <n v="4"/>
    <n v="0"/>
    <n v="3.6521460481423536E-4"/>
    <n v="310"/>
    <n v="109"/>
    <n v="201"/>
    <s v="Poland"/>
    <d v="2020-07-11T00:00:00"/>
    <s v="Has no high school or college education"/>
    <x v="0"/>
    <x v="80"/>
    <n v="27"/>
    <x v="0"/>
  </r>
  <r>
    <s v="3c35cf3851b12ad359684dde6ab28ce4"/>
    <n v="2939"/>
    <n v="862"/>
    <n v="3.4095127610208817"/>
    <n v="1.7133229954878804E-2"/>
    <s v="Low Engagement"/>
    <n v="126"/>
    <n v="4.2871725076556649E-2"/>
    <n v="9.9667774086378731E-3"/>
    <n v="0.12319612224621301"/>
    <x v="2"/>
    <n v="62"/>
    <n v="3"/>
    <n v="240"/>
    <n v="301"/>
    <n v="223"/>
    <n v="6.8996107519179659E-2"/>
    <n v="58565"/>
    <n v="35824"/>
    <n v="22741"/>
    <s v="unknown"/>
    <d v="2015-06-19T00:00:00"/>
    <s v="Has high school and/or college education"/>
    <x v="0"/>
    <x v="2"/>
    <n v="17"/>
    <x v="1"/>
  </r>
  <r>
    <s v="d8204eecc557a9046853e00f1ad9d3d4"/>
    <n v="109"/>
    <n v="32"/>
    <n v="3.40625"/>
    <n v="1.7116834170854273E-2"/>
    <s v="Low Engagement"/>
    <n v="83"/>
    <n v="0.76146788990825687"/>
    <n v="6.5654168644201866E-3"/>
    <n v="4.8659246750196804E-2"/>
    <x v="3"/>
    <n v="10"/>
    <n v="51"/>
    <n v="15"/>
    <n v="246"/>
    <n v="320"/>
    <n v="1.2947446796478859E-3"/>
    <n v="1099"/>
    <n v="26"/>
    <n v="1073"/>
    <s v="unknown"/>
    <d v="2020-03-16T00:00:00"/>
    <s v="Has no high school or college education"/>
    <x v="1"/>
    <x v="2"/>
    <n v="23"/>
    <x v="0"/>
  </r>
  <r>
    <s v="8712fe870842b7df96266ec2cc7e2aa2"/>
    <n v="2819"/>
    <n v="841"/>
    <n v="3.3519619500594531"/>
    <n v="1.6844029899796248E-2"/>
    <s v="Low Engagement"/>
    <n v="117"/>
    <n v="4.1504079460801702E-2"/>
    <n v="9.2548647365923113E-3"/>
    <n v="0.14306553917381573"/>
    <x v="1"/>
    <n v="39"/>
    <n v="17"/>
    <n v="764"/>
    <n v="625"/>
    <n v="713"/>
    <n v="9.0867749901038616E-2"/>
    <n v="77130"/>
    <n v="52515"/>
    <n v="24615"/>
    <s v="unknown"/>
    <d v="2017-12-05T00:00:00"/>
    <s v="Has no high school or college education"/>
    <x v="0"/>
    <x v="2"/>
    <n v="26"/>
    <x v="0"/>
  </r>
  <r>
    <s v="6b51aaec84438270d3e1990bdcfb7dc7"/>
    <n v="468"/>
    <n v="140"/>
    <n v="3.342857142857143"/>
    <n v="1.6798277099784639E-2"/>
    <s v="Low Engagement"/>
    <n v="93"/>
    <n v="0.19871794871794871"/>
    <n v="7.3564309444708112E-3"/>
    <n v="7.1300264517381237E-2"/>
    <x v="3"/>
    <n v="7"/>
    <n v="49"/>
    <n v="226"/>
    <n v="362"/>
    <n v="629"/>
    <n v="2.2990848428870333E-2"/>
    <n v="19515"/>
    <n v="390"/>
    <n v="19125"/>
    <s v="Germany"/>
    <d v="2016-11-08T00:00:00"/>
    <s v="Has high school and/or college education"/>
    <x v="1"/>
    <x v="235"/>
    <n v="25"/>
    <x v="0"/>
  </r>
  <r>
    <s v="f86336ca09fca645ef567b79d44e99aa"/>
    <n v="1903"/>
    <n v="578"/>
    <n v="3.2923875432525951"/>
    <n v="1.6544661021369825E-2"/>
    <s v="Low Engagement"/>
    <n v="109"/>
    <n v="5.727798213347346E-2"/>
    <n v="8.6220534725518112E-3"/>
    <n v="0.10968198038178495"/>
    <x v="2"/>
    <n v="28"/>
    <n v="36"/>
    <n v="611"/>
    <n v="205"/>
    <n v="279"/>
    <n v="5.9348551393941677E-2"/>
    <n v="50376"/>
    <n v="1840"/>
    <n v="48536"/>
    <s v="Canada"/>
    <d v="2014-11-30T00:00:00"/>
    <s v="Has high school and/or college education"/>
    <x v="1"/>
    <x v="41"/>
    <n v="19"/>
    <x v="1"/>
  </r>
  <r>
    <s v="50c73662d08433eba3ebd541003b2143"/>
    <n v="235"/>
    <n v="72"/>
    <n v="3.2638888888888888"/>
    <n v="1.640145170295924E-2"/>
    <s v="Low Engagement"/>
    <n v="8"/>
    <n v="3.4042553191489362E-2"/>
    <n v="6.3281126404049991E-4"/>
    <n v="3.6388227730384089E-2"/>
    <x v="3"/>
    <n v="7"/>
    <n v="1"/>
    <n v="3"/>
    <n v="9"/>
    <n v="8"/>
    <n v="2.319701796384611E-3"/>
    <n v="1969"/>
    <n v="1631"/>
    <n v="338"/>
    <s v="USA"/>
    <d v="2020-10-10T00:00:00"/>
    <s v="Has no high school or college education"/>
    <x v="0"/>
    <x v="2"/>
    <n v="24"/>
    <x v="0"/>
  </r>
  <r>
    <s v="19707c03dbf7a0e07f70fc65968b6dd4"/>
    <n v="830"/>
    <n v="264"/>
    <n v="3.143939393939394"/>
    <n v="1.5798690421806001E-2"/>
    <s v="Low Engagement"/>
    <n v="27"/>
    <n v="3.2530120481927709E-2"/>
    <n v="2.1357380161366873E-3"/>
    <n v="4.4452578200648338E-2"/>
    <x v="3"/>
    <n v="13"/>
    <n v="0"/>
    <n v="7"/>
    <n v="123"/>
    <n v="83"/>
    <n v="8.5837213247629638E-3"/>
    <n v="7286"/>
    <n v="2760"/>
    <n v="4526"/>
    <s v="unknown"/>
    <d v="2020-02-08T00:00:00"/>
    <s v="Has no high school or college education"/>
    <x v="0"/>
    <x v="2"/>
    <n v="22"/>
    <x v="0"/>
  </r>
  <r>
    <s v="3e628010ed82e688c71e334b6662c755"/>
    <n v="37"/>
    <n v="12"/>
    <n v="3.0833333333333335"/>
    <n v="1.5494137353433836E-2"/>
    <s v="Low Engagement"/>
    <n v="1"/>
    <n v="2.7027027027027029E-2"/>
    <n v="7.9101408005062489E-5"/>
    <n v="3.2176147086128253E-2"/>
    <x v="3"/>
    <n v="0"/>
    <n v="0"/>
    <n v="1"/>
    <n v="12"/>
    <n v="8"/>
    <n v="1.0296695632504571E-3"/>
    <n v="874"/>
    <n v="135"/>
    <n v="739"/>
    <s v="USA"/>
    <d v="2021-04-02T00:00:00"/>
    <s v="Has no high school or college education"/>
    <x v="0"/>
    <x v="236"/>
    <n v="23"/>
    <x v="0"/>
  </r>
  <r>
    <s v="83248d22a711c835b071fd6234e54661"/>
    <n v="2223"/>
    <n v="725"/>
    <n v="3.0662068965517242"/>
    <n v="1.5408074857043839E-2"/>
    <s v="Low Engagement"/>
    <n v="18"/>
    <n v="8.0971659919028341E-3"/>
    <n v="1.4238253440911248E-3"/>
    <n v="0.22033205359259619"/>
    <x v="1"/>
    <n v="9"/>
    <n v="2"/>
    <n v="100"/>
    <n v="117"/>
    <n v="88"/>
    <n v="0.18666825319032629"/>
    <n v="158447"/>
    <n v="15649"/>
    <n v="142798"/>
    <s v="Canada"/>
    <d v="2015-03-13T00:00:00"/>
    <s v="Has high school and/or college education"/>
    <x v="0"/>
    <x v="237"/>
    <n v="27"/>
    <x v="0"/>
  </r>
  <r>
    <s v="5f94e87571505dda87ebdda565111c2d"/>
    <n v="177"/>
    <n v="58"/>
    <n v="3.0517241379310347"/>
    <n v="1.5335297175532838E-2"/>
    <s v="Low Engagement"/>
    <n v="0"/>
    <n v="0"/>
    <n v="0"/>
    <n v="3.2380034323921981E-2"/>
    <x v="3"/>
    <n v="0"/>
    <n v="0"/>
    <n v="9"/>
    <n v="0"/>
    <n v="0"/>
    <n v="1.709439972856308E-3"/>
    <n v="1451"/>
    <n v="570"/>
    <n v="881"/>
    <s v="unknown"/>
    <d v="2020-02-29T00:00:00"/>
    <s v="Has no high school or college education"/>
    <x v="0"/>
    <x v="1"/>
    <n v="20"/>
    <x v="1"/>
  </r>
  <r>
    <s v="60179281504b1acf4153d129406b6b09"/>
    <n v="2223"/>
    <n v="729"/>
    <n v="3.0493827160493829"/>
    <n v="1.532353123642906E-2"/>
    <s v="Low Engagement"/>
    <n v="174"/>
    <n v="7.8272604588394065E-2"/>
    <n v="1.3763644992880873E-2"/>
    <n v="0.16780470815408272"/>
    <x v="1"/>
    <n v="98"/>
    <n v="36"/>
    <n v="517"/>
    <n v="240"/>
    <n v="286"/>
    <n v="0.10963035569546285"/>
    <n v="93056"/>
    <n v="74592"/>
    <n v="18464"/>
    <s v="USA"/>
    <d v="2014-02-17T00:00:00"/>
    <s v="Has high school and/or college education"/>
    <x v="0"/>
    <x v="2"/>
    <n v="27"/>
    <x v="0"/>
  </r>
  <r>
    <s v="e004a659d28f69df9d4609a339388391"/>
    <n v="823"/>
    <n v="270"/>
    <n v="3.0481481481481483"/>
    <n v="1.5317327377628885E-2"/>
    <s v="Low Engagement"/>
    <n v="3"/>
    <n v="3.6452004860267314E-3"/>
    <n v="2.3730422401518748E-4"/>
    <n v="5.3487493585373316E-2"/>
    <x v="3"/>
    <n v="0"/>
    <n v="0"/>
    <n v="27"/>
    <n v="88"/>
    <n v="80"/>
    <n v="2.2378230382085165E-2"/>
    <n v="18995"/>
    <n v="4292"/>
    <n v="14703"/>
    <s v="France"/>
    <d v="2019-08-19T00:00:00"/>
    <s v="Has no high school or college education"/>
    <x v="0"/>
    <x v="27"/>
    <n v="19"/>
    <x v="1"/>
  </r>
  <r>
    <s v="8a22d53ef42b809a5c128e1b0585b70b"/>
    <n v="1067"/>
    <n v="351"/>
    <n v="3.0398860398860399"/>
    <n v="1.5275809245658491E-2"/>
    <s v="Low Engagement"/>
    <n v="46"/>
    <n v="4.3111527647610122E-2"/>
    <n v="3.6386647682328747E-3"/>
    <n v="4.9971744582041844E-2"/>
    <x v="3"/>
    <n v="31"/>
    <n v="0"/>
    <n v="54"/>
    <n v="97"/>
    <n v="53"/>
    <n v="1.214279655425911E-2"/>
    <n v="10307"/>
    <n v="5864"/>
    <n v="4443"/>
    <s v="USA"/>
    <d v="2018-06-11T00:00:00"/>
    <s v="Has no high school or college education"/>
    <x v="0"/>
    <x v="238"/>
    <n v="22"/>
    <x v="0"/>
  </r>
  <r>
    <s v="deff2a99765ef19f810f646c5dc1716c"/>
    <n v="1793"/>
    <n v="590"/>
    <n v="3.0389830508474578"/>
    <n v="1.5271271612298782E-2"/>
    <s v="Low Engagement"/>
    <n v="72"/>
    <n v="4.0156162855549356E-2"/>
    <n v="5.6953013763644993E-3"/>
    <n v="6.315329262866208E-2"/>
    <x v="3"/>
    <n v="37"/>
    <n v="1"/>
    <n v="188"/>
    <n v="213"/>
    <n v="208"/>
    <n v="2.1220146651335509E-2"/>
    <n v="18012"/>
    <n v="1891"/>
    <n v="16121"/>
    <s v="unknown"/>
    <d v="2017-09-13T00:00:00"/>
    <s v="Has high school and/or college education"/>
    <x v="0"/>
    <x v="121"/>
    <n v="37"/>
    <x v="3"/>
  </r>
  <r>
    <s v="a996c47c51c05d5822a75686bbc9f996"/>
    <n v="661"/>
    <n v="219"/>
    <n v="3.0182648401826486"/>
    <n v="1.5167160000917832E-2"/>
    <s v="Low Engagement"/>
    <n v="3"/>
    <n v="4.5385779122541605E-3"/>
    <n v="2.3730422401518748E-4"/>
    <n v="4.2127046864222042E-2"/>
    <x v="3"/>
    <n v="0"/>
    <n v="0"/>
    <n v="24"/>
    <n v="29"/>
    <n v="36"/>
    <n v="1.1318118414355998E-2"/>
    <n v="9607"/>
    <n v="1553"/>
    <n v="8054"/>
    <s v="USA"/>
    <d v="2019-01-10T00:00:00"/>
    <s v="Has no high school or college education"/>
    <x v="0"/>
    <x v="239"/>
    <n v="24"/>
    <x v="0"/>
  </r>
  <r>
    <s v="98b0577ca2ce1ebdf600d356bcb36f6e"/>
    <n v="349"/>
    <n v="117"/>
    <n v="2.982905982905983"/>
    <n v="1.498947730103509E-2"/>
    <s v="Low Engagement"/>
    <n v="42"/>
    <n v="0.12034383954154727"/>
    <n v="3.3222591362126247E-3"/>
    <n v="4.2895739184272814E-2"/>
    <x v="3"/>
    <n v="16"/>
    <n v="0"/>
    <n v="11"/>
    <n v="352"/>
    <n v="323"/>
    <n v="6.2722663097773837E-3"/>
    <n v="5324"/>
    <n v="109"/>
    <n v="5215"/>
    <s v="United Kingdom"/>
    <d v="2019-06-02T00:00:00"/>
    <s v="Has no high school or college education"/>
    <x v="0"/>
    <x v="2"/>
    <n v="30"/>
    <x v="0"/>
  </r>
  <r>
    <s v="0478b4b772a699fc676c7d62653fdcb5"/>
    <n v="1011"/>
    <n v="340"/>
    <n v="2.973529411764706"/>
    <n v="1.4942358853088976E-2"/>
    <s v="Low Engagement"/>
    <n v="55"/>
    <n v="5.4401582591493573E-2"/>
    <n v="4.3505774402784365E-3"/>
    <n v="5.2590085513918104E-2"/>
    <x v="3"/>
    <n v="21"/>
    <n v="1"/>
    <n v="83"/>
    <n v="571"/>
    <n v="489"/>
    <n v="1.4004212927183277E-2"/>
    <n v="11887"/>
    <n v="8192"/>
    <n v="3695"/>
    <s v="Netherlands"/>
    <d v="2017-03-08T00:00:00"/>
    <s v="Has high school and/or college education"/>
    <x v="0"/>
    <x v="2"/>
    <n v="19"/>
    <x v="1"/>
  </r>
  <r>
    <s v="bc9f2bd044e3dbb3e86f97cb1fd9e926"/>
    <n v="1357"/>
    <n v="460"/>
    <n v="2.95"/>
    <n v="1.4824120603015077E-2"/>
    <s v="Low Engagement"/>
    <n v="50"/>
    <n v="3.6845983787767135E-2"/>
    <n v="3.9550704002531247E-3"/>
    <n v="0.11668153708372629"/>
    <x v="2"/>
    <n v="16"/>
    <n v="6"/>
    <n v="93"/>
    <n v="294"/>
    <n v="200"/>
    <n v="7.912315507718988E-2"/>
    <n v="67161"/>
    <n v="39686"/>
    <n v="27475"/>
    <s v="United Kingdom"/>
    <d v="2018-05-28T00:00:00"/>
    <s v="Has no high school or college education"/>
    <x v="0"/>
    <x v="2"/>
    <n v="31"/>
    <x v="3"/>
  </r>
  <r>
    <s v="f387a2f3950ea4171b9b4c62037d36e4"/>
    <n v="348"/>
    <n v="118"/>
    <n v="2.9491525423728815"/>
    <n v="1.481986202197428E-2"/>
    <s v="Low Engagement"/>
    <n v="12"/>
    <n v="3.4482758620689655E-2"/>
    <n v="9.4921689606074992E-4"/>
    <n v="3.6098627949734265E-2"/>
    <x v="3"/>
    <n v="6"/>
    <n v="1"/>
    <n v="73"/>
    <n v="63"/>
    <n v="41"/>
    <n v="4.5604701136642096E-3"/>
    <n v="3871"/>
    <n v="837"/>
    <n v="3034"/>
    <s v="Germany"/>
    <d v="2020-03-23T00:00:00"/>
    <s v="Has no high school or college education"/>
    <x v="0"/>
    <x v="240"/>
    <n v="29"/>
    <x v="0"/>
  </r>
  <r>
    <s v="993197e249309565b267eb178d40d298"/>
    <n v="2772"/>
    <n v="940"/>
    <n v="2.9489361702127659"/>
    <n v="1.4818774724687265E-2"/>
    <s v="Low Engagement"/>
    <n v="196"/>
    <n v="7.0707070707070704E-2"/>
    <n v="1.5503875968992248E-2"/>
    <n v="0.10437327069990733"/>
    <x v="2"/>
    <n v="80"/>
    <n v="18"/>
    <n v="566"/>
    <n v="585"/>
    <n v="504"/>
    <n v="4.3727969312548305E-2"/>
    <n v="37117"/>
    <n v="17915"/>
    <n v="19202"/>
    <s v="Sweden"/>
    <d v="2014-10-22T00:00:00"/>
    <s v="Has high school and/or college education"/>
    <x v="0"/>
    <x v="2"/>
    <n v="23"/>
    <x v="0"/>
  </r>
  <r>
    <s v="22dccf634683384d1f7f3523b741c44b"/>
    <n v="264"/>
    <n v="94"/>
    <n v="2.8085106382978724"/>
    <n v="1.4113118785416445E-2"/>
    <s v="Low Engagement"/>
    <n v="2"/>
    <n v="7.575757575757576E-3"/>
    <n v="1.5820281601012498E-4"/>
    <n v="3.4190510349561019E-2"/>
    <x v="3"/>
    <n v="0"/>
    <n v="0"/>
    <n v="15"/>
    <n v="29"/>
    <n v="25"/>
    <n v="5.6478671467078845E-3"/>
    <n v="4794"/>
    <n v="1084"/>
    <n v="3710"/>
    <s v="Poland"/>
    <d v="2020-11-08T00:00:00"/>
    <s v="Has no high school or college education"/>
    <x v="0"/>
    <x v="2"/>
    <n v="20"/>
    <x v="1"/>
  </r>
  <r>
    <s v="e6b8eeb65d25c1d487304d758b708f71"/>
    <n v="785"/>
    <n v="285"/>
    <n v="2.7543859649122808"/>
    <n v="1.3841135502071764E-2"/>
    <s v="Low Engagement"/>
    <n v="57"/>
    <n v="7.2611464968152864E-2"/>
    <n v="4.508780256288562E-3"/>
    <n v="4.9238473578133254E-2"/>
    <x v="3"/>
    <n v="33"/>
    <n v="1"/>
    <n v="87"/>
    <n v="169"/>
    <n v="158"/>
    <n v="1.2538642061412603E-2"/>
    <n v="10643"/>
    <n v="4103"/>
    <n v="6540"/>
    <s v="unknown"/>
    <d v="2020-03-02T00:00:00"/>
    <s v="Has no high school or college education"/>
    <x v="0"/>
    <x v="2"/>
    <n v="26"/>
    <x v="0"/>
  </r>
  <r>
    <s v="1f0695630f442ac608654e62db45cb08"/>
    <n v="1003"/>
    <n v="370"/>
    <n v="2.7108108108108109"/>
    <n v="1.3622164878446285E-2"/>
    <s v="Low Engagement"/>
    <n v="102"/>
    <n v="0.10169491525423729"/>
    <n v="8.0683436165163748E-3"/>
    <n v="6.6132708758223746E-2"/>
    <x v="3"/>
    <n v="38"/>
    <n v="8"/>
    <n v="187"/>
    <n v="186"/>
    <n v="158"/>
    <n v="2.2751691768298429E-2"/>
    <n v="19312"/>
    <n v="16377"/>
    <n v="2935"/>
    <s v="unknown"/>
    <d v="2014-07-23T00:00:00"/>
    <s v="Has high school and/or college education"/>
    <x v="0"/>
    <x v="1"/>
    <n v="25"/>
    <x v="0"/>
  </r>
  <r>
    <s v="5f7c8a61abe49b94678ff9c9e0be6a5a"/>
    <n v="152"/>
    <n v="57"/>
    <n v="2.6666666666666665"/>
    <n v="1.3400335008375208E-2"/>
    <s v="Low Engagement"/>
    <n v="18"/>
    <n v="0.11842105263157894"/>
    <n v="1.4238253440911248E-3"/>
    <n v="3.3379400232180029E-2"/>
    <x v="3"/>
    <n v="8"/>
    <n v="0"/>
    <n v="4"/>
    <n v="121"/>
    <n v="118"/>
    <n v="3.7310795272473656E-3"/>
    <n v="3167"/>
    <n v="581"/>
    <n v="2586"/>
    <s v="unknown"/>
    <d v="2020-11-25T00:00:00"/>
    <s v="Has no high school or college education"/>
    <x v="0"/>
    <x v="241"/>
    <n v="22"/>
    <x v="0"/>
  </r>
  <r>
    <s v="fe5333e3252d3d51261aa58835ad7918"/>
    <n v="3125"/>
    <n v="1201"/>
    <n v="2.6019983347210656"/>
    <n v="1.3075368516186259E-2"/>
    <s v="Low Engagement"/>
    <n v="361"/>
    <n v="0.11552"/>
    <n v="2.8555608289827557E-2"/>
    <n v="0.2162495504528035"/>
    <x v="1"/>
    <n v="4"/>
    <n v="348"/>
    <n v="2557"/>
    <n v="22"/>
    <n v="884"/>
    <n v="0.13298759684077585"/>
    <n v="112882"/>
    <n v="11125"/>
    <n v="101757"/>
    <s v="unknown"/>
    <d v="2014-12-08T00:00:00"/>
    <s v="Has high school and/or college education"/>
    <x v="0"/>
    <x v="2"/>
    <n v="26"/>
    <x v="0"/>
  </r>
  <r>
    <s v="72cbf27b287607be4db7f780b846f2c2"/>
    <n v="892"/>
    <n v="350"/>
    <n v="2.5485714285714285"/>
    <n v="1.280689160086145E-2"/>
    <s v="Low Engagement"/>
    <n v="11"/>
    <n v="1.2331838565022421E-2"/>
    <n v="8.7011548805568742E-4"/>
    <n v="6.8728116456773417E-2"/>
    <x v="3"/>
    <n v="7"/>
    <n v="1"/>
    <n v="31"/>
    <n v="19"/>
    <n v="25"/>
    <n v="4.1374102278939132E-2"/>
    <n v="35119"/>
    <n v="10394"/>
    <n v="24725"/>
    <s v="USA"/>
    <d v="2019-06-11T00:00:00"/>
    <s v="Has no high school or college education"/>
    <x v="0"/>
    <x v="242"/>
    <n v="39"/>
    <x v="3"/>
  </r>
  <r>
    <s v="b278ab69943e88370ef081da4324d31c"/>
    <n v="516"/>
    <n v="204"/>
    <n v="2.5294117647058822"/>
    <n v="1.2710611882944131E-2"/>
    <s v="Low Engagement"/>
    <n v="16"/>
    <n v="3.1007751937984496E-2"/>
    <n v="1.2656225280809998E-3"/>
    <n v="4.6944806384018933E-2"/>
    <x v="3"/>
    <n v="6"/>
    <n v="1"/>
    <n v="59"/>
    <n v="36"/>
    <n v="26"/>
    <n v="1.8992337561968671E-2"/>
    <n v="16121"/>
    <n v="9186"/>
    <n v="6935"/>
    <s v="unknown"/>
    <d v="2019-01-14T00:00:00"/>
    <s v="Has no high school or college education"/>
    <x v="0"/>
    <x v="243"/>
    <n v="39"/>
    <x v="3"/>
  </r>
  <r>
    <s v="e7d4e744902e9c2cd27e97b8af88a8fd"/>
    <n v="323"/>
    <n v="134"/>
    <n v="2.41044776119403"/>
    <n v="1.2112802820070503E-2"/>
    <s v="Low Engagement"/>
    <n v="27"/>
    <n v="8.3591331269349839E-2"/>
    <n v="2.1357380161366873E-3"/>
    <n v="3.408604323770062E-2"/>
    <x v="3"/>
    <n v="6"/>
    <n v="4"/>
    <n v="98"/>
    <n v="328"/>
    <n v="309"/>
    <n v="5.5889615652862344E-3"/>
    <n v="4744"/>
    <n v="208"/>
    <n v="4536"/>
    <s v="Austria"/>
    <d v="2019-03-05T00:00:00"/>
    <s v="Has no high school or college education"/>
    <x v="0"/>
    <x v="244"/>
    <n v="22"/>
    <x v="0"/>
  </r>
  <r>
    <s v="5e533f4fbc8606dd63f9f6be1ee1868d"/>
    <n v="2673"/>
    <n v="1150"/>
    <n v="2.3243478260869566"/>
    <n v="1.1680139829582697E-2"/>
    <s v="Low Engagement"/>
    <n v="46"/>
    <n v="1.7209128320239433E-2"/>
    <n v="3.6386647682328747E-3"/>
    <n v="0.11023554325907951"/>
    <x v="2"/>
    <n v="29"/>
    <n v="8"/>
    <n v="76"/>
    <n v="35"/>
    <n v="44"/>
    <n v="7.9597934063448381E-2"/>
    <n v="67564"/>
    <n v="7241"/>
    <n v="60323"/>
    <s v="USA"/>
    <d v="2013-07-16T00:00:00"/>
    <s v="Has high school and/or college education"/>
    <x v="0"/>
    <x v="245"/>
    <n v="27"/>
    <x v="0"/>
  </r>
  <r>
    <s v="a124bbdc98df6b93f4c8c59cf9c8e2a0"/>
    <n v="83"/>
    <n v="36"/>
    <n v="2.3055555555555554"/>
    <n v="1.1585706309324399E-2"/>
    <s v="Low Engagement"/>
    <n v="0"/>
    <n v="0"/>
    <n v="0"/>
    <n v="2.500337620086214E-2"/>
    <x v="3"/>
    <n v="0"/>
    <n v="0"/>
    <n v="7"/>
    <n v="0"/>
    <n v="0"/>
    <n v="1.8319635822133418E-3"/>
    <n v="1555"/>
    <n v="1047"/>
    <n v="508"/>
    <s v="unknown"/>
    <d v="2020-12-28T00:00:00"/>
    <s v="Has no high school or college education"/>
    <x v="0"/>
    <x v="2"/>
    <n v="27"/>
    <x v="0"/>
  </r>
  <r>
    <s v="dc206431d3a1d784cfa507d81982528a"/>
    <n v="746"/>
    <n v="346"/>
    <n v="2.1560693641618496"/>
    <n v="1.0834519417898742E-2"/>
    <s v="Low Engagement"/>
    <n v="35"/>
    <n v="4.6916890080428951E-2"/>
    <n v="2.7685492801771874E-3"/>
    <n v="6.061384884362693E-2"/>
    <x v="3"/>
    <n v="22"/>
    <n v="2"/>
    <n v="248"/>
    <n v="256"/>
    <n v="186"/>
    <n v="3.3407711447475071E-2"/>
    <n v="28357"/>
    <n v="1444"/>
    <n v="26913"/>
    <s v="USA"/>
    <d v="2016-06-05T00:00:00"/>
    <s v="Has high school and/or college education"/>
    <x v="1"/>
    <x v="60"/>
    <n v="25"/>
    <x v="0"/>
  </r>
  <r>
    <s v="b7e5c5e31b8025ea9c6f02522a089b3e"/>
    <n v="120"/>
    <n v="59"/>
    <n v="2.0338983050847457"/>
    <n v="1.0220594497913295E-2"/>
    <s v="Low Engagement"/>
    <n v="22"/>
    <n v="0.18333333333333332"/>
    <n v="1.7402309761113748E-3"/>
    <n v="2.4838221794970226E-2"/>
    <x v="3"/>
    <n v="13"/>
    <n v="1"/>
    <n v="9"/>
    <n v="60"/>
    <n v="41"/>
    <n v="9.1657084692088749E-4"/>
    <n v="778"/>
    <n v="393"/>
    <n v="385"/>
    <s v="Germany"/>
    <d v="2017-10-17T00:00:00"/>
    <s v="Has no high school or college education"/>
    <x v="0"/>
    <x v="2"/>
    <n v="18"/>
    <x v="1"/>
  </r>
  <r>
    <s v="99c264b55b963914bb713b20d1f6d7a1"/>
    <n v="2"/>
    <n v="1"/>
    <n v="2"/>
    <n v="1.0050251256281407E-2"/>
    <s v="Low Engagement"/>
    <n v="121"/>
    <n v="60.5"/>
    <n v="9.5712703686125621E-3"/>
    <n v="3.9252468142815404E-2"/>
    <x v="3"/>
    <n v="15"/>
    <n v="75"/>
    <n v="0"/>
    <n v="252"/>
    <n v="343"/>
    <n v="9.424893027464138E-6"/>
    <n v="8"/>
    <n v="2"/>
    <n v="6"/>
    <s v="Canada"/>
    <d v="2019-11-15T00:00:00"/>
    <s v="Has no high school or college education"/>
    <x v="0"/>
    <x v="10"/>
    <n v="23"/>
    <x v="0"/>
  </r>
  <r>
    <s v="bad352e80a33fce8ae026367e03c5cf0"/>
    <n v="2"/>
    <n v="1"/>
    <n v="2"/>
    <n v="1.0050251256281407E-2"/>
    <s v="Low Engagement"/>
    <n v="77"/>
    <n v="38.5"/>
    <n v="6.090808416389812E-3"/>
    <n v="3.2628484164101745E-2"/>
    <x v="3"/>
    <n v="26"/>
    <n v="10"/>
    <n v="0"/>
    <n v="389"/>
    <n v="388"/>
    <n v="3.4636481875930709E-4"/>
    <n v="294"/>
    <n v="0"/>
    <n v="294"/>
    <s v="Ukraine"/>
    <d v="2019-08-29T00:00:00"/>
    <s v="Has no high school or college education"/>
    <x v="0"/>
    <x v="2"/>
    <n v="35"/>
    <x v="3"/>
  </r>
  <r>
    <s v="82ff59c3bc2a29718ed481bc1ad99ad4"/>
    <n v="5"/>
    <n v="3"/>
    <n v="1.6666666666666667"/>
    <n v="8.3752093802345069E-3"/>
    <s v="Low Engagement"/>
    <n v="0"/>
    <n v="0"/>
    <n v="0"/>
    <n v="1.6751596872097447E-2"/>
    <x v="3"/>
    <n v="0"/>
    <n v="0"/>
    <n v="0"/>
    <n v="0"/>
    <n v="0"/>
    <n v="1.1781116284330173E-6"/>
    <n v="1"/>
    <n v="0"/>
    <n v="1"/>
    <s v="Spain"/>
    <d v="2021-02-02T00:00:00"/>
    <s v="Has no high school or college education"/>
    <x v="0"/>
    <x v="246"/>
    <n v="29"/>
    <x v="0"/>
  </r>
  <r>
    <s v="2339072b403384b85c08d2ddb0a9c6a9"/>
    <n v="28"/>
    <n v="17"/>
    <n v="1.6470588235294117"/>
    <n v="8.2766775051729222E-3"/>
    <s v="Low Engagement"/>
    <n v="0"/>
    <n v="0"/>
    <n v="0"/>
    <n v="1.9680063272207074E-2"/>
    <x v="3"/>
    <n v="0"/>
    <n v="0"/>
    <n v="0"/>
    <n v="0"/>
    <n v="0"/>
    <n v="3.1267082618612278E-3"/>
    <n v="2654"/>
    <n v="2"/>
    <n v="2652"/>
    <s v="unknown"/>
    <d v="2020-08-23T00:00:00"/>
    <s v="Has no high school or college education"/>
    <x v="0"/>
    <x v="2"/>
    <n v="24"/>
    <x v="0"/>
  </r>
  <r>
    <s v="67bbc7ec35e337ae531fc4bab78c2418"/>
    <n v="3"/>
    <n v="2"/>
    <n v="1.5"/>
    <n v="7.537688442211055E-3"/>
    <s v="Low Engagement"/>
    <n v="75"/>
    <n v="25"/>
    <n v="5.9326056003796866E-3"/>
    <n v="2.6940588085181481E-2"/>
    <x v="3"/>
    <n v="29"/>
    <n v="1"/>
    <n v="0"/>
    <n v="533"/>
    <n v="491"/>
    <n v="0"/>
    <n v="0"/>
    <n v="0"/>
    <n v="0"/>
    <s v="Australia"/>
    <d v="2021-04-04T00:00:00"/>
    <s v="Has no high school or college education"/>
    <x v="0"/>
    <x v="2"/>
    <n v="2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CC4B0-6CF0-485B-B3FE-343962186153}" name="pivot_f_table" cacheId="0" dataOnRows="1" applyNumberFormats="0" applyBorderFormats="0" applyFontFormats="0" applyPatternFormats="0" applyAlignmentFormats="0" applyWidthHeightFormats="1" dataCaption="Average" updatedVersion="8" minRefreshableVersion="3" itemPrintTitles="1" createdVersion="8" indent="0" outline="1" outlineData="1" multipleFieldFilters="0">
  <location ref="I8:J13" firstHeaderRow="1" firstDataRow="1" firstDataCol="1" rowPageCount="1" colPageCount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numFmtId="14" showAll="0"/>
    <pivotField showAll="0"/>
    <pivotField axis="axisPage" showAll="0">
      <items count="3">
        <item x="0"/>
        <item x="1"/>
        <item t="default"/>
      </items>
    </pivotField>
    <pivotField showAll="0">
      <items count="248">
        <item x="7"/>
        <item x="157"/>
        <item x="72"/>
        <item x="38"/>
        <item x="140"/>
        <item x="96"/>
        <item x="73"/>
        <item x="8"/>
        <item x="209"/>
        <item x="193"/>
        <item x="52"/>
        <item x="167"/>
        <item x="118"/>
        <item x="92"/>
        <item x="190"/>
        <item x="22"/>
        <item x="165"/>
        <item x="130"/>
        <item x="13"/>
        <item x="46"/>
        <item x="100"/>
        <item x="18"/>
        <item x="65"/>
        <item x="186"/>
        <item x="55"/>
        <item x="239"/>
        <item x="58"/>
        <item x="50"/>
        <item x="19"/>
        <item x="105"/>
        <item x="222"/>
        <item x="234"/>
        <item x="81"/>
        <item x="86"/>
        <item x="178"/>
        <item x="182"/>
        <item x="122"/>
        <item x="138"/>
        <item x="168"/>
        <item x="212"/>
        <item x="181"/>
        <item x="106"/>
        <item x="246"/>
        <item x="241"/>
        <item x="23"/>
        <item x="16"/>
        <item x="119"/>
        <item x="25"/>
        <item x="141"/>
        <item x="216"/>
        <item x="43"/>
        <item x="230"/>
        <item x="124"/>
        <item x="200"/>
        <item x="131"/>
        <item x="171"/>
        <item x="136"/>
        <item x="41"/>
        <item x="101"/>
        <item x="77"/>
        <item x="83"/>
        <item x="28"/>
        <item x="5"/>
        <item x="127"/>
        <item x="78"/>
        <item x="112"/>
        <item x="113"/>
        <item x="125"/>
        <item x="1"/>
        <item x="235"/>
        <item x="91"/>
        <item x="123"/>
        <item x="129"/>
        <item x="184"/>
        <item x="70"/>
        <item x="111"/>
        <item x="175"/>
        <item x="60"/>
        <item x="93"/>
        <item x="150"/>
        <item x="176"/>
        <item x="177"/>
        <item x="21"/>
        <item x="227"/>
        <item x="37"/>
        <item x="204"/>
        <item x="145"/>
        <item x="179"/>
        <item x="59"/>
        <item x="158"/>
        <item x="205"/>
        <item x="144"/>
        <item x="185"/>
        <item x="26"/>
        <item x="57"/>
        <item x="89"/>
        <item x="95"/>
        <item x="31"/>
        <item x="210"/>
        <item x="206"/>
        <item x="143"/>
        <item x="11"/>
        <item x="128"/>
        <item x="161"/>
        <item x="109"/>
        <item x="15"/>
        <item x="237"/>
        <item x="155"/>
        <item x="242"/>
        <item x="197"/>
        <item x="121"/>
        <item x="54"/>
        <item x="44"/>
        <item x="14"/>
        <item x="169"/>
        <item x="68"/>
        <item x="99"/>
        <item x="114"/>
        <item x="207"/>
        <item x="226"/>
        <item x="219"/>
        <item x="224"/>
        <item x="80"/>
        <item x="30"/>
        <item x="208"/>
        <item x="74"/>
        <item x="173"/>
        <item x="147"/>
        <item x="228"/>
        <item x="152"/>
        <item x="231"/>
        <item x="84"/>
        <item x="221"/>
        <item x="71"/>
        <item x="229"/>
        <item x="154"/>
        <item x="62"/>
        <item x="110"/>
        <item x="9"/>
        <item x="199"/>
        <item x="245"/>
        <item x="126"/>
        <item x="42"/>
        <item x="64"/>
        <item x="201"/>
        <item x="10"/>
        <item x="39"/>
        <item x="135"/>
        <item x="120"/>
        <item x="20"/>
        <item x="194"/>
        <item x="0"/>
        <item x="87"/>
        <item x="223"/>
        <item x="12"/>
        <item x="51"/>
        <item x="94"/>
        <item x="102"/>
        <item x="137"/>
        <item x="164"/>
        <item x="40"/>
        <item x="63"/>
        <item x="35"/>
        <item x="6"/>
        <item x="75"/>
        <item x="98"/>
        <item x="195"/>
        <item x="32"/>
        <item x="139"/>
        <item x="232"/>
        <item x="211"/>
        <item x="220"/>
        <item x="240"/>
        <item x="236"/>
        <item x="79"/>
        <item x="49"/>
        <item x="156"/>
        <item x="61"/>
        <item x="160"/>
        <item x="69"/>
        <item x="24"/>
        <item x="203"/>
        <item x="238"/>
        <item x="198"/>
        <item x="33"/>
        <item x="97"/>
        <item x="76"/>
        <item x="213"/>
        <item x="108"/>
        <item x="48"/>
        <item x="116"/>
        <item x="187"/>
        <item x="66"/>
        <item x="53"/>
        <item x="88"/>
        <item x="172"/>
        <item x="17"/>
        <item x="134"/>
        <item x="3"/>
        <item x="36"/>
        <item x="103"/>
        <item x="214"/>
        <item x="163"/>
        <item x="159"/>
        <item x="189"/>
        <item x="174"/>
        <item x="148"/>
        <item x="27"/>
        <item x="90"/>
        <item x="180"/>
        <item x="85"/>
        <item x="132"/>
        <item x="29"/>
        <item x="67"/>
        <item x="149"/>
        <item x="151"/>
        <item x="170"/>
        <item x="191"/>
        <item x="107"/>
        <item x="215"/>
        <item x="45"/>
        <item x="188"/>
        <item x="233"/>
        <item x="115"/>
        <item x="192"/>
        <item x="196"/>
        <item x="162"/>
        <item x="166"/>
        <item x="2"/>
        <item x="217"/>
        <item x="142"/>
        <item x="133"/>
        <item x="225"/>
        <item x="202"/>
        <item x="56"/>
        <item x="117"/>
        <item x="153"/>
        <item x="34"/>
        <item x="244"/>
        <item x="243"/>
        <item x="104"/>
        <item x="218"/>
        <item x="183"/>
        <item x="47"/>
        <item x="82"/>
        <item x="146"/>
        <item x="4"/>
        <item t="default"/>
      </items>
    </pivotField>
    <pivotField showAll="0"/>
    <pivotField showAll="0">
      <items count="6">
        <item x="3"/>
        <item x="2"/>
        <item x="4"/>
        <item x="1"/>
        <item x="0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pageFields count="1">
    <pageField fld="23" item="1" hier="-1"/>
  </pageFields>
  <dataFields count="5">
    <dataField name="Matches " fld="13" subtotal="average" baseField="0" baseItem="0"/>
    <dataField name="Swipe Right (LIKE) " fld="18" subtotal="average" baseField="0" baseItem="0"/>
    <dataField name="Swipe Left (PASS) " fld="19" subtotal="average" baseField="0" baseItem="0"/>
    <dataField name="Texts Sent " fld="14" subtotal="average" baseField="0" baseItem="0"/>
    <dataField name="Texts Received " fld="15" subtotal="average" baseField="0" baseItem="0"/>
  </dataFields>
  <formats count="13">
    <format dxfId="1730">
      <pivotArea outline="0" collapsedLevelsAreSubtotals="1" fieldPosition="0"/>
    </format>
    <format dxfId="1731">
      <pivotArea field="-2" type="button" dataOnly="0" labelOnly="1" outline="0" axis="axisRow" fieldPosition="0"/>
    </format>
    <format dxfId="1732">
      <pivotArea dataOnly="0" labelOnly="1" grandCol="1" outline="0" axis="axisCol" fieldPosition="0"/>
    </format>
    <format dxfId="1733">
      <pivotArea type="all" dataOnly="0" outline="0" fieldPosition="0"/>
    </format>
    <format dxfId="1734">
      <pivotArea outline="0" collapsedLevelsAreSubtotals="1" fieldPosition="0"/>
    </format>
    <format dxfId="1735">
      <pivotArea field="-2" type="button" dataOnly="0" labelOnly="1" outline="0" axis="axisRow" fieldPosition="0"/>
    </format>
    <format dxfId="173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737">
      <pivotArea dataOnly="0" labelOnly="1" grandCol="1" outline="0" axis="axisCol" fieldPosition="0"/>
    </format>
    <format dxfId="1738">
      <pivotArea type="all" dataOnly="0" outline="0" fieldPosition="0"/>
    </format>
    <format dxfId="1739">
      <pivotArea outline="0" collapsedLevelsAreSubtotals="1" fieldPosition="0"/>
    </format>
    <format dxfId="1740">
      <pivotArea field="-2" type="button" dataOnly="0" labelOnly="1" outline="0" axis="axisRow" fieldPosition="0"/>
    </format>
    <format dxfId="174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742">
      <pivotArea dataOnly="0" labelOnly="1" grandCol="1" outline="0" axis="axisCol" fieldPosition="0"/>
    </format>
  </formats>
  <pivotTableStyleInfo name="PivotStyleLight20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59FBA-15A7-48D6-86A3-69BC4A6DB458}" name="Tabela przestawna4" cacheId="0" dataOnRows="1" applyNumberFormats="0" applyBorderFormats="0" applyFontFormats="0" applyPatternFormats="0" applyAlignmentFormats="0" applyWidthHeightFormats="1" dataCaption="Wartości" updatedVersion="8" minRefreshableVersion="3" itemPrintTitles="1" createdVersion="8" indent="0" outline="1" outlineData="1" multipleFieldFilters="0">
  <location ref="J4:J5" firstHeaderRow="1" firstDataRow="1" firstDataCol="0" rowPageCount="1" colPageCount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ame="Gender:" axis="axisPage" showAll="0">
      <items count="3">
        <item x="0"/>
        <item x="1"/>
        <item t="default"/>
      </items>
    </pivotField>
    <pivotField showAll="0">
      <items count="248">
        <item x="7"/>
        <item x="157"/>
        <item x="72"/>
        <item x="38"/>
        <item x="140"/>
        <item x="96"/>
        <item x="73"/>
        <item x="8"/>
        <item x="209"/>
        <item x="193"/>
        <item x="52"/>
        <item x="167"/>
        <item x="118"/>
        <item x="92"/>
        <item x="190"/>
        <item x="22"/>
        <item x="165"/>
        <item x="130"/>
        <item x="13"/>
        <item x="46"/>
        <item x="100"/>
        <item x="18"/>
        <item x="65"/>
        <item x="186"/>
        <item x="55"/>
        <item x="239"/>
        <item x="58"/>
        <item x="50"/>
        <item x="19"/>
        <item x="105"/>
        <item x="222"/>
        <item x="234"/>
        <item x="81"/>
        <item x="86"/>
        <item x="178"/>
        <item x="182"/>
        <item x="122"/>
        <item x="138"/>
        <item x="168"/>
        <item x="212"/>
        <item x="181"/>
        <item x="106"/>
        <item x="246"/>
        <item x="241"/>
        <item x="23"/>
        <item x="16"/>
        <item x="119"/>
        <item x="25"/>
        <item x="141"/>
        <item x="216"/>
        <item x="43"/>
        <item x="230"/>
        <item x="124"/>
        <item x="200"/>
        <item x="131"/>
        <item x="171"/>
        <item x="136"/>
        <item x="41"/>
        <item x="101"/>
        <item x="77"/>
        <item x="83"/>
        <item x="28"/>
        <item x="5"/>
        <item x="127"/>
        <item x="78"/>
        <item x="112"/>
        <item x="113"/>
        <item x="125"/>
        <item x="1"/>
        <item x="235"/>
        <item x="91"/>
        <item x="123"/>
        <item x="129"/>
        <item x="184"/>
        <item x="70"/>
        <item x="111"/>
        <item x="175"/>
        <item x="60"/>
        <item x="93"/>
        <item x="150"/>
        <item x="176"/>
        <item x="177"/>
        <item x="21"/>
        <item x="227"/>
        <item x="37"/>
        <item x="204"/>
        <item x="145"/>
        <item x="179"/>
        <item x="59"/>
        <item x="158"/>
        <item x="205"/>
        <item x="144"/>
        <item x="185"/>
        <item x="26"/>
        <item x="57"/>
        <item x="89"/>
        <item x="95"/>
        <item x="31"/>
        <item x="210"/>
        <item x="206"/>
        <item x="143"/>
        <item x="11"/>
        <item x="128"/>
        <item x="161"/>
        <item x="109"/>
        <item x="15"/>
        <item x="237"/>
        <item x="155"/>
        <item x="242"/>
        <item x="197"/>
        <item x="121"/>
        <item x="54"/>
        <item x="44"/>
        <item x="14"/>
        <item x="169"/>
        <item x="68"/>
        <item x="99"/>
        <item x="114"/>
        <item x="207"/>
        <item x="226"/>
        <item x="219"/>
        <item x="224"/>
        <item x="80"/>
        <item x="30"/>
        <item x="208"/>
        <item x="74"/>
        <item x="173"/>
        <item x="147"/>
        <item x="228"/>
        <item x="152"/>
        <item x="231"/>
        <item x="84"/>
        <item x="221"/>
        <item x="71"/>
        <item x="229"/>
        <item x="154"/>
        <item x="62"/>
        <item x="110"/>
        <item x="9"/>
        <item x="199"/>
        <item x="245"/>
        <item x="126"/>
        <item x="42"/>
        <item x="64"/>
        <item x="201"/>
        <item x="10"/>
        <item x="39"/>
        <item x="135"/>
        <item x="120"/>
        <item x="20"/>
        <item x="194"/>
        <item x="0"/>
        <item x="87"/>
        <item x="223"/>
        <item x="12"/>
        <item x="51"/>
        <item x="94"/>
        <item x="102"/>
        <item x="137"/>
        <item x="164"/>
        <item x="40"/>
        <item x="63"/>
        <item x="35"/>
        <item x="6"/>
        <item x="75"/>
        <item x="98"/>
        <item x="195"/>
        <item x="32"/>
        <item x="139"/>
        <item x="232"/>
        <item x="211"/>
        <item x="220"/>
        <item x="240"/>
        <item x="236"/>
        <item x="79"/>
        <item x="49"/>
        <item x="156"/>
        <item x="61"/>
        <item x="160"/>
        <item x="69"/>
        <item x="24"/>
        <item x="203"/>
        <item x="238"/>
        <item x="198"/>
        <item x="33"/>
        <item x="97"/>
        <item x="76"/>
        <item x="213"/>
        <item x="108"/>
        <item x="48"/>
        <item x="116"/>
        <item x="187"/>
        <item x="66"/>
        <item x="53"/>
        <item x="88"/>
        <item x="172"/>
        <item x="17"/>
        <item x="134"/>
        <item x="3"/>
        <item x="36"/>
        <item x="103"/>
        <item x="214"/>
        <item x="163"/>
        <item x="159"/>
        <item x="189"/>
        <item x="174"/>
        <item x="148"/>
        <item x="27"/>
        <item x="90"/>
        <item x="180"/>
        <item x="85"/>
        <item x="132"/>
        <item x="29"/>
        <item x="67"/>
        <item x="149"/>
        <item x="151"/>
        <item x="170"/>
        <item x="191"/>
        <item x="107"/>
        <item x="215"/>
        <item x="45"/>
        <item x="188"/>
        <item x="233"/>
        <item x="115"/>
        <item x="192"/>
        <item x="196"/>
        <item x="162"/>
        <item x="166"/>
        <item x="2"/>
        <item x="217"/>
        <item x="142"/>
        <item x="133"/>
        <item x="225"/>
        <item x="202"/>
        <item x="56"/>
        <item x="117"/>
        <item x="153"/>
        <item x="34"/>
        <item x="244"/>
        <item x="243"/>
        <item x="104"/>
        <item x="218"/>
        <item x="183"/>
        <item x="47"/>
        <item x="82"/>
        <item x="146"/>
        <item x="4"/>
        <item t="default"/>
      </items>
    </pivotField>
    <pivotField showAll="0"/>
    <pivotField showAll="0">
      <items count="6">
        <item x="3"/>
        <item x="2"/>
        <item x="4"/>
        <item x="1"/>
        <item x="0"/>
        <item t="default"/>
      </items>
    </pivotField>
  </pivotFields>
  <rowItems count="1">
    <i/>
  </rowItems>
  <colItems count="1">
    <i/>
  </colItems>
  <pageFields count="1">
    <pageField fld="23" item="1" hier="-1"/>
  </pageFields>
  <dataFields count="1">
    <dataField name="In the dataset" fld="0" subtotal="count" baseField="0" baseItem="0"/>
  </dataFields>
  <formats count="9">
    <format dxfId="1696">
      <pivotArea outline="0" collapsedLevelsAreSubtotals="1" fieldPosition="0"/>
    </format>
    <format dxfId="1697">
      <pivotArea outline="0" collapsedLevelsAreSubtotals="1" fieldPosition="0"/>
    </format>
    <format dxfId="1698">
      <pivotArea outline="0" collapsedLevelsAreSubtotals="1" fieldPosition="0"/>
    </format>
    <format dxfId="1699">
      <pivotArea type="all" dataOnly="0" outline="0" fieldPosition="0"/>
    </format>
    <format dxfId="1700">
      <pivotArea outline="0" collapsedLevelsAreSubtotals="1" fieldPosition="0"/>
    </format>
    <format dxfId="1701">
      <pivotArea dataOnly="0" labelOnly="1" outline="0" axis="axisValues" fieldPosition="0"/>
    </format>
    <format dxfId="1702">
      <pivotArea type="all" dataOnly="0" outline="0" fieldPosition="0"/>
    </format>
    <format dxfId="1703">
      <pivotArea outline="0" collapsedLevelsAreSubtotals="1" fieldPosition="0"/>
    </format>
    <format dxfId="1704">
      <pivotArea dataOnly="0" labelOnly="1" outline="0" axis="axisValues" fieldPosition="0"/>
    </format>
  </formats>
  <pivotTableStyleInfo name="Głęboki różowy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1930DC-9D5B-4CAC-A2A4-D58A50C1BBC3}" name="pivot_m_table" cacheId="0" dataOnRows="1" applyNumberFormats="0" applyBorderFormats="0" applyFontFormats="0" applyPatternFormats="0" applyAlignmentFormats="0" applyWidthHeightFormats="1" dataCaption="Average" updatedVersion="8" minRefreshableVersion="3" itemPrintTitles="1" createdVersion="8" indent="0" outline="1" outlineData="1" multipleFieldFilters="0">
  <location ref="D8:E13" firstHeaderRow="1" firstDataRow="1" firstDataCol="1" rowPageCount="1" colPageCount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numFmtId="14" showAll="0"/>
    <pivotField showAll="0"/>
    <pivotField axis="axisPage" showAll="0">
      <items count="3">
        <item x="0"/>
        <item x="1"/>
        <item t="default"/>
      </items>
    </pivotField>
    <pivotField showAll="0">
      <items count="248">
        <item x="7"/>
        <item x="157"/>
        <item x="72"/>
        <item x="38"/>
        <item x="140"/>
        <item x="96"/>
        <item x="73"/>
        <item x="8"/>
        <item x="209"/>
        <item x="193"/>
        <item x="52"/>
        <item x="167"/>
        <item x="118"/>
        <item x="92"/>
        <item x="190"/>
        <item x="22"/>
        <item x="165"/>
        <item x="130"/>
        <item x="13"/>
        <item x="46"/>
        <item x="100"/>
        <item x="18"/>
        <item x="65"/>
        <item x="186"/>
        <item x="55"/>
        <item x="239"/>
        <item x="58"/>
        <item x="50"/>
        <item x="19"/>
        <item x="105"/>
        <item x="222"/>
        <item x="234"/>
        <item x="81"/>
        <item x="86"/>
        <item x="178"/>
        <item x="182"/>
        <item x="122"/>
        <item x="138"/>
        <item x="168"/>
        <item x="212"/>
        <item x="181"/>
        <item x="106"/>
        <item x="246"/>
        <item x="241"/>
        <item x="23"/>
        <item x="16"/>
        <item x="119"/>
        <item x="25"/>
        <item x="141"/>
        <item x="216"/>
        <item x="43"/>
        <item x="230"/>
        <item x="124"/>
        <item x="200"/>
        <item x="131"/>
        <item x="171"/>
        <item x="136"/>
        <item x="41"/>
        <item x="101"/>
        <item x="77"/>
        <item x="83"/>
        <item x="28"/>
        <item x="5"/>
        <item x="127"/>
        <item x="78"/>
        <item x="112"/>
        <item x="113"/>
        <item x="125"/>
        <item x="1"/>
        <item x="235"/>
        <item x="91"/>
        <item x="123"/>
        <item x="129"/>
        <item x="184"/>
        <item x="70"/>
        <item x="111"/>
        <item x="175"/>
        <item x="60"/>
        <item x="93"/>
        <item x="150"/>
        <item x="176"/>
        <item x="177"/>
        <item x="21"/>
        <item x="227"/>
        <item x="37"/>
        <item x="204"/>
        <item x="145"/>
        <item x="179"/>
        <item x="59"/>
        <item x="158"/>
        <item x="205"/>
        <item x="144"/>
        <item x="185"/>
        <item x="26"/>
        <item x="57"/>
        <item x="89"/>
        <item x="95"/>
        <item x="31"/>
        <item x="210"/>
        <item x="206"/>
        <item x="143"/>
        <item x="11"/>
        <item x="128"/>
        <item x="161"/>
        <item x="109"/>
        <item x="15"/>
        <item x="237"/>
        <item x="155"/>
        <item x="242"/>
        <item x="197"/>
        <item x="121"/>
        <item x="54"/>
        <item x="44"/>
        <item x="14"/>
        <item x="169"/>
        <item x="68"/>
        <item x="99"/>
        <item x="114"/>
        <item x="207"/>
        <item x="226"/>
        <item x="219"/>
        <item x="224"/>
        <item x="80"/>
        <item x="30"/>
        <item x="208"/>
        <item x="74"/>
        <item x="173"/>
        <item x="147"/>
        <item x="228"/>
        <item x="152"/>
        <item x="231"/>
        <item x="84"/>
        <item x="221"/>
        <item x="71"/>
        <item x="229"/>
        <item x="154"/>
        <item x="62"/>
        <item x="110"/>
        <item x="9"/>
        <item x="199"/>
        <item x="245"/>
        <item x="126"/>
        <item x="42"/>
        <item x="64"/>
        <item x="201"/>
        <item x="10"/>
        <item x="39"/>
        <item x="135"/>
        <item x="120"/>
        <item x="20"/>
        <item x="194"/>
        <item x="0"/>
        <item x="87"/>
        <item x="223"/>
        <item x="12"/>
        <item x="51"/>
        <item x="94"/>
        <item x="102"/>
        <item x="137"/>
        <item x="164"/>
        <item x="40"/>
        <item x="63"/>
        <item x="35"/>
        <item x="6"/>
        <item x="75"/>
        <item x="98"/>
        <item x="195"/>
        <item x="32"/>
        <item x="139"/>
        <item x="232"/>
        <item x="211"/>
        <item x="220"/>
        <item x="240"/>
        <item x="236"/>
        <item x="79"/>
        <item x="49"/>
        <item x="156"/>
        <item x="61"/>
        <item x="160"/>
        <item x="69"/>
        <item x="24"/>
        <item x="203"/>
        <item x="238"/>
        <item x="198"/>
        <item x="33"/>
        <item x="97"/>
        <item x="76"/>
        <item x="213"/>
        <item x="108"/>
        <item x="48"/>
        <item x="116"/>
        <item x="187"/>
        <item x="66"/>
        <item x="53"/>
        <item x="88"/>
        <item x="172"/>
        <item x="17"/>
        <item x="134"/>
        <item x="3"/>
        <item x="36"/>
        <item x="103"/>
        <item x="214"/>
        <item x="163"/>
        <item x="159"/>
        <item x="189"/>
        <item x="174"/>
        <item x="148"/>
        <item x="27"/>
        <item x="90"/>
        <item x="180"/>
        <item x="85"/>
        <item x="132"/>
        <item x="29"/>
        <item x="67"/>
        <item x="149"/>
        <item x="151"/>
        <item x="170"/>
        <item x="191"/>
        <item x="107"/>
        <item x="215"/>
        <item x="45"/>
        <item x="188"/>
        <item x="233"/>
        <item x="115"/>
        <item x="192"/>
        <item x="196"/>
        <item x="162"/>
        <item x="166"/>
        <item x="2"/>
        <item x="217"/>
        <item x="142"/>
        <item x="133"/>
        <item x="225"/>
        <item x="202"/>
        <item x="56"/>
        <item x="117"/>
        <item x="153"/>
        <item x="34"/>
        <item x="244"/>
        <item x="243"/>
        <item x="104"/>
        <item x="218"/>
        <item x="183"/>
        <item x="47"/>
        <item x="82"/>
        <item x="146"/>
        <item x="4"/>
        <item t="default"/>
      </items>
    </pivotField>
    <pivotField showAll="0"/>
    <pivotField showAll="0">
      <items count="6">
        <item x="3"/>
        <item x="2"/>
        <item x="4"/>
        <item x="1"/>
        <item x="0"/>
        <item t="default"/>
      </items>
    </pivotField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Items count="1">
    <i/>
  </colItems>
  <pageFields count="1">
    <pageField fld="23" item="0" hier="-1"/>
  </pageFields>
  <dataFields count="5">
    <dataField name="Matches " fld="13" subtotal="average" baseField="0" baseItem="0"/>
    <dataField name="Swipe Right (LIKE) " fld="18" subtotal="average" baseField="0" baseItem="0"/>
    <dataField name="Swipe Left (PASS) " fld="19" subtotal="average" baseField="0" baseItem="0"/>
    <dataField name="Texts Sent " fld="14" subtotal="average" baseField="0" baseItem="0"/>
    <dataField name="Texts Received " fld="15" subtotal="average" baseField="0" baseItem="0"/>
  </dataFields>
  <formats count="13">
    <format dxfId="1717">
      <pivotArea outline="0" collapsedLevelsAreSubtotals="1" fieldPosition="0"/>
    </format>
    <format dxfId="1718">
      <pivotArea dataOnly="0" labelOnly="1" grandCol="1" outline="0" axis="axisCol" fieldPosition="0"/>
    </format>
    <format dxfId="1719">
      <pivotArea field="-2" type="button" dataOnly="0" labelOnly="1" outline="0" axis="axisRow" fieldPosition="0"/>
    </format>
    <format dxfId="1720">
      <pivotArea type="all" dataOnly="0" outline="0" fieldPosition="0"/>
    </format>
    <format dxfId="1721">
      <pivotArea outline="0" collapsedLevelsAreSubtotals="1" fieldPosition="0"/>
    </format>
    <format dxfId="1722">
      <pivotArea field="-2" type="button" dataOnly="0" labelOnly="1" outline="0" axis="axisRow" fieldPosition="0"/>
    </format>
    <format dxfId="1723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724">
      <pivotArea dataOnly="0" labelOnly="1" grandCol="1" outline="0" axis="axisCol" fieldPosition="0"/>
    </format>
    <format dxfId="1725">
      <pivotArea type="all" dataOnly="0" outline="0" fieldPosition="0"/>
    </format>
    <format dxfId="1726">
      <pivotArea outline="0" collapsedLevelsAreSubtotals="1" fieldPosition="0"/>
    </format>
    <format dxfId="1727">
      <pivotArea field="-2" type="button" dataOnly="0" labelOnly="1" outline="0" axis="axisRow" fieldPosition="0"/>
    </format>
    <format dxfId="172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729">
      <pivotArea dataOnly="0" labelOnly="1" grandCol="1" outline="0" axis="axisCol" fieldPosition="0"/>
    </format>
  </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BEB39-D8FB-4F72-8D4B-A0ED43DA8DDF}" name="Tabela przestawna1" cacheId="0" dataOnRows="1" applyNumberFormats="0" applyBorderFormats="0" applyFontFormats="0" applyPatternFormats="0" applyAlignmentFormats="0" applyWidthHeightFormats="1" dataCaption="Wartości" updatedVersion="8" minRefreshableVersion="3" itemPrintTitles="1" createdVersion="8" indent="0" outline="1" outlineData="1" multipleFieldFilters="0" chartFormat="1">
  <location ref="E4:E5" firstHeaderRow="1" firstDataRow="1" firstDataCol="0" rowPageCount="1" colPageCount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ame="Gender:" axis="axisPage" showAll="0">
      <items count="3">
        <item x="0"/>
        <item x="1"/>
        <item t="default"/>
      </items>
    </pivotField>
    <pivotField showAll="0">
      <items count="248">
        <item x="7"/>
        <item x="157"/>
        <item x="72"/>
        <item x="38"/>
        <item x="140"/>
        <item x="96"/>
        <item x="73"/>
        <item x="8"/>
        <item x="209"/>
        <item x="193"/>
        <item x="52"/>
        <item x="167"/>
        <item x="118"/>
        <item x="92"/>
        <item x="190"/>
        <item x="22"/>
        <item x="165"/>
        <item x="130"/>
        <item x="13"/>
        <item x="46"/>
        <item x="100"/>
        <item x="18"/>
        <item x="65"/>
        <item x="186"/>
        <item x="55"/>
        <item x="239"/>
        <item x="58"/>
        <item x="50"/>
        <item x="19"/>
        <item x="105"/>
        <item x="222"/>
        <item x="234"/>
        <item x="81"/>
        <item x="86"/>
        <item x="178"/>
        <item x="182"/>
        <item x="122"/>
        <item x="138"/>
        <item x="168"/>
        <item x="212"/>
        <item x="181"/>
        <item x="106"/>
        <item x="246"/>
        <item x="241"/>
        <item x="23"/>
        <item x="16"/>
        <item x="119"/>
        <item x="25"/>
        <item x="141"/>
        <item x="216"/>
        <item x="43"/>
        <item x="230"/>
        <item x="124"/>
        <item x="200"/>
        <item x="131"/>
        <item x="171"/>
        <item x="136"/>
        <item x="41"/>
        <item x="101"/>
        <item x="77"/>
        <item x="83"/>
        <item x="28"/>
        <item x="5"/>
        <item x="127"/>
        <item x="78"/>
        <item x="112"/>
        <item x="113"/>
        <item x="125"/>
        <item x="1"/>
        <item x="235"/>
        <item x="91"/>
        <item x="123"/>
        <item x="129"/>
        <item x="184"/>
        <item x="70"/>
        <item x="111"/>
        <item x="175"/>
        <item x="60"/>
        <item x="93"/>
        <item x="150"/>
        <item x="176"/>
        <item x="177"/>
        <item x="21"/>
        <item x="227"/>
        <item x="37"/>
        <item x="204"/>
        <item x="145"/>
        <item x="179"/>
        <item x="59"/>
        <item x="158"/>
        <item x="205"/>
        <item x="144"/>
        <item x="185"/>
        <item x="26"/>
        <item x="57"/>
        <item x="89"/>
        <item x="95"/>
        <item x="31"/>
        <item x="210"/>
        <item x="206"/>
        <item x="143"/>
        <item x="11"/>
        <item x="128"/>
        <item x="161"/>
        <item x="109"/>
        <item x="15"/>
        <item x="237"/>
        <item x="155"/>
        <item x="242"/>
        <item x="197"/>
        <item x="121"/>
        <item x="54"/>
        <item x="44"/>
        <item x="14"/>
        <item x="169"/>
        <item x="68"/>
        <item x="99"/>
        <item x="114"/>
        <item x="207"/>
        <item x="226"/>
        <item x="219"/>
        <item x="224"/>
        <item x="80"/>
        <item x="30"/>
        <item x="208"/>
        <item x="74"/>
        <item x="173"/>
        <item x="147"/>
        <item x="228"/>
        <item x="152"/>
        <item x="231"/>
        <item x="84"/>
        <item x="221"/>
        <item x="71"/>
        <item x="229"/>
        <item x="154"/>
        <item x="62"/>
        <item x="110"/>
        <item x="9"/>
        <item x="199"/>
        <item x="245"/>
        <item x="126"/>
        <item x="42"/>
        <item x="64"/>
        <item x="201"/>
        <item x="10"/>
        <item x="39"/>
        <item x="135"/>
        <item x="120"/>
        <item x="20"/>
        <item x="194"/>
        <item x="0"/>
        <item x="87"/>
        <item x="223"/>
        <item x="12"/>
        <item x="51"/>
        <item x="94"/>
        <item x="102"/>
        <item x="137"/>
        <item x="164"/>
        <item x="40"/>
        <item x="63"/>
        <item x="35"/>
        <item x="6"/>
        <item x="75"/>
        <item x="98"/>
        <item x="195"/>
        <item x="32"/>
        <item x="139"/>
        <item x="232"/>
        <item x="211"/>
        <item x="220"/>
        <item x="240"/>
        <item x="236"/>
        <item x="79"/>
        <item x="49"/>
        <item x="156"/>
        <item x="61"/>
        <item x="160"/>
        <item x="69"/>
        <item x="24"/>
        <item x="203"/>
        <item x="238"/>
        <item x="198"/>
        <item x="33"/>
        <item x="97"/>
        <item x="76"/>
        <item x="213"/>
        <item x="108"/>
        <item x="48"/>
        <item x="116"/>
        <item x="187"/>
        <item x="66"/>
        <item x="53"/>
        <item x="88"/>
        <item x="172"/>
        <item x="17"/>
        <item x="134"/>
        <item x="3"/>
        <item x="36"/>
        <item x="103"/>
        <item x="214"/>
        <item x="163"/>
        <item x="159"/>
        <item x="189"/>
        <item x="174"/>
        <item x="148"/>
        <item x="27"/>
        <item x="90"/>
        <item x="180"/>
        <item x="85"/>
        <item x="132"/>
        <item x="29"/>
        <item x="67"/>
        <item x="149"/>
        <item x="151"/>
        <item x="170"/>
        <item x="191"/>
        <item x="107"/>
        <item x="215"/>
        <item x="45"/>
        <item x="188"/>
        <item x="233"/>
        <item x="115"/>
        <item x="192"/>
        <item x="196"/>
        <item x="162"/>
        <item x="166"/>
        <item x="2"/>
        <item x="217"/>
        <item x="142"/>
        <item x="133"/>
        <item x="225"/>
        <item x="202"/>
        <item x="56"/>
        <item x="117"/>
        <item x="153"/>
        <item x="34"/>
        <item x="244"/>
        <item x="243"/>
        <item x="104"/>
        <item x="218"/>
        <item x="183"/>
        <item x="47"/>
        <item x="82"/>
        <item x="146"/>
        <item x="4"/>
        <item t="default"/>
      </items>
    </pivotField>
    <pivotField showAll="0"/>
    <pivotField showAll="0">
      <items count="6">
        <item x="3"/>
        <item x="2"/>
        <item x="4"/>
        <item x="1"/>
        <item x="0"/>
        <item t="default"/>
      </items>
    </pivotField>
  </pivotFields>
  <rowItems count="1">
    <i/>
  </rowItems>
  <colItems count="1">
    <i/>
  </colItems>
  <pageFields count="1">
    <pageField fld="23" item="0" hier="-1"/>
  </pageFields>
  <dataFields count="1">
    <dataField name="In the dataset" fld="0" subtotal="count" baseField="0" baseItem="0"/>
  </dataFields>
  <formats count="12">
    <format dxfId="1705">
      <pivotArea outline="0" collapsedLevelsAreSubtotals="1" fieldPosition="0"/>
    </format>
    <format dxfId="1706">
      <pivotArea outline="0" collapsedLevelsAreSubtotals="1" fieldPosition="0"/>
    </format>
    <format dxfId="1707">
      <pivotArea outline="0" collapsedLevelsAreSubtotals="1" fieldPosition="0"/>
    </format>
    <format dxfId="1708">
      <pivotArea outline="0" collapsedLevelsAreSubtotals="1" fieldPosition="0"/>
    </format>
    <format dxfId="1709">
      <pivotArea outline="0" collapsedLevelsAreSubtotals="1" fieldPosition="0"/>
    </format>
    <format dxfId="1710">
      <pivotArea dataOnly="0" labelOnly="1" outline="0" fieldPosition="0">
        <references count="1">
          <reference field="23" count="1">
            <x v="0"/>
          </reference>
        </references>
      </pivotArea>
    </format>
    <format dxfId="1711">
      <pivotArea type="all" dataOnly="0" outline="0" fieldPosition="0"/>
    </format>
    <format dxfId="1712">
      <pivotArea outline="0" collapsedLevelsAreSubtotals="1" fieldPosition="0"/>
    </format>
    <format dxfId="1713">
      <pivotArea dataOnly="0" labelOnly="1" outline="0" axis="axisValues" fieldPosition="0"/>
    </format>
    <format dxfId="1714">
      <pivotArea type="all" dataOnly="0" outline="0" fieldPosition="0"/>
    </format>
    <format dxfId="1715">
      <pivotArea outline="0" collapsedLevelsAreSubtotals="1" fieldPosition="0"/>
    </format>
    <format dxfId="1716">
      <pivotArea dataOnly="0" labelOnly="1" outline="0" axis="axisValues" fieldPosition="0"/>
    </format>
  </formats>
  <pivotTableStyleInfo name="PivotStyleDark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A769A-10E4-4B4E-8847-0A6EF263F08C}" name="Tabela przestawna8" cacheId="0" applyNumberFormats="0" applyBorderFormats="0" applyFontFormats="0" applyPatternFormats="0" applyAlignmentFormats="0" applyWidthHeightFormats="1" dataCaption="Wartości" updatedVersion="8" minRefreshableVersion="3" useAutoFormatting="1" rowGrandTotals="0" colGrandTotals="0" itemPrintTitles="1" createdVersion="8" indent="0" outline="1" outlineData="1" multipleFieldFilters="0" chartFormat="8">
  <location ref="S11:U16" firstHeaderRow="1" firstDataRow="2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2"/>
        <item x="1"/>
        <item x="0"/>
        <item m="1" x="5"/>
        <item m="1" x="7"/>
        <item m="1" x="4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Col" showAll="0">
      <items count="3">
        <item x="0"/>
        <item x="1"/>
        <item t="default"/>
      </items>
    </pivotField>
    <pivotField showAll="0">
      <items count="248">
        <item x="7"/>
        <item x="157"/>
        <item x="72"/>
        <item x="38"/>
        <item x="140"/>
        <item x="96"/>
        <item x="73"/>
        <item x="8"/>
        <item x="209"/>
        <item x="193"/>
        <item x="52"/>
        <item x="167"/>
        <item x="118"/>
        <item x="92"/>
        <item x="190"/>
        <item x="22"/>
        <item x="165"/>
        <item x="130"/>
        <item x="13"/>
        <item x="46"/>
        <item x="100"/>
        <item x="18"/>
        <item x="65"/>
        <item x="186"/>
        <item x="55"/>
        <item x="239"/>
        <item x="58"/>
        <item x="50"/>
        <item x="19"/>
        <item x="105"/>
        <item x="222"/>
        <item x="234"/>
        <item x="81"/>
        <item x="86"/>
        <item x="178"/>
        <item x="182"/>
        <item x="122"/>
        <item x="138"/>
        <item x="168"/>
        <item x="212"/>
        <item x="181"/>
        <item x="106"/>
        <item x="246"/>
        <item x="241"/>
        <item x="23"/>
        <item x="16"/>
        <item x="119"/>
        <item x="25"/>
        <item x="141"/>
        <item x="216"/>
        <item x="43"/>
        <item x="230"/>
        <item x="124"/>
        <item x="200"/>
        <item x="131"/>
        <item x="171"/>
        <item x="136"/>
        <item x="41"/>
        <item x="101"/>
        <item x="77"/>
        <item x="83"/>
        <item x="28"/>
        <item x="5"/>
        <item x="127"/>
        <item x="78"/>
        <item x="112"/>
        <item x="113"/>
        <item x="125"/>
        <item x="1"/>
        <item x="235"/>
        <item x="91"/>
        <item x="123"/>
        <item x="129"/>
        <item x="184"/>
        <item x="70"/>
        <item x="111"/>
        <item x="175"/>
        <item x="60"/>
        <item x="93"/>
        <item x="150"/>
        <item x="176"/>
        <item x="177"/>
        <item x="21"/>
        <item x="227"/>
        <item x="37"/>
        <item x="204"/>
        <item x="145"/>
        <item x="179"/>
        <item x="59"/>
        <item x="158"/>
        <item x="205"/>
        <item x="144"/>
        <item x="185"/>
        <item x="26"/>
        <item x="57"/>
        <item x="89"/>
        <item x="95"/>
        <item x="31"/>
        <item x="210"/>
        <item x="206"/>
        <item x="143"/>
        <item x="11"/>
        <item x="128"/>
        <item x="161"/>
        <item x="109"/>
        <item x="15"/>
        <item x="237"/>
        <item x="155"/>
        <item x="242"/>
        <item x="197"/>
        <item x="121"/>
        <item x="54"/>
        <item x="44"/>
        <item x="14"/>
        <item x="169"/>
        <item x="68"/>
        <item x="99"/>
        <item x="114"/>
        <item x="207"/>
        <item x="226"/>
        <item x="219"/>
        <item x="224"/>
        <item x="80"/>
        <item x="30"/>
        <item x="208"/>
        <item x="74"/>
        <item x="173"/>
        <item x="147"/>
        <item x="228"/>
        <item x="152"/>
        <item x="231"/>
        <item x="84"/>
        <item x="221"/>
        <item x="71"/>
        <item x="229"/>
        <item x="154"/>
        <item x="62"/>
        <item x="110"/>
        <item x="9"/>
        <item x="199"/>
        <item x="245"/>
        <item x="126"/>
        <item x="42"/>
        <item x="64"/>
        <item x="201"/>
        <item x="10"/>
        <item x="39"/>
        <item x="135"/>
        <item x="120"/>
        <item x="20"/>
        <item x="194"/>
        <item x="0"/>
        <item x="87"/>
        <item x="223"/>
        <item x="12"/>
        <item x="51"/>
        <item x="94"/>
        <item x="102"/>
        <item x="137"/>
        <item x="164"/>
        <item x="40"/>
        <item x="63"/>
        <item x="35"/>
        <item x="6"/>
        <item x="75"/>
        <item x="98"/>
        <item x="195"/>
        <item x="32"/>
        <item x="139"/>
        <item x="232"/>
        <item x="211"/>
        <item x="220"/>
        <item x="240"/>
        <item x="236"/>
        <item x="79"/>
        <item x="49"/>
        <item x="156"/>
        <item x="61"/>
        <item x="160"/>
        <item x="69"/>
        <item x="24"/>
        <item x="203"/>
        <item x="238"/>
        <item x="198"/>
        <item x="33"/>
        <item x="97"/>
        <item x="76"/>
        <item x="213"/>
        <item x="108"/>
        <item x="48"/>
        <item x="116"/>
        <item x="187"/>
        <item x="66"/>
        <item x="53"/>
        <item x="88"/>
        <item x="172"/>
        <item x="17"/>
        <item x="134"/>
        <item x="3"/>
        <item x="36"/>
        <item x="103"/>
        <item x="214"/>
        <item x="163"/>
        <item x="159"/>
        <item x="189"/>
        <item x="174"/>
        <item x="148"/>
        <item x="27"/>
        <item x="90"/>
        <item x="180"/>
        <item x="85"/>
        <item x="132"/>
        <item x="29"/>
        <item x="67"/>
        <item x="149"/>
        <item x="151"/>
        <item x="170"/>
        <item x="191"/>
        <item x="107"/>
        <item x="215"/>
        <item x="45"/>
        <item x="188"/>
        <item x="233"/>
        <item x="115"/>
        <item x="192"/>
        <item x="196"/>
        <item x="162"/>
        <item x="166"/>
        <item x="2"/>
        <item x="217"/>
        <item x="142"/>
        <item x="133"/>
        <item x="225"/>
        <item x="202"/>
        <item x="56"/>
        <item x="117"/>
        <item x="153"/>
        <item x="34"/>
        <item x="244"/>
        <item x="243"/>
        <item x="104"/>
        <item x="218"/>
        <item x="183"/>
        <item x="47"/>
        <item x="82"/>
        <item x="146"/>
        <item x="4"/>
        <item t="default"/>
      </items>
    </pivotField>
    <pivotField showAll="0"/>
    <pivotField showAll="0">
      <items count="6">
        <item x="3"/>
        <item x="2"/>
        <item x="4"/>
        <item x="1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>
      <x v="3"/>
    </i>
  </rowItems>
  <colFields count="1">
    <field x="23"/>
  </colFields>
  <colItems count="2">
    <i>
      <x/>
    </i>
    <i>
      <x v="1"/>
    </i>
  </colItems>
  <dataFields count="1">
    <dataField name="Percentage of users" fld="0" subtotal="count" showDataAs="percentOfCol" baseField="10" baseItem="0" numFmtId="9"/>
  </dataFields>
  <formats count="1">
    <format dxfId="1695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23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FB6C2-718E-42FE-917E-645AEF180C2C}" name="pivot_groups_stats" cacheId="0" dataOnRows="1" applyNumberFormats="0" applyBorderFormats="0" applyFontFormats="0" applyPatternFormats="0" applyAlignmentFormats="0" applyWidthHeightFormats="1" dataCaption="Groups &amp; Stats" updatedVersion="8" minRefreshableVersion="3" rowGrandTotals="0" colGrandTotals="0" itemPrintTitles="1" createdVersion="8" indent="0" outline="1" outlineData="1" multipleFieldFilters="0" chartFormat="1" rowHeaderCaption="Groups &amp; Stats">
  <location ref="F15:H36" firstHeaderRow="1" firstDataRow="2" firstDataCol="1"/>
  <pivotFields count="27">
    <pivotField dataField="1"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sortType="ascending">
      <items count="9">
        <item x="3"/>
        <item x="2"/>
        <item x="1"/>
        <item x="0"/>
        <item m="1" x="5"/>
        <item m="1" x="7"/>
        <item m="1" x="4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Col" showAll="0">
      <items count="3">
        <item x="0"/>
        <item x="1"/>
        <item t="default"/>
      </items>
    </pivotField>
    <pivotField showAll="0">
      <items count="248">
        <item x="7"/>
        <item x="157"/>
        <item x="72"/>
        <item x="38"/>
        <item x="140"/>
        <item x="96"/>
        <item x="73"/>
        <item x="8"/>
        <item x="209"/>
        <item x="193"/>
        <item x="52"/>
        <item x="167"/>
        <item x="118"/>
        <item x="92"/>
        <item x="190"/>
        <item x="22"/>
        <item x="165"/>
        <item x="130"/>
        <item x="13"/>
        <item x="46"/>
        <item x="100"/>
        <item x="18"/>
        <item x="65"/>
        <item x="186"/>
        <item x="55"/>
        <item x="239"/>
        <item x="58"/>
        <item x="50"/>
        <item x="19"/>
        <item x="105"/>
        <item x="222"/>
        <item x="234"/>
        <item x="81"/>
        <item x="86"/>
        <item x="178"/>
        <item x="182"/>
        <item x="122"/>
        <item x="138"/>
        <item x="168"/>
        <item x="212"/>
        <item x="181"/>
        <item x="106"/>
        <item x="246"/>
        <item x="241"/>
        <item x="23"/>
        <item x="16"/>
        <item x="119"/>
        <item x="25"/>
        <item x="141"/>
        <item x="216"/>
        <item x="43"/>
        <item x="230"/>
        <item x="124"/>
        <item x="200"/>
        <item x="131"/>
        <item x="171"/>
        <item x="136"/>
        <item x="41"/>
        <item x="101"/>
        <item x="77"/>
        <item x="83"/>
        <item x="28"/>
        <item x="5"/>
        <item x="127"/>
        <item x="78"/>
        <item x="112"/>
        <item x="113"/>
        <item x="125"/>
        <item x="1"/>
        <item x="235"/>
        <item x="91"/>
        <item x="123"/>
        <item x="129"/>
        <item x="184"/>
        <item x="70"/>
        <item x="111"/>
        <item x="175"/>
        <item x="60"/>
        <item x="93"/>
        <item x="150"/>
        <item x="176"/>
        <item x="177"/>
        <item x="21"/>
        <item x="227"/>
        <item x="37"/>
        <item x="204"/>
        <item x="145"/>
        <item x="179"/>
        <item x="59"/>
        <item x="158"/>
        <item x="205"/>
        <item x="144"/>
        <item x="185"/>
        <item x="26"/>
        <item x="57"/>
        <item x="89"/>
        <item x="95"/>
        <item x="31"/>
        <item x="210"/>
        <item x="206"/>
        <item x="143"/>
        <item x="11"/>
        <item x="128"/>
        <item x="161"/>
        <item x="109"/>
        <item x="15"/>
        <item x="237"/>
        <item x="155"/>
        <item x="242"/>
        <item x="197"/>
        <item x="121"/>
        <item x="54"/>
        <item x="44"/>
        <item x="14"/>
        <item x="169"/>
        <item x="68"/>
        <item x="99"/>
        <item x="114"/>
        <item x="207"/>
        <item x="226"/>
        <item x="219"/>
        <item x="224"/>
        <item x="80"/>
        <item x="30"/>
        <item x="208"/>
        <item x="74"/>
        <item x="173"/>
        <item x="147"/>
        <item x="228"/>
        <item x="152"/>
        <item x="231"/>
        <item x="84"/>
        <item x="221"/>
        <item x="71"/>
        <item x="229"/>
        <item x="154"/>
        <item x="62"/>
        <item x="110"/>
        <item x="9"/>
        <item x="199"/>
        <item x="245"/>
        <item x="126"/>
        <item x="42"/>
        <item x="64"/>
        <item x="201"/>
        <item x="10"/>
        <item x="39"/>
        <item x="135"/>
        <item x="120"/>
        <item x="20"/>
        <item x="194"/>
        <item x="0"/>
        <item x="87"/>
        <item x="223"/>
        <item x="12"/>
        <item x="51"/>
        <item x="94"/>
        <item x="102"/>
        <item x="137"/>
        <item x="164"/>
        <item x="40"/>
        <item x="63"/>
        <item x="35"/>
        <item x="6"/>
        <item x="75"/>
        <item x="98"/>
        <item x="195"/>
        <item x="32"/>
        <item x="139"/>
        <item x="232"/>
        <item x="211"/>
        <item x="220"/>
        <item x="240"/>
        <item x="236"/>
        <item x="79"/>
        <item x="49"/>
        <item x="156"/>
        <item x="61"/>
        <item x="160"/>
        <item x="69"/>
        <item x="24"/>
        <item x="203"/>
        <item x="238"/>
        <item x="198"/>
        <item x="33"/>
        <item x="97"/>
        <item x="76"/>
        <item x="213"/>
        <item x="108"/>
        <item x="48"/>
        <item x="116"/>
        <item x="187"/>
        <item x="66"/>
        <item x="53"/>
        <item x="88"/>
        <item x="172"/>
        <item x="17"/>
        <item x="134"/>
        <item x="3"/>
        <item x="36"/>
        <item x="103"/>
        <item x="214"/>
        <item x="163"/>
        <item x="159"/>
        <item x="189"/>
        <item x="174"/>
        <item x="148"/>
        <item x="27"/>
        <item x="90"/>
        <item x="180"/>
        <item x="85"/>
        <item x="132"/>
        <item x="29"/>
        <item x="67"/>
        <item x="149"/>
        <item x="151"/>
        <item x="170"/>
        <item x="191"/>
        <item x="107"/>
        <item x="215"/>
        <item x="45"/>
        <item x="188"/>
        <item x="233"/>
        <item x="115"/>
        <item x="192"/>
        <item x="196"/>
        <item x="162"/>
        <item x="166"/>
        <item x="2"/>
        <item x="217"/>
        <item x="142"/>
        <item x="133"/>
        <item x="225"/>
        <item x="202"/>
        <item x="56"/>
        <item x="117"/>
        <item x="153"/>
        <item x="34"/>
        <item x="244"/>
        <item x="243"/>
        <item x="104"/>
        <item x="218"/>
        <item x="183"/>
        <item x="47"/>
        <item x="82"/>
        <item x="146"/>
        <item x="4"/>
        <item t="default"/>
      </items>
    </pivotField>
    <pivotField dataField="1" showAll="0"/>
    <pivotField showAll="0">
      <items count="6">
        <item x="3"/>
        <item x="2"/>
        <item x="4"/>
        <item x="1"/>
        <item x="0"/>
        <item t="default"/>
      </items>
    </pivotField>
  </pivotFields>
  <rowFields count="2">
    <field x="10"/>
    <field x="-2"/>
  </rowFields>
  <rowItems count="20">
    <i>
      <x/>
    </i>
    <i r="1">
      <x/>
    </i>
    <i r="1" i="1">
      <x v="1"/>
    </i>
    <i r="1" i="2">
      <x v="2"/>
    </i>
    <i r="1" i="3">
      <x v="3"/>
    </i>
    <i>
      <x v="1"/>
    </i>
    <i r="1">
      <x/>
    </i>
    <i r="1" i="1">
      <x v="1"/>
    </i>
    <i r="1" i="2">
      <x v="2"/>
    </i>
    <i r="1" i="3">
      <x v="3"/>
    </i>
    <i>
      <x v="2"/>
    </i>
    <i r="1">
      <x/>
    </i>
    <i r="1" i="1">
      <x v="1"/>
    </i>
    <i r="1" i="2">
      <x v="2"/>
    </i>
    <i r="1" i="3">
      <x v="3"/>
    </i>
    <i>
      <x v="3"/>
    </i>
    <i r="1">
      <x/>
    </i>
    <i r="1" i="1">
      <x v="1"/>
    </i>
    <i r="1" i="2">
      <x v="2"/>
    </i>
    <i r="1" i="3">
      <x v="3"/>
    </i>
  </rowItems>
  <colFields count="1">
    <field x="23"/>
  </colFields>
  <colItems count="2">
    <i>
      <x/>
    </i>
    <i>
      <x v="1"/>
    </i>
  </colItems>
  <dataFields count="4">
    <dataField name="User Count" fld="0" subtotal="count" baseField="10" baseItem="0"/>
    <dataField name="Avg Age" fld="25" subtotal="average" baseField="23" baseItem="0"/>
    <dataField name="Avg Days on Tinder" fld="2" subtotal="average" baseField="23" baseItem="0"/>
    <dataField name="Avg Conversations" fld="6" subtotal="average" baseField="23" baseItem="0"/>
  </dataFields>
  <formats count="65">
    <format dxfId="1743">
      <pivotArea outline="0" collapsedLevelsAreSubtotals="1" fieldPosition="0"/>
    </format>
    <format dxfId="1744">
      <pivotArea outline="0" collapsedLevelsAreSubtotals="1" fieldPosition="0"/>
    </format>
    <format dxfId="1745">
      <pivotArea dataOnly="0" labelOnly="1" fieldPosition="0">
        <references count="1">
          <reference field="23" count="1">
            <x v="1"/>
          </reference>
        </references>
      </pivotArea>
    </format>
    <format dxfId="1746">
      <pivotArea field="-2" type="button" dataOnly="0" labelOnly="1" outline="0" axis="axisRow" fieldPosition="1"/>
    </format>
    <format dxfId="1747">
      <pivotArea field="-2" type="button" dataOnly="0" labelOnly="1" outline="0" axis="axisRow" fieldPosition="1"/>
    </format>
    <format dxfId="1748">
      <pivotArea dataOnly="0" labelOnly="1" fieldPosition="0">
        <references count="1">
          <reference field="23" count="1">
            <x v="0"/>
          </reference>
        </references>
      </pivotArea>
    </format>
    <format dxfId="1749">
      <pivotArea dataOnly="0" labelOnly="1" fieldPosition="0">
        <references count="1">
          <reference field="23" count="1">
            <x v="0"/>
          </reference>
        </references>
      </pivotArea>
    </format>
    <format dxfId="1750">
      <pivotArea dataOnly="0" labelOnly="1" fieldPosition="0">
        <references count="1">
          <reference field="10" count="0"/>
        </references>
      </pivotArea>
    </format>
    <format dxfId="1751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0"/>
          </reference>
        </references>
      </pivotArea>
    </format>
    <format dxfId="1752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1"/>
          </reference>
        </references>
      </pivotArea>
    </format>
    <format dxfId="1753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2"/>
          </reference>
        </references>
      </pivotArea>
    </format>
    <format dxfId="1754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3"/>
          </reference>
        </references>
      </pivotArea>
    </format>
    <format dxfId="1755">
      <pivotArea dataOnly="0" labelOnly="1" fieldPosition="0">
        <references count="1">
          <reference field="10" count="0"/>
        </references>
      </pivotArea>
    </format>
    <format dxfId="1756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0"/>
          </reference>
        </references>
      </pivotArea>
    </format>
    <format dxfId="1757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1"/>
          </reference>
        </references>
      </pivotArea>
    </format>
    <format dxfId="1758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2"/>
          </reference>
        </references>
      </pivotArea>
    </format>
    <format dxfId="1759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3"/>
          </reference>
        </references>
      </pivotArea>
    </format>
    <format dxfId="1760">
      <pivotArea dataOnly="0" labelOnly="1" fieldPosition="0">
        <references count="1">
          <reference field="10" count="0"/>
        </references>
      </pivotArea>
    </format>
    <format dxfId="1761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0"/>
          </reference>
        </references>
      </pivotArea>
    </format>
    <format dxfId="1762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1"/>
          </reference>
        </references>
      </pivotArea>
    </format>
    <format dxfId="1763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2"/>
          </reference>
        </references>
      </pivotArea>
    </format>
    <format dxfId="1764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3"/>
          </reference>
        </references>
      </pivotArea>
    </format>
    <format dxfId="1765">
      <pivotArea dataOnly="0" labelOnly="1" fieldPosition="0">
        <references count="1">
          <reference field="10" count="0"/>
        </references>
      </pivotArea>
    </format>
    <format dxfId="1766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0"/>
          </reference>
        </references>
      </pivotArea>
    </format>
    <format dxfId="1767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1"/>
          </reference>
        </references>
      </pivotArea>
    </format>
    <format dxfId="1768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2"/>
          </reference>
        </references>
      </pivotArea>
    </format>
    <format dxfId="1769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3"/>
          </reference>
        </references>
      </pivotArea>
    </format>
    <format dxfId="1770">
      <pivotArea dataOnly="0" labelOnly="1" fieldPosition="0">
        <references count="1">
          <reference field="10" count="0"/>
        </references>
      </pivotArea>
    </format>
    <format dxfId="1771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0"/>
          </reference>
        </references>
      </pivotArea>
    </format>
    <format dxfId="1772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1"/>
          </reference>
        </references>
      </pivotArea>
    </format>
    <format dxfId="1773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2"/>
          </reference>
        </references>
      </pivotArea>
    </format>
    <format dxfId="1774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3"/>
          </reference>
        </references>
      </pivotArea>
    </format>
    <format dxfId="1775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0"/>
          </reference>
        </references>
      </pivotArea>
    </format>
    <format dxfId="1776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0"/>
          </reference>
        </references>
      </pivotArea>
    </format>
    <format dxfId="1777">
      <pivotArea type="origin" dataOnly="0" labelOnly="1" outline="0" fieldPosition="0"/>
    </format>
    <format dxfId="1778">
      <pivotArea dataOnly="0" labelOnly="1" fieldPosition="0">
        <references count="1">
          <reference field="10" count="0"/>
        </references>
      </pivotArea>
    </format>
    <format dxfId="1779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0"/>
          </reference>
        </references>
      </pivotArea>
    </format>
    <format dxfId="1780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1"/>
          </reference>
        </references>
      </pivotArea>
    </format>
    <format dxfId="1781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2"/>
          </reference>
        </references>
      </pivotArea>
    </format>
    <format dxfId="1782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3"/>
          </reference>
        </references>
      </pivotArea>
    </format>
    <format dxfId="1783">
      <pivotArea field="10" type="button" dataOnly="0" labelOnly="1" outline="0" axis="axisRow" fieldPosition="0"/>
    </format>
    <format dxfId="1784">
      <pivotArea type="all" dataOnly="0" outline="0" fieldPosition="0"/>
    </format>
    <format dxfId="1785">
      <pivotArea outline="0" collapsedLevelsAreSubtotals="1" fieldPosition="0"/>
    </format>
    <format dxfId="1786">
      <pivotArea type="origin" dataOnly="0" labelOnly="1" outline="0" fieldPosition="0"/>
    </format>
    <format dxfId="1787">
      <pivotArea field="23" type="button" dataOnly="0" labelOnly="1" outline="0" axis="axisCol" fieldPosition="0"/>
    </format>
    <format dxfId="1788">
      <pivotArea type="topRight" dataOnly="0" labelOnly="1" outline="0" fieldPosition="0"/>
    </format>
    <format dxfId="1789">
      <pivotArea field="10" type="button" dataOnly="0" labelOnly="1" outline="0" axis="axisRow" fieldPosition="0"/>
    </format>
    <format dxfId="1790">
      <pivotArea dataOnly="0" labelOnly="1" fieldPosition="0">
        <references count="1">
          <reference field="10" count="0"/>
        </references>
      </pivotArea>
    </format>
    <format dxfId="1791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0"/>
          </reference>
        </references>
      </pivotArea>
    </format>
    <format dxfId="1792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1"/>
          </reference>
        </references>
      </pivotArea>
    </format>
    <format dxfId="1793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2"/>
          </reference>
        </references>
      </pivotArea>
    </format>
    <format dxfId="1794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3"/>
          </reference>
        </references>
      </pivotArea>
    </format>
    <format dxfId="1795">
      <pivotArea dataOnly="0" labelOnly="1" fieldPosition="0">
        <references count="1">
          <reference field="23" count="0"/>
        </references>
      </pivotArea>
    </format>
    <format dxfId="1796">
      <pivotArea type="all" dataOnly="0" outline="0" fieldPosition="0"/>
    </format>
    <format dxfId="1797">
      <pivotArea outline="0" collapsedLevelsAreSubtotals="1" fieldPosition="0"/>
    </format>
    <format dxfId="1798">
      <pivotArea type="origin" dataOnly="0" labelOnly="1" outline="0" fieldPosition="0"/>
    </format>
    <format dxfId="1799">
      <pivotArea field="23" type="button" dataOnly="0" labelOnly="1" outline="0" axis="axisCol" fieldPosition="0"/>
    </format>
    <format dxfId="1800">
      <pivotArea type="topRight" dataOnly="0" labelOnly="1" outline="0" fieldPosition="0"/>
    </format>
    <format dxfId="1801">
      <pivotArea field="10" type="button" dataOnly="0" labelOnly="1" outline="0" axis="axisRow" fieldPosition="0"/>
    </format>
    <format dxfId="1802">
      <pivotArea dataOnly="0" labelOnly="1" fieldPosition="0">
        <references count="1">
          <reference field="10" count="0"/>
        </references>
      </pivotArea>
    </format>
    <format dxfId="1803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0"/>
          </reference>
        </references>
      </pivotArea>
    </format>
    <format dxfId="1804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1"/>
          </reference>
        </references>
      </pivotArea>
    </format>
    <format dxfId="1805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2"/>
          </reference>
        </references>
      </pivotArea>
    </format>
    <format dxfId="1806">
      <pivotArea dataOnly="0" labelOnly="1" outline="0" fieldPosition="0">
        <references count="2">
          <reference field="4294967294" count="4">
            <x v="0"/>
            <x v="1"/>
            <x v="2"/>
            <x v="3"/>
          </reference>
          <reference field="10" count="1" selected="0">
            <x v="3"/>
          </reference>
        </references>
      </pivotArea>
    </format>
    <format dxfId="1807">
      <pivotArea dataOnly="0" labelOnly="1" fieldPosition="0">
        <references count="1">
          <reference field="23" count="0"/>
        </references>
      </pivotArea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0E27AA-CF19-447B-898E-E2DB9E6F30B9}" autoFormatId="16" applyNumberFormats="0" applyBorderFormats="0" applyFontFormats="0" applyPatternFormats="0" applyAlignmentFormats="0" applyWidthHeightFormats="0">
  <queryTableRefresh nextId="38" unboundColumnsRight="1">
    <queryTableFields count="27">
      <queryTableField id="1" name="_id" tableColumnId="1"/>
      <queryTableField id="2" name="sum_app_opens" tableColumnId="2"/>
      <queryTableField id="3" name="no_of_days" tableColumnId="3"/>
      <queryTableField id="28" dataBound="0" tableColumnId="29"/>
      <queryTableField id="33" dataBound="0" tableColumnId="34"/>
      <queryTableField id="29" dataBound="0" tableColumnId="30"/>
      <queryTableField id="4" name="nrOfConversations" tableColumnId="4"/>
      <queryTableField id="36" dataBound="0" tableColumnId="37"/>
      <queryTableField id="30" dataBound="0" tableColumnId="31"/>
      <queryTableField id="34" dataBound="0" tableColumnId="35"/>
      <queryTableField id="35" dataBound="0" tableColumnId="36"/>
      <queryTableField id="9" name="nrOfOneMessageConversations" tableColumnId="9"/>
      <queryTableField id="11" name="nrOfGhostingsAfterInitialMessage" tableColumnId="11"/>
      <queryTableField id="12" name="no_of_matches" tableColumnId="12"/>
      <queryTableField id="13" name="no_of_msgs_sent" tableColumnId="13"/>
      <queryTableField id="14" name="no_of_msgs_received" tableColumnId="14"/>
      <queryTableField id="32" dataBound="0" tableColumnId="33"/>
      <queryTableField id="31" dataBound="0" tableColumnId="32"/>
      <queryTableField id="15" name="swipe_likes" tableColumnId="15"/>
      <queryTableField id="16" name="swipe_passes" tableColumnId="16"/>
      <queryTableField id="21" name="country" tableColumnId="21"/>
      <queryTableField id="22" name="createDate" tableColumnId="22"/>
      <queryTableField id="23" name="education" tableColumnId="23"/>
      <queryTableField id="24" name="gender" tableColumnId="24"/>
      <queryTableField id="26" name="jobTitle" tableColumnId="26"/>
      <queryTableField id="27" name="user_age" tableColumnId="27"/>
      <queryTableField id="37" dataBound="0" tableColumnId="5"/>
    </queryTableFields>
    <queryTableDeletedFields count="10">
      <deletedField name="interestedIn"/>
      <deletedField name="longestConversation"/>
      <deletedField name="longestConversationInDays"/>
      <deletedField name="averageConversationLength"/>
      <deletedField name="averageConversationLengthInDays"/>
      <deletedField name="percentOfOneMessageConversations"/>
      <deletedField name="cityName"/>
      <deletedField name="birthDate"/>
      <deletedField name="ageFilterMin"/>
      <deletedField name="ageFilterMax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Job" xr10:uid="{BEE21B13-FCD8-4284-B603-93A070098B69}" sourceName="Job">
  <pivotTables>
    <pivotTable tabId="2" name="pivot_groups_stats"/>
    <pivotTable tabId="2" name="pivot_f_table"/>
    <pivotTable tabId="2" name="pivot_m_table"/>
    <pivotTable tabId="2" name="Tabela przestawna1"/>
    <pivotTable tabId="2" name="Tabela przestawna4"/>
    <pivotTable tabId="2" name="Tabela przestawna8"/>
  </pivotTables>
  <data>
    <tabular pivotCacheId="1159711904">
      <items count="247">
        <i x="7" s="1"/>
        <i x="157" s="1"/>
        <i x="72" s="1"/>
        <i x="38" s="1"/>
        <i x="140" s="1"/>
        <i x="96" s="1"/>
        <i x="73" s="1"/>
        <i x="8" s="1"/>
        <i x="209" s="1"/>
        <i x="193" s="1"/>
        <i x="52" s="1"/>
        <i x="167" s="1"/>
        <i x="118" s="1"/>
        <i x="92" s="1"/>
        <i x="190" s="1"/>
        <i x="22" s="1"/>
        <i x="165" s="1"/>
        <i x="130" s="1"/>
        <i x="13" s="1"/>
        <i x="46" s="1"/>
        <i x="100" s="1"/>
        <i x="18" s="1"/>
        <i x="65" s="1"/>
        <i x="186" s="1"/>
        <i x="55" s="1"/>
        <i x="239" s="1"/>
        <i x="58" s="1"/>
        <i x="50" s="1"/>
        <i x="19" s="1"/>
        <i x="105" s="1"/>
        <i x="222" s="1"/>
        <i x="234" s="1"/>
        <i x="81" s="1"/>
        <i x="86" s="1"/>
        <i x="178" s="1"/>
        <i x="182" s="1"/>
        <i x="122" s="1"/>
        <i x="138" s="1"/>
        <i x="168" s="1"/>
        <i x="212" s="1"/>
        <i x="181" s="1"/>
        <i x="106" s="1"/>
        <i x="246" s="1"/>
        <i x="241" s="1"/>
        <i x="23" s="1"/>
        <i x="16" s="1"/>
        <i x="119" s="1"/>
        <i x="25" s="1"/>
        <i x="141" s="1"/>
        <i x="216" s="1"/>
        <i x="43" s="1"/>
        <i x="230" s="1"/>
        <i x="124" s="1"/>
        <i x="200" s="1"/>
        <i x="131" s="1"/>
        <i x="171" s="1"/>
        <i x="136" s="1"/>
        <i x="41" s="1"/>
        <i x="101" s="1"/>
        <i x="77" s="1"/>
        <i x="83" s="1"/>
        <i x="28" s="1"/>
        <i x="5" s="1"/>
        <i x="127" s="1"/>
        <i x="78" s="1"/>
        <i x="112" s="1"/>
        <i x="113" s="1"/>
        <i x="125" s="1"/>
        <i x="1" s="1"/>
        <i x="235" s="1"/>
        <i x="91" s="1"/>
        <i x="123" s="1"/>
        <i x="129" s="1"/>
        <i x="184" s="1"/>
        <i x="70" s="1"/>
        <i x="111" s="1"/>
        <i x="175" s="1"/>
        <i x="60" s="1"/>
        <i x="93" s="1"/>
        <i x="150" s="1"/>
        <i x="176" s="1"/>
        <i x="177" s="1"/>
        <i x="21" s="1"/>
        <i x="227" s="1"/>
        <i x="37" s="1"/>
        <i x="204" s="1"/>
        <i x="145" s="1"/>
        <i x="179" s="1"/>
        <i x="59" s="1"/>
        <i x="158" s="1"/>
        <i x="205" s="1"/>
        <i x="144" s="1"/>
        <i x="185" s="1"/>
        <i x="26" s="1"/>
        <i x="57" s="1"/>
        <i x="89" s="1"/>
        <i x="95" s="1"/>
        <i x="31" s="1"/>
        <i x="210" s="1"/>
        <i x="206" s="1"/>
        <i x="143" s="1"/>
        <i x="11" s="1"/>
        <i x="128" s="1"/>
        <i x="161" s="1"/>
        <i x="109" s="1"/>
        <i x="15" s="1"/>
        <i x="237" s="1"/>
        <i x="155" s="1"/>
        <i x="242" s="1"/>
        <i x="197" s="1"/>
        <i x="121" s="1"/>
        <i x="54" s="1"/>
        <i x="44" s="1"/>
        <i x="14" s="1"/>
        <i x="169" s="1"/>
        <i x="68" s="1"/>
        <i x="99" s="1"/>
        <i x="114" s="1"/>
        <i x="207" s="1"/>
        <i x="226" s="1"/>
        <i x="219" s="1"/>
        <i x="224" s="1"/>
        <i x="80" s="1"/>
        <i x="30" s="1"/>
        <i x="208" s="1"/>
        <i x="74" s="1"/>
        <i x="173" s="1"/>
        <i x="147" s="1"/>
        <i x="228" s="1"/>
        <i x="152" s="1"/>
        <i x="231" s="1"/>
        <i x="84" s="1"/>
        <i x="221" s="1"/>
        <i x="71" s="1"/>
        <i x="229" s="1"/>
        <i x="154" s="1"/>
        <i x="62" s="1"/>
        <i x="110" s="1"/>
        <i x="9" s="1"/>
        <i x="199" s="1"/>
        <i x="245" s="1"/>
        <i x="126" s="1"/>
        <i x="42" s="1"/>
        <i x="64" s="1"/>
        <i x="201" s="1"/>
        <i x="10" s="1"/>
        <i x="39" s="1"/>
        <i x="135" s="1"/>
        <i x="120" s="1"/>
        <i x="20" s="1"/>
        <i x="194" s="1"/>
        <i x="0" s="1"/>
        <i x="87" s="1"/>
        <i x="223" s="1"/>
        <i x="12" s="1"/>
        <i x="51" s="1"/>
        <i x="94" s="1"/>
        <i x="102" s="1"/>
        <i x="137" s="1"/>
        <i x="164" s="1"/>
        <i x="40" s="1"/>
        <i x="63" s="1"/>
        <i x="35" s="1"/>
        <i x="6" s="1"/>
        <i x="75" s="1"/>
        <i x="98" s="1"/>
        <i x="195" s="1"/>
        <i x="32" s="1"/>
        <i x="139" s="1"/>
        <i x="232" s="1"/>
        <i x="211" s="1"/>
        <i x="220" s="1"/>
        <i x="240" s="1"/>
        <i x="236" s="1"/>
        <i x="79" s="1"/>
        <i x="49" s="1"/>
        <i x="156" s="1"/>
        <i x="61" s="1"/>
        <i x="160" s="1"/>
        <i x="69" s="1"/>
        <i x="24" s="1"/>
        <i x="203" s="1"/>
        <i x="238" s="1"/>
        <i x="198" s="1"/>
        <i x="33" s="1"/>
        <i x="97" s="1"/>
        <i x="76" s="1"/>
        <i x="213" s="1"/>
        <i x="108" s="1"/>
        <i x="48" s="1"/>
        <i x="116" s="1"/>
        <i x="187" s="1"/>
        <i x="66" s="1"/>
        <i x="53" s="1"/>
        <i x="88" s="1"/>
        <i x="172" s="1"/>
        <i x="17" s="1"/>
        <i x="134" s="1"/>
        <i x="3" s="1"/>
        <i x="36" s="1"/>
        <i x="103" s="1"/>
        <i x="214" s="1"/>
        <i x="163" s="1"/>
        <i x="159" s="1"/>
        <i x="189" s="1"/>
        <i x="174" s="1"/>
        <i x="148" s="1"/>
        <i x="27" s="1"/>
        <i x="90" s="1"/>
        <i x="180" s="1"/>
        <i x="85" s="1"/>
        <i x="132" s="1"/>
        <i x="29" s="1"/>
        <i x="67" s="1"/>
        <i x="149" s="1"/>
        <i x="151" s="1"/>
        <i x="170" s="1"/>
        <i x="191" s="1"/>
        <i x="107" s="1"/>
        <i x="215" s="1"/>
        <i x="45" s="1"/>
        <i x="188" s="1"/>
        <i x="233" s="1"/>
        <i x="115" s="1"/>
        <i x="192" s="1"/>
        <i x="196" s="1"/>
        <i x="162" s="1"/>
        <i x="166" s="1"/>
        <i x="2" s="1"/>
        <i x="217" s="1"/>
        <i x="142" s="1"/>
        <i x="133" s="1"/>
        <i x="225" s="1"/>
        <i x="202" s="1"/>
        <i x="56" s="1"/>
        <i x="117" s="1"/>
        <i x="153" s="1"/>
        <i x="34" s="1"/>
        <i x="244" s="1"/>
        <i x="243" s="1"/>
        <i x="104" s="1"/>
        <i x="218" s="1"/>
        <i x="183" s="1"/>
        <i x="47" s="1"/>
        <i x="82" s="1"/>
        <i x="146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Age_Group" xr10:uid="{27A2D7C8-D28F-4649-AE5B-7F97C4B09099}" sourceName="Age Group">
  <pivotTables>
    <pivotTable tabId="2" name="pivot_groups_stats"/>
    <pivotTable tabId="2" name="pivot_f_table"/>
    <pivotTable tabId="2" name="pivot_m_table"/>
    <pivotTable tabId="2" name="Tabela przestawna1"/>
    <pivotTable tabId="2" name="Tabela przestawna4"/>
    <pivotTable tabId="2" name="Tabela przestawna8"/>
  </pivotTables>
  <data>
    <tabular pivotCacheId="1159711904">
      <items count="5">
        <i x="3" s="1"/>
        <i x="2" s="1"/>
        <i x="4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Job" xr10:uid="{80A5B79E-109C-4475-9D84-15E410883162}" cache="Fragmentator_Job" caption="Job" style="SlicerStyleLight3" rowHeight="234950"/>
  <slicer name="Age Group" xr10:uid="{278664C7-29AE-4228-BAEA-87FEF076EDBA}" cache="Fragmentator_Age_Group" caption="Age Group" style="SlicerStyleLight3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99596E-6C05-4B48-8B03-8901BAFA12AE}" name="tinder" displayName="tinder" ref="A1:AA981" tableType="queryTable" totalsRowShown="0">
  <autoFilter ref="A1:AA981" xr:uid="{6E99596E-6C05-4B48-8B03-8901BAFA12AE}"/>
  <sortState xmlns:xlrd2="http://schemas.microsoft.com/office/spreadsheetml/2017/richdata2" ref="A2:Z981">
    <sortCondition descending="1" ref="E1:E981"/>
  </sortState>
  <tableColumns count="27">
    <tableColumn id="1" xr3:uid="{B4CDD33D-E278-4656-B496-D06941199A21}" uniqueName="1" name="_id" queryTableFieldId="1" dataDxfId="1823"/>
    <tableColumn id="2" xr3:uid="{4CCCEC7D-DDDB-4E84-8DC8-D03C05B61E4E}" uniqueName="2" name="Tinder Opened" queryTableFieldId="2"/>
    <tableColumn id="3" xr3:uid="{F83B1864-9343-436F-B3FE-E518CF826600}" uniqueName="3" name="Days on Tinder" queryTableFieldId="3"/>
    <tableColumn id="29" xr3:uid="{31234965-99F2-44B4-9812-DDDFB3C64F01}" uniqueName="29" name="Engagement" queryTableFieldId="28" dataDxfId="1822">
      <calculatedColumnFormula>IFERROR(tinder[[#This Row],[Tinder Opened]]/tinder[[#This Row],[Days on Tinder]],0)</calculatedColumnFormula>
    </tableColumn>
    <tableColumn id="34" xr3:uid="{6570F6D0-FF03-4E98-88FE-A4FD352F7527}" uniqueName="34" name="Norm Engagement" queryTableFieldId="33" dataDxfId="1821">
      <calculatedColumnFormula>tinder[[#This Row],[Engagement]]/MAX(tinder[Engagement])</calculatedColumnFormula>
    </tableColumn>
    <tableColumn id="30" xr3:uid="{D41B1B11-683A-45D4-8CF2-2FF6318B4D18}" uniqueName="30" name="Engagement Type" queryTableFieldId="29" dataDxfId="1820">
      <calculatedColumnFormula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calculatedColumnFormula>
    </tableColumn>
    <tableColumn id="4" xr3:uid="{8D2A1FAF-EF11-481F-972D-C7FAE761032C}" uniqueName="4" name="Conversations" queryTableFieldId="4"/>
    <tableColumn id="37" xr3:uid="{7C845F14-81AC-4A09-BC2F-4B866EFEBDD6}" uniqueName="37" name="Conversation Intensity" queryTableFieldId="36" dataDxfId="1819">
      <calculatedColumnFormula>IFERROR(tinder[[#This Row],[Conversations]]/tinder[[#This Row],[Tinder Opened]],0)</calculatedColumnFormula>
    </tableColumn>
    <tableColumn id="31" xr3:uid="{308D1B60-46EC-4BF5-9708-FC1A17D0EFB7}" uniqueName="31" name="Norm Conversations" queryTableFieldId="30" dataDxfId="1818">
      <calculatedColumnFormula>tinder[[#This Row],[Conversations]]/MAX(tinder[Conversations])</calculatedColumnFormula>
    </tableColumn>
    <tableColumn id="35" xr3:uid="{7C9AE2D0-2257-49CF-A2F1-3FFBF53B3F0C}" uniqueName="35" name="Overal Usage" queryTableFieldId="34" dataDxfId="1817">
      <calculatedColumnFormula>(tinder[[#This Row],[Norm Engagement]]*2)+(tinder[[#This Row],[Norm Swipes]]*1)+(tinder[[#This Row],[Norm Conversations]]*2)</calculatedColumnFormula>
    </tableColumn>
    <tableColumn id="36" xr3:uid="{A3D12FD2-E56A-458B-B523-17321CDF0F6A}" uniqueName="36" name="Overal Usage Type" queryTableFieldId="35" dataDxfId="1816">
      <calculatedColumnFormula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calculatedColumnFormula>
    </tableColumn>
    <tableColumn id="9" xr3:uid="{44AA3510-D7A1-44A5-90D0-1E9C5A0049B6}" uniqueName="9" name="nrOfOneMessageConversations" queryTableFieldId="9"/>
    <tableColumn id="11" xr3:uid="{ECB93A60-592E-4256-A250-BF8E72DA42D2}" uniqueName="11" name="nrOfGhostingsAfterInitialMessage" queryTableFieldId="11"/>
    <tableColumn id="12" xr3:uid="{3E93AA06-E8A0-49A4-AD5E-A136CB8DCE0F}" uniqueName="12" name="Matches" queryTableFieldId="12"/>
    <tableColumn id="13" xr3:uid="{5B21F7AB-21A4-460E-A514-5828991856E8}" uniqueName="13" name="Texts Sent" queryTableFieldId="13"/>
    <tableColumn id="14" xr3:uid="{2C34CE05-5A52-4D7F-BD56-3436165FC9A0}" uniqueName="14" name="Texts Received" queryTableFieldId="14"/>
    <tableColumn id="33" xr3:uid="{452B2C07-99DF-472A-8189-53F5A56F41DD}" uniqueName="33" name="Norm Swipes" queryTableFieldId="32" dataDxfId="1815">
      <calculatedColumnFormula>tinder[[#This Row],[All Swipes]]/MAX(tinder[All Swipes])</calculatedColumnFormula>
    </tableColumn>
    <tableColumn id="32" xr3:uid="{31E73DCD-322A-4D30-8777-A9A5E46E7CA8}" uniqueName="32" name="All Swipes" queryTableFieldId="31" dataDxfId="1814">
      <calculatedColumnFormula>tinder[[#This Row],[Swipe Right (LIKE)]]+tinder[[#This Row],[Swipe Left (PASS)]]</calculatedColumnFormula>
    </tableColumn>
    <tableColumn id="15" xr3:uid="{83A3A59D-F0F8-448E-8BE5-4E1CB9851B81}" uniqueName="15" name="Swipe Right (LIKE)" queryTableFieldId="15"/>
    <tableColumn id="16" xr3:uid="{6D0AE244-3292-4CA8-B9F0-6C4EBACCC4A6}" uniqueName="16" name="Swipe Left (PASS)" queryTableFieldId="16"/>
    <tableColumn id="21" xr3:uid="{AFB9C016-7B52-413D-8A54-1A04CF2C7433}" uniqueName="21" name="Country" queryTableFieldId="21" dataDxfId="1813"/>
    <tableColumn id="22" xr3:uid="{AEDA665F-D7F9-4834-AB00-D0D10C11C62C}" uniqueName="22" name="createDate" queryTableFieldId="22" dataDxfId="1812"/>
    <tableColumn id="23" xr3:uid="{06CA0EB1-1220-4B7D-B7AC-F6D596BA7068}" uniqueName="23" name="education" queryTableFieldId="23" dataDxfId="1811"/>
    <tableColumn id="24" xr3:uid="{A5F9439C-2E62-4074-B2A2-F0899312F063}" uniqueName="24" name="Gender" queryTableFieldId="24" dataDxfId="1810"/>
    <tableColumn id="26" xr3:uid="{1291E7DA-F5FC-4130-88B4-97E1918F9377}" uniqueName="26" name="Job" queryTableFieldId="26" dataDxfId="1809"/>
    <tableColumn id="27" xr3:uid="{C7062843-FEEB-4F30-AEAC-A65AE4FFDBB3}" uniqueName="27" name="Age" queryTableFieldId="27"/>
    <tableColumn id="5" xr3:uid="{66200C35-6FD1-408F-B144-E0FF4F21C324}" uniqueName="5" name="Age Group" queryTableFieldId="37" dataDxfId="1808">
      <calculatedColumnFormula>_xlfn.IFS(tinder[[#This Row],[Age]]&lt;=20,"Teen",tinder[[#This Row],[Age]]&lt;=30,"Young Adult",tinder[[#This Row],[Age]]&lt;=40,"Adult",tinder[[#This Row],[Age]]&lt;=50,"Middle-Aged",TRUE,"Senior")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9ED8-ADD3-44FD-A8A2-8E34C1039F7D}">
  <dimension ref="A1:ANY1005"/>
  <sheetViews>
    <sheetView showGridLines="0" tabSelected="1" zoomScale="90" zoomScaleNormal="90" workbookViewId="0">
      <selection activeCell="E29" sqref="E29"/>
    </sheetView>
  </sheetViews>
  <sheetFormatPr defaultColWidth="0" defaultRowHeight="15.6" zeroHeight="1" x14ac:dyDescent="0.3"/>
  <cols>
    <col min="1" max="1" width="17" style="7" bestFit="1" customWidth="1"/>
    <col min="2" max="2" width="17.21875" style="7" bestFit="1" customWidth="1"/>
    <col min="3" max="3" width="17" style="7" bestFit="1" customWidth="1"/>
    <col min="4" max="4" width="18.109375" style="7" bestFit="1" customWidth="1"/>
    <col min="5" max="5" width="14.21875" style="7" bestFit="1" customWidth="1"/>
    <col min="6" max="6" width="21.109375" style="8" bestFit="1" customWidth="1"/>
    <col min="7" max="7" width="18.77734375" style="7" bestFit="1" customWidth="1"/>
    <col min="8" max="8" width="8.44140625" style="7" bestFit="1" customWidth="1"/>
    <col min="9" max="9" width="18.109375" style="7" bestFit="1" customWidth="1"/>
    <col min="10" max="10" width="14.21875" style="7" bestFit="1" customWidth="1"/>
    <col min="11" max="11" width="4" style="7" customWidth="1"/>
    <col min="12" max="12" width="8" style="7" bestFit="1" customWidth="1"/>
    <col min="13" max="13" width="14.6640625" style="7" bestFit="1" customWidth="1"/>
    <col min="14" max="14" width="12" style="7" bestFit="1" customWidth="1"/>
    <col min="15" max="15" width="17.33203125" style="7" customWidth="1"/>
    <col min="16" max="16" width="10.33203125" style="7" customWidth="1"/>
    <col min="17" max="25" width="12" style="7" hidden="1" customWidth="1"/>
    <col min="26" max="26" width="11" style="7" hidden="1" customWidth="1"/>
    <col min="27" max="31" width="12" style="7" hidden="1" customWidth="1"/>
    <col min="32" max="32" width="11" style="7" hidden="1" customWidth="1"/>
    <col min="33" max="41" width="12" style="7" hidden="1" customWidth="1"/>
    <col min="42" max="42" width="11" style="7" hidden="1" customWidth="1"/>
    <col min="43" max="54" width="12" style="7" hidden="1" customWidth="1"/>
    <col min="55" max="55" width="10" style="7" hidden="1" customWidth="1"/>
    <col min="56" max="81" width="12" style="7" hidden="1" customWidth="1"/>
    <col min="82" max="82" width="10" style="7" hidden="1" customWidth="1"/>
    <col min="83" max="83" width="12" style="7" hidden="1" customWidth="1"/>
    <col min="84" max="84" width="11" style="7" hidden="1" customWidth="1"/>
    <col min="85" max="87" width="12" style="7" hidden="1" customWidth="1"/>
    <col min="88" max="88" width="11" style="7" hidden="1" customWidth="1"/>
    <col min="89" max="92" width="12" style="7" hidden="1" customWidth="1"/>
    <col min="93" max="93" width="11" style="7" hidden="1" customWidth="1"/>
    <col min="94" max="111" width="12" style="7" hidden="1" customWidth="1"/>
    <col min="112" max="112" width="11" style="7" hidden="1" customWidth="1"/>
    <col min="113" max="117" width="12" style="7" hidden="1" customWidth="1"/>
    <col min="118" max="118" width="11" style="7" hidden="1" customWidth="1"/>
    <col min="119" max="124" width="12" style="7" hidden="1" customWidth="1"/>
    <col min="125" max="125" width="11" style="7" hidden="1" customWidth="1"/>
    <col min="126" max="135" width="12" style="7" hidden="1" customWidth="1"/>
    <col min="136" max="136" width="11" style="7" hidden="1" customWidth="1"/>
    <col min="137" max="140" width="12" style="7" hidden="1" customWidth="1"/>
    <col min="141" max="141" width="11" style="7" hidden="1" customWidth="1"/>
    <col min="142" max="159" width="12" style="7" hidden="1" customWidth="1"/>
    <col min="160" max="160" width="10" style="7" hidden="1" customWidth="1"/>
    <col min="161" max="177" width="12" style="7" hidden="1" customWidth="1"/>
    <col min="178" max="178" width="11" style="7" hidden="1" customWidth="1"/>
    <col min="179" max="186" width="12" style="7" hidden="1" customWidth="1"/>
    <col min="187" max="187" width="11" style="7" hidden="1" customWidth="1"/>
    <col min="188" max="189" width="12" style="7" hidden="1" customWidth="1"/>
    <col min="190" max="190" width="11" style="7" hidden="1" customWidth="1"/>
    <col min="191" max="201" width="12" style="7" hidden="1" customWidth="1"/>
    <col min="202" max="202" width="11" style="7" hidden="1" customWidth="1"/>
    <col min="203" max="235" width="12" style="7" hidden="1" customWidth="1"/>
    <col min="236" max="236" width="11" style="7" hidden="1" customWidth="1"/>
    <col min="237" max="242" width="12" style="7" hidden="1" customWidth="1"/>
    <col min="243" max="243" width="11" style="7" hidden="1" customWidth="1"/>
    <col min="244" max="245" width="12" style="7" hidden="1" customWidth="1"/>
    <col min="246" max="246" width="11" style="7" hidden="1" customWidth="1"/>
    <col min="247" max="249" width="12" style="7" hidden="1" customWidth="1"/>
    <col min="250" max="251" width="11" style="7" hidden="1" customWidth="1"/>
    <col min="252" max="252" width="12" style="7" hidden="1" customWidth="1"/>
    <col min="253" max="254" width="11" style="7" hidden="1" customWidth="1"/>
    <col min="255" max="275" width="12" style="7" hidden="1" customWidth="1"/>
    <col min="276" max="276" width="11" style="7" hidden="1" customWidth="1"/>
    <col min="277" max="290" width="12" style="7" hidden="1" customWidth="1"/>
    <col min="291" max="291" width="11" style="7" hidden="1" customWidth="1"/>
    <col min="292" max="305" width="12" style="7" hidden="1" customWidth="1"/>
    <col min="306" max="306" width="11" style="7" hidden="1" customWidth="1"/>
    <col min="307" max="308" width="12" style="7" hidden="1" customWidth="1"/>
    <col min="309" max="309" width="11" style="7" hidden="1" customWidth="1"/>
    <col min="310" max="334" width="12" style="7" hidden="1" customWidth="1"/>
    <col min="335" max="335" width="11" style="7" hidden="1" customWidth="1"/>
    <col min="336" max="349" width="12" style="7" hidden="1" customWidth="1"/>
    <col min="350" max="351" width="11" style="7" hidden="1" customWidth="1"/>
    <col min="352" max="367" width="12" style="7" hidden="1" customWidth="1"/>
    <col min="368" max="368" width="11" style="7" hidden="1" customWidth="1"/>
    <col min="369" max="379" width="12" style="7" hidden="1" customWidth="1"/>
    <col min="380" max="380" width="11" style="7" hidden="1" customWidth="1"/>
    <col min="381" max="386" width="12" style="7" hidden="1" customWidth="1"/>
    <col min="387" max="387" width="11" style="7" hidden="1" customWidth="1"/>
    <col min="388" max="399" width="12" style="7" hidden="1" customWidth="1"/>
    <col min="400" max="400" width="11" style="7" hidden="1" customWidth="1"/>
    <col min="401" max="415" width="12" style="7" hidden="1" customWidth="1"/>
    <col min="416" max="416" width="11" style="7" hidden="1" customWidth="1"/>
    <col min="417" max="419" width="12" style="7" hidden="1" customWidth="1"/>
    <col min="420" max="420" width="11" style="7" hidden="1" customWidth="1"/>
    <col min="421" max="422" width="12" style="7" hidden="1" customWidth="1"/>
    <col min="423" max="423" width="11" style="7" hidden="1" customWidth="1"/>
    <col min="424" max="433" width="12" style="7" hidden="1" customWidth="1"/>
    <col min="434" max="434" width="11" style="7" hidden="1" customWidth="1"/>
    <col min="435" max="455" width="12" style="7" hidden="1" customWidth="1"/>
    <col min="456" max="456" width="11" style="7" hidden="1" customWidth="1"/>
    <col min="457" max="468" width="12" style="7" hidden="1" customWidth="1"/>
    <col min="469" max="469" width="11" style="7" hidden="1" customWidth="1"/>
    <col min="470" max="470" width="12" style="7" hidden="1" customWidth="1"/>
    <col min="471" max="471" width="11" style="7" hidden="1" customWidth="1"/>
    <col min="472" max="475" width="12" style="7" hidden="1" customWidth="1"/>
    <col min="476" max="476" width="11" style="7" hidden="1" customWidth="1"/>
    <col min="477" max="479" width="12" style="7" hidden="1" customWidth="1"/>
    <col min="480" max="480" width="11" style="7" hidden="1" customWidth="1"/>
    <col min="481" max="491" width="12" style="7" hidden="1" customWidth="1"/>
    <col min="492" max="492" width="11" style="7" hidden="1" customWidth="1"/>
    <col min="493" max="499" width="12" style="7" hidden="1" customWidth="1"/>
    <col min="500" max="500" width="11" style="7" hidden="1" customWidth="1"/>
    <col min="501" max="501" width="12" style="7" hidden="1" customWidth="1"/>
    <col min="502" max="503" width="11" style="7" hidden="1" customWidth="1"/>
    <col min="504" max="549" width="12" style="7" hidden="1" customWidth="1"/>
    <col min="550" max="550" width="11" style="7" hidden="1" customWidth="1"/>
    <col min="551" max="599" width="12" style="7" hidden="1" customWidth="1"/>
    <col min="600" max="601" width="11" style="7" hidden="1" customWidth="1"/>
    <col min="602" max="602" width="12" style="7" hidden="1" customWidth="1"/>
    <col min="603" max="603" width="11" style="7" hidden="1" customWidth="1"/>
    <col min="604" max="616" width="12" style="7" hidden="1" customWidth="1"/>
    <col min="617" max="617" width="11" style="7" hidden="1" customWidth="1"/>
    <col min="618" max="628" width="12" style="7" hidden="1" customWidth="1"/>
    <col min="629" max="629" width="11" style="7" hidden="1" customWidth="1"/>
    <col min="630" max="647" width="12" style="7" hidden="1" customWidth="1"/>
    <col min="648" max="648" width="11" style="7" hidden="1" customWidth="1"/>
    <col min="649" max="656" width="12" style="7" hidden="1" customWidth="1"/>
    <col min="657" max="658" width="11" style="7" hidden="1" customWidth="1"/>
    <col min="659" max="659" width="12" style="7" hidden="1" customWidth="1"/>
    <col min="660" max="661" width="11" style="7" hidden="1" customWidth="1"/>
    <col min="662" max="677" width="12" style="7" hidden="1" customWidth="1"/>
    <col min="678" max="678" width="11" style="7" hidden="1" customWidth="1"/>
    <col min="679" max="686" width="12" style="7" hidden="1" customWidth="1"/>
    <col min="687" max="687" width="11" style="7" hidden="1" customWidth="1"/>
    <col min="688" max="696" width="12" style="7" hidden="1" customWidth="1"/>
    <col min="697" max="698" width="11" style="7" hidden="1" customWidth="1"/>
    <col min="699" max="699" width="12" style="7" hidden="1" customWidth="1"/>
    <col min="700" max="700" width="11" style="7" hidden="1" customWidth="1"/>
    <col min="701" max="706" width="12" style="7" hidden="1" customWidth="1"/>
    <col min="707" max="707" width="11" style="7" hidden="1" customWidth="1"/>
    <col min="708" max="740" width="12" style="7" hidden="1" customWidth="1"/>
    <col min="741" max="741" width="10" style="7" hidden="1" customWidth="1"/>
    <col min="742" max="742" width="11" style="7" hidden="1" customWidth="1"/>
    <col min="743" max="743" width="12" style="7" hidden="1" customWidth="1"/>
    <col min="744" max="744" width="11" style="7" hidden="1" customWidth="1"/>
    <col min="745" max="746" width="12" style="7" hidden="1" customWidth="1"/>
    <col min="747" max="747" width="11" style="7" hidden="1" customWidth="1"/>
    <col min="748" max="761" width="12" style="7" hidden="1" customWidth="1"/>
    <col min="762" max="762" width="11" style="7" hidden="1" customWidth="1"/>
    <col min="763" max="784" width="12" style="7" hidden="1" customWidth="1"/>
    <col min="785" max="786" width="11" style="7" hidden="1" customWidth="1"/>
    <col min="787" max="788" width="12" style="7" hidden="1" customWidth="1"/>
    <col min="789" max="789" width="11" style="7" hidden="1" customWidth="1"/>
    <col min="790" max="799" width="12" style="7" hidden="1" customWidth="1"/>
    <col min="800" max="800" width="10" style="7" hidden="1" customWidth="1"/>
    <col min="801" max="819" width="12" style="7" hidden="1" customWidth="1"/>
    <col min="820" max="820" width="11" style="7" hidden="1" customWidth="1"/>
    <col min="821" max="845" width="12" style="7" hidden="1" customWidth="1"/>
    <col min="846" max="846" width="11" style="7" hidden="1" customWidth="1"/>
    <col min="847" max="855" width="12" style="7" hidden="1" customWidth="1"/>
    <col min="856" max="856" width="11" style="7" hidden="1" customWidth="1"/>
    <col min="857" max="863" width="12" style="7" hidden="1" customWidth="1"/>
    <col min="864" max="864" width="11" style="7" hidden="1" customWidth="1"/>
    <col min="865" max="865" width="12" style="7" hidden="1" customWidth="1"/>
    <col min="866" max="867" width="11" style="7" hidden="1" customWidth="1"/>
    <col min="868" max="873" width="12" style="7" hidden="1" customWidth="1"/>
    <col min="874" max="874" width="11" style="7" hidden="1" customWidth="1"/>
    <col min="875" max="890" width="12" style="7" hidden="1" customWidth="1"/>
    <col min="891" max="891" width="11" style="7" hidden="1" customWidth="1"/>
    <col min="892" max="892" width="12" style="7" hidden="1" customWidth="1"/>
    <col min="893" max="893" width="11" style="7" hidden="1" customWidth="1"/>
    <col min="894" max="902" width="12" style="7" hidden="1" customWidth="1"/>
    <col min="903" max="903" width="11" style="7" hidden="1" customWidth="1"/>
    <col min="904" max="922" width="12" style="7" hidden="1" customWidth="1"/>
    <col min="923" max="924" width="11" style="7" hidden="1" customWidth="1"/>
    <col min="925" max="932" width="12" style="7" hidden="1" customWidth="1"/>
    <col min="933" max="933" width="11" style="7" hidden="1" customWidth="1"/>
    <col min="934" max="941" width="12" style="7" hidden="1" customWidth="1"/>
    <col min="942" max="942" width="10" style="7" hidden="1" customWidth="1"/>
    <col min="943" max="949" width="12" style="7" hidden="1" customWidth="1"/>
    <col min="950" max="950" width="11" style="7" hidden="1" customWidth="1"/>
    <col min="951" max="961" width="12" style="7" hidden="1" customWidth="1"/>
    <col min="962" max="962" width="10" style="7" hidden="1" customWidth="1"/>
    <col min="963" max="977" width="12" style="7" hidden="1" customWidth="1"/>
    <col min="978" max="979" width="11" style="7" hidden="1" customWidth="1"/>
    <col min="980" max="980" width="12" style="7" hidden="1" customWidth="1"/>
    <col min="981" max="981" width="11" style="7" hidden="1" customWidth="1"/>
    <col min="982" max="992" width="12" style="7" hidden="1" customWidth="1"/>
    <col min="993" max="993" width="11" style="7" hidden="1" customWidth="1"/>
    <col min="994" max="1005" width="12" style="7" hidden="1" customWidth="1"/>
    <col min="1006" max="1006" width="11" style="7" hidden="1" customWidth="1"/>
    <col min="1007" max="1010" width="12" style="7" hidden="1" customWidth="1"/>
    <col min="1011" max="1011" width="11" style="7" hidden="1" customWidth="1"/>
    <col min="1012" max="1016" width="12" style="7" hidden="1" customWidth="1"/>
    <col min="1017" max="1017" width="11" style="7" hidden="1" customWidth="1"/>
    <col min="1018" max="1024" width="12" style="7" hidden="1" customWidth="1"/>
    <col min="1025" max="1025" width="11" style="7" hidden="1" customWidth="1"/>
    <col min="1026" max="1034" width="12" style="7" hidden="1" customWidth="1"/>
    <col min="1035" max="1035" width="11" style="7" hidden="1" customWidth="1"/>
    <col min="1036" max="1040" width="12" style="7" hidden="1" customWidth="1"/>
    <col min="1041" max="1041" width="11" style="7" hidden="1" customWidth="1"/>
    <col min="1042" max="1047" width="12" style="7" hidden="1" customWidth="1"/>
    <col min="1048" max="1048" width="11" style="7" hidden="1" customWidth="1"/>
    <col min="1049" max="1049" width="10" style="7" hidden="1" customWidth="1"/>
    <col min="1050" max="1056" width="12" style="7" hidden="1" customWidth="1"/>
    <col min="1057" max="1057" width="11" style="7" hidden="1" customWidth="1"/>
    <col min="1058" max="1064" width="12" style="7" hidden="1" customWidth="1"/>
    <col min="1065" max="1065" width="14" style="7" hidden="1" customWidth="1"/>
    <col min="1066" max="16384" width="8.88671875" style="7" hidden="1"/>
  </cols>
  <sheetData>
    <row r="1" spans="4:21" ht="28.2" customHeight="1" x14ac:dyDescent="0.3"/>
    <row r="2" spans="4:21" hidden="1" x14ac:dyDescent="0.3">
      <c r="E2" s="14" t="s">
        <v>1318</v>
      </c>
      <c r="F2" s="13" t="s">
        <v>1295</v>
      </c>
      <c r="J2" s="14" t="s">
        <v>1318</v>
      </c>
      <c r="K2" s="15" t="s">
        <v>1296</v>
      </c>
    </row>
    <row r="4" spans="4:21" hidden="1" x14ac:dyDescent="0.3">
      <c r="E4" s="15" t="s">
        <v>1319</v>
      </c>
      <c r="J4" s="15" t="s">
        <v>1319</v>
      </c>
    </row>
    <row r="5" spans="4:21" x14ac:dyDescent="0.3">
      <c r="D5" s="9" t="s">
        <v>1295</v>
      </c>
      <c r="E5" s="22">
        <v>850</v>
      </c>
      <c r="F5" s="24" t="s">
        <v>1338</v>
      </c>
      <c r="G5" s="25"/>
      <c r="H5" s="25"/>
      <c r="I5" s="9" t="s">
        <v>1296</v>
      </c>
      <c r="J5" s="23">
        <v>130</v>
      </c>
    </row>
    <row r="6" spans="4:21" hidden="1" x14ac:dyDescent="0.3">
      <c r="D6" s="14" t="s">
        <v>1315</v>
      </c>
      <c r="E6" s="15" t="s">
        <v>1295</v>
      </c>
      <c r="F6" s="25"/>
      <c r="G6" s="25"/>
      <c r="H6" s="25"/>
      <c r="I6" s="14" t="s">
        <v>1315</v>
      </c>
      <c r="J6" s="15" t="s">
        <v>1296</v>
      </c>
    </row>
    <row r="7" spans="4:21" x14ac:dyDescent="0.3">
      <c r="F7" s="25"/>
      <c r="G7" s="25"/>
      <c r="H7" s="25"/>
    </row>
    <row r="8" spans="4:21" x14ac:dyDescent="0.3">
      <c r="D8" s="17" t="s">
        <v>1320</v>
      </c>
      <c r="E8" s="17"/>
      <c r="F8" s="25"/>
      <c r="G8" s="25"/>
      <c r="H8" s="25"/>
      <c r="I8" s="18" t="s">
        <v>1320</v>
      </c>
      <c r="J8" s="18"/>
    </row>
    <row r="9" spans="4:21" x14ac:dyDescent="0.3">
      <c r="D9" s="20" t="s">
        <v>1321</v>
      </c>
      <c r="E9" s="21">
        <v>619.44352941176476</v>
      </c>
      <c r="F9" s="10"/>
      <c r="G9" s="11"/>
      <c r="H9" s="11"/>
      <c r="I9" s="20" t="s">
        <v>1321</v>
      </c>
      <c r="J9" s="21">
        <v>990.17692307692312</v>
      </c>
    </row>
    <row r="10" spans="4:21" x14ac:dyDescent="0.3">
      <c r="D10" s="20" t="s">
        <v>1322</v>
      </c>
      <c r="E10" s="21">
        <v>20405.481176470588</v>
      </c>
      <c r="I10" s="20" t="s">
        <v>1322</v>
      </c>
      <c r="J10" s="21">
        <v>2682.0384615384614</v>
      </c>
    </row>
    <row r="11" spans="4:21" x14ac:dyDescent="0.3">
      <c r="D11" s="20" t="s">
        <v>1323</v>
      </c>
      <c r="E11" s="21">
        <v>29566.035294117646</v>
      </c>
      <c r="F11" s="10"/>
      <c r="G11" s="11"/>
      <c r="H11" s="11"/>
      <c r="I11" s="20" t="s">
        <v>1323</v>
      </c>
      <c r="J11" s="21">
        <v>51725.561538461538</v>
      </c>
      <c r="S11" s="5" t="s">
        <v>1335</v>
      </c>
      <c r="T11" s="5" t="s">
        <v>1297</v>
      </c>
      <c r="U11"/>
    </row>
    <row r="12" spans="4:21" x14ac:dyDescent="0.3">
      <c r="D12" s="20" t="s">
        <v>1324</v>
      </c>
      <c r="E12" s="21">
        <v>2182.1999999999998</v>
      </c>
      <c r="I12" s="20" t="s">
        <v>1324</v>
      </c>
      <c r="J12" s="21">
        <v>2583.6153846153848</v>
      </c>
      <c r="S12" s="5" t="s">
        <v>1294</v>
      </c>
      <c r="T12" t="s">
        <v>1295</v>
      </c>
      <c r="U12" t="s">
        <v>1296</v>
      </c>
    </row>
    <row r="13" spans="4:21" x14ac:dyDescent="0.3">
      <c r="D13" s="20" t="s">
        <v>1325</v>
      </c>
      <c r="E13" s="21">
        <v>1957.0388235294117</v>
      </c>
      <c r="F13" s="10"/>
      <c r="G13" s="11"/>
      <c r="H13" s="11"/>
      <c r="I13" s="20" t="s">
        <v>1325</v>
      </c>
      <c r="J13" s="21">
        <v>3251.5384615384614</v>
      </c>
      <c r="S13" s="6" t="s">
        <v>1333</v>
      </c>
      <c r="T13" s="12">
        <v>0.10588235294117647</v>
      </c>
      <c r="U13" s="12">
        <v>6.1538461538461542E-2</v>
      </c>
    </row>
    <row r="14" spans="4:21" x14ac:dyDescent="0.3">
      <c r="S14" s="6" t="s">
        <v>1332</v>
      </c>
      <c r="T14" s="12">
        <v>0.21058823529411766</v>
      </c>
      <c r="U14" s="12">
        <v>0.13076923076923078</v>
      </c>
    </row>
    <row r="15" spans="4:21" hidden="1" x14ac:dyDescent="0.3">
      <c r="F15" s="13"/>
      <c r="G15" s="14" t="s">
        <v>1297</v>
      </c>
      <c r="H15" s="15"/>
      <c r="S15" s="6" t="s">
        <v>1331</v>
      </c>
      <c r="T15" s="12">
        <v>0.5894117647058823</v>
      </c>
      <c r="U15" s="12">
        <v>0.66923076923076918</v>
      </c>
    </row>
    <row r="16" spans="4:21" x14ac:dyDescent="0.3">
      <c r="F16" s="16" t="s">
        <v>1326</v>
      </c>
      <c r="G16" s="17" t="s">
        <v>1295</v>
      </c>
      <c r="H16" s="18" t="s">
        <v>1296</v>
      </c>
      <c r="S16" s="6" t="s">
        <v>1330</v>
      </c>
      <c r="T16" s="12">
        <v>9.4117647058823528E-2</v>
      </c>
      <c r="U16" s="12">
        <v>0.13846153846153847</v>
      </c>
    </row>
    <row r="17" spans="4:13" x14ac:dyDescent="0.3">
      <c r="F17" s="13" t="s">
        <v>1333</v>
      </c>
      <c r="G17" s="19"/>
      <c r="H17" s="19"/>
    </row>
    <row r="18" spans="4:13" x14ac:dyDescent="0.3">
      <c r="F18" s="13" t="s">
        <v>1334</v>
      </c>
      <c r="G18" s="19">
        <v>90</v>
      </c>
      <c r="H18" s="19">
        <v>8</v>
      </c>
    </row>
    <row r="19" spans="4:13" x14ac:dyDescent="0.3">
      <c r="F19" s="13" t="s">
        <v>1327</v>
      </c>
      <c r="G19" s="19">
        <v>24.9</v>
      </c>
      <c r="H19" s="19">
        <v>25</v>
      </c>
    </row>
    <row r="20" spans="4:13" x14ac:dyDescent="0.3">
      <c r="F20" s="13" t="s">
        <v>1328</v>
      </c>
      <c r="G20" s="19">
        <v>145.72222222222223</v>
      </c>
      <c r="H20" s="19">
        <v>111.5</v>
      </c>
      <c r="M20"/>
    </row>
    <row r="21" spans="4:13" x14ac:dyDescent="0.3">
      <c r="D21"/>
      <c r="F21" s="13" t="s">
        <v>1329</v>
      </c>
      <c r="G21" s="19">
        <v>22.511111111111113</v>
      </c>
      <c r="H21" s="19">
        <v>50.5</v>
      </c>
      <c r="M21"/>
    </row>
    <row r="22" spans="4:13" x14ac:dyDescent="0.3">
      <c r="F22" s="13" t="s">
        <v>1332</v>
      </c>
      <c r="G22" s="19"/>
      <c r="H22" s="19"/>
      <c r="M22"/>
    </row>
    <row r="23" spans="4:13" x14ac:dyDescent="0.3">
      <c r="F23" s="13" t="s">
        <v>1334</v>
      </c>
      <c r="G23" s="19">
        <v>179</v>
      </c>
      <c r="H23" s="19">
        <v>17</v>
      </c>
      <c r="M23"/>
    </row>
    <row r="24" spans="4:13" x14ac:dyDescent="0.3">
      <c r="F24" s="13" t="s">
        <v>1327</v>
      </c>
      <c r="G24" s="19">
        <v>23.899441340782122</v>
      </c>
      <c r="H24" s="19">
        <v>22.235294117647058</v>
      </c>
      <c r="M24"/>
    </row>
    <row r="25" spans="4:13" x14ac:dyDescent="0.3">
      <c r="F25" s="13" t="s">
        <v>1328</v>
      </c>
      <c r="G25" s="19">
        <v>305.37430167597768</v>
      </c>
      <c r="H25" s="19">
        <v>234.1764705882353</v>
      </c>
      <c r="M25"/>
    </row>
    <row r="26" spans="4:13" x14ac:dyDescent="0.3">
      <c r="F26" s="13" t="s">
        <v>1329</v>
      </c>
      <c r="G26" s="19">
        <v>58.681564245810058</v>
      </c>
      <c r="H26" s="19">
        <v>113.23529411764706</v>
      </c>
      <c r="J26"/>
      <c r="K26"/>
      <c r="L26"/>
      <c r="M26"/>
    </row>
    <row r="27" spans="4:13" x14ac:dyDescent="0.3">
      <c r="F27" s="13" t="s">
        <v>1331</v>
      </c>
      <c r="G27" s="19"/>
      <c r="H27" s="19"/>
      <c r="J27"/>
      <c r="K27"/>
      <c r="L27"/>
    </row>
    <row r="28" spans="4:13" x14ac:dyDescent="0.3">
      <c r="F28" s="13" t="s">
        <v>1334</v>
      </c>
      <c r="G28" s="19">
        <v>501</v>
      </c>
      <c r="H28" s="19">
        <v>87</v>
      </c>
      <c r="J28"/>
      <c r="K28"/>
      <c r="L28"/>
    </row>
    <row r="29" spans="4:13" x14ac:dyDescent="0.3">
      <c r="F29" s="13" t="s">
        <v>1327</v>
      </c>
      <c r="G29" s="19">
        <v>23.810379241516966</v>
      </c>
      <c r="H29" s="19">
        <v>22.632183908045977</v>
      </c>
      <c r="J29"/>
      <c r="K29"/>
      <c r="L29"/>
    </row>
    <row r="30" spans="4:13" x14ac:dyDescent="0.3">
      <c r="F30" s="13" t="s">
        <v>1328</v>
      </c>
      <c r="G30" s="19">
        <v>469.1996007984032</v>
      </c>
      <c r="H30" s="19">
        <v>342.25287356321837</v>
      </c>
      <c r="J30"/>
      <c r="K30"/>
      <c r="L30"/>
    </row>
    <row r="31" spans="4:13" x14ac:dyDescent="0.3">
      <c r="F31" s="13" t="s">
        <v>1329</v>
      </c>
      <c r="G31" s="19">
        <v>237.79441117764472</v>
      </c>
      <c r="H31" s="19">
        <v>350.9655172413793</v>
      </c>
      <c r="J31"/>
      <c r="K31"/>
      <c r="L31"/>
    </row>
    <row r="32" spans="4:13" x14ac:dyDescent="0.3">
      <c r="F32" s="13" t="s">
        <v>1330</v>
      </c>
      <c r="G32" s="19"/>
      <c r="H32" s="19"/>
      <c r="J32"/>
      <c r="K32"/>
      <c r="L32"/>
    </row>
    <row r="33" spans="3:12" x14ac:dyDescent="0.3">
      <c r="F33" s="13" t="s">
        <v>1334</v>
      </c>
      <c r="G33" s="19">
        <v>80</v>
      </c>
      <c r="H33" s="19">
        <v>18</v>
      </c>
      <c r="J33"/>
      <c r="K33"/>
      <c r="L33"/>
    </row>
    <row r="34" spans="3:12" x14ac:dyDescent="0.3">
      <c r="F34" s="13" t="s">
        <v>1327</v>
      </c>
      <c r="G34" s="19">
        <v>23.975000000000001</v>
      </c>
      <c r="H34" s="19">
        <v>22.722222222222221</v>
      </c>
      <c r="J34"/>
      <c r="K34"/>
      <c r="L34"/>
    </row>
    <row r="35" spans="3:12" x14ac:dyDescent="0.3">
      <c r="F35" s="13" t="s">
        <v>1328</v>
      </c>
      <c r="G35" s="19">
        <v>592.625</v>
      </c>
      <c r="H35" s="19">
        <v>556.38888888888891</v>
      </c>
      <c r="J35"/>
      <c r="K35"/>
      <c r="L35"/>
    </row>
    <row r="36" spans="3:12" x14ac:dyDescent="0.3">
      <c r="C36" s="26" t="s">
        <v>1339</v>
      </c>
      <c r="D36" s="26"/>
      <c r="E36" s="26"/>
      <c r="F36" s="13" t="s">
        <v>1329</v>
      </c>
      <c r="G36" s="19">
        <v>1190.4625000000001</v>
      </c>
      <c r="H36" s="19">
        <v>1247.6666666666667</v>
      </c>
      <c r="J36"/>
      <c r="K36"/>
      <c r="L36"/>
    </row>
    <row r="37" spans="3:12" x14ac:dyDescent="0.3">
      <c r="J37"/>
      <c r="K37"/>
      <c r="L37"/>
    </row>
    <row r="38" spans="3:12" x14ac:dyDescent="0.3">
      <c r="J38"/>
    </row>
    <row r="39" spans="3:12" x14ac:dyDescent="0.3">
      <c r="J39"/>
    </row>
    <row r="40" spans="3:12" hidden="1" x14ac:dyDescent="0.3">
      <c r="J40"/>
    </row>
    <row r="41" spans="3:12" hidden="1" x14ac:dyDescent="0.3">
      <c r="J41"/>
    </row>
    <row r="42" spans="3:12" hidden="1" x14ac:dyDescent="0.3">
      <c r="J42"/>
    </row>
    <row r="43" spans="3:12" hidden="1" x14ac:dyDescent="0.3">
      <c r="J43"/>
    </row>
    <row r="44" spans="3:12" hidden="1" x14ac:dyDescent="0.3">
      <c r="J44"/>
    </row>
    <row r="45" spans="3:12" hidden="1" x14ac:dyDescent="0.3">
      <c r="J45"/>
    </row>
    <row r="46" spans="3:12" hidden="1" x14ac:dyDescent="0.3">
      <c r="J46"/>
    </row>
    <row r="47" spans="3:12" hidden="1" x14ac:dyDescent="0.3">
      <c r="J47"/>
    </row>
    <row r="48" spans="3:12" hidden="1" x14ac:dyDescent="0.3">
      <c r="J48"/>
    </row>
    <row r="49" spans="10:10" hidden="1" x14ac:dyDescent="0.3">
      <c r="J49"/>
    </row>
    <row r="50" spans="10:10" hidden="1" x14ac:dyDescent="0.3">
      <c r="J50"/>
    </row>
    <row r="51" spans="10:10" hidden="1" x14ac:dyDescent="0.3">
      <c r="J51"/>
    </row>
    <row r="52" spans="10:10" hidden="1" x14ac:dyDescent="0.3">
      <c r="J52"/>
    </row>
    <row r="53" spans="10:10" hidden="1" x14ac:dyDescent="0.3">
      <c r="J53"/>
    </row>
    <row r="54" spans="10:10" hidden="1" x14ac:dyDescent="0.3">
      <c r="J54"/>
    </row>
    <row r="55" spans="10:10" hidden="1" x14ac:dyDescent="0.3">
      <c r="J55"/>
    </row>
    <row r="56" spans="10:10" hidden="1" x14ac:dyDescent="0.3">
      <c r="J56"/>
    </row>
    <row r="57" spans="10:10" hidden="1" x14ac:dyDescent="0.3">
      <c r="J57"/>
    </row>
    <row r="58" spans="10:10" hidden="1" x14ac:dyDescent="0.3">
      <c r="J58"/>
    </row>
    <row r="59" spans="10:10" hidden="1" x14ac:dyDescent="0.3">
      <c r="J59"/>
    </row>
    <row r="60" spans="10:10" hidden="1" x14ac:dyDescent="0.3">
      <c r="J60"/>
    </row>
    <row r="61" spans="10:10" hidden="1" x14ac:dyDescent="0.3">
      <c r="J61"/>
    </row>
    <row r="62" spans="10:10" hidden="1" x14ac:dyDescent="0.3">
      <c r="J62"/>
    </row>
    <row r="63" spans="10:10" hidden="1" x14ac:dyDescent="0.3">
      <c r="J63"/>
    </row>
    <row r="64" spans="10:10" hidden="1" x14ac:dyDescent="0.3">
      <c r="J64"/>
    </row>
    <row r="65" spans="10:10" hidden="1" x14ac:dyDescent="0.3">
      <c r="J65"/>
    </row>
    <row r="66" spans="10:10" hidden="1" x14ac:dyDescent="0.3">
      <c r="J66"/>
    </row>
    <row r="67" spans="10:10" hidden="1" x14ac:dyDescent="0.3">
      <c r="J67"/>
    </row>
    <row r="68" spans="10:10" hidden="1" x14ac:dyDescent="0.3">
      <c r="J68"/>
    </row>
    <row r="69" spans="10:10" hidden="1" x14ac:dyDescent="0.3">
      <c r="J69"/>
    </row>
    <row r="70" spans="10:10" hidden="1" x14ac:dyDescent="0.3">
      <c r="J70"/>
    </row>
    <row r="71" spans="10:10" hidden="1" x14ac:dyDescent="0.3">
      <c r="J71"/>
    </row>
    <row r="72" spans="10:10" hidden="1" x14ac:dyDescent="0.3">
      <c r="J72"/>
    </row>
    <row r="73" spans="10:10" hidden="1" x14ac:dyDescent="0.3">
      <c r="J73"/>
    </row>
    <row r="74" spans="10:10" hidden="1" x14ac:dyDescent="0.3">
      <c r="J74"/>
    </row>
    <row r="75" spans="10:10" hidden="1" x14ac:dyDescent="0.3">
      <c r="J75"/>
    </row>
    <row r="76" spans="10:10" hidden="1" x14ac:dyDescent="0.3">
      <c r="J76"/>
    </row>
    <row r="77" spans="10:10" hidden="1" x14ac:dyDescent="0.3">
      <c r="J77"/>
    </row>
    <row r="78" spans="10:10" hidden="1" x14ac:dyDescent="0.3">
      <c r="J78"/>
    </row>
    <row r="79" spans="10:10" hidden="1" x14ac:dyDescent="0.3">
      <c r="J79"/>
    </row>
    <row r="80" spans="10:10" hidden="1" x14ac:dyDescent="0.3">
      <c r="J80"/>
    </row>
    <row r="81" spans="10:10" hidden="1" x14ac:dyDescent="0.3">
      <c r="J81"/>
    </row>
    <row r="82" spans="10:10" hidden="1" x14ac:dyDescent="0.3">
      <c r="J82"/>
    </row>
    <row r="83" spans="10:10" hidden="1" x14ac:dyDescent="0.3">
      <c r="J83"/>
    </row>
    <row r="84" spans="10:10" hidden="1" x14ac:dyDescent="0.3">
      <c r="J84"/>
    </row>
    <row r="85" spans="10:10" hidden="1" x14ac:dyDescent="0.3">
      <c r="J85"/>
    </row>
    <row r="86" spans="10:10" hidden="1" x14ac:dyDescent="0.3">
      <c r="J86"/>
    </row>
    <row r="87" spans="10:10" hidden="1" x14ac:dyDescent="0.3">
      <c r="J87"/>
    </row>
    <row r="88" spans="10:10" hidden="1" x14ac:dyDescent="0.3">
      <c r="J88"/>
    </row>
    <row r="89" spans="10:10" hidden="1" x14ac:dyDescent="0.3">
      <c r="J89"/>
    </row>
    <row r="90" spans="10:10" hidden="1" x14ac:dyDescent="0.3">
      <c r="J90"/>
    </row>
    <row r="91" spans="10:10" hidden="1" x14ac:dyDescent="0.3">
      <c r="J91"/>
    </row>
    <row r="92" spans="10:10" hidden="1" x14ac:dyDescent="0.3">
      <c r="J92"/>
    </row>
    <row r="93" spans="10:10" hidden="1" x14ac:dyDescent="0.3">
      <c r="J93"/>
    </row>
    <row r="94" spans="10:10" hidden="1" x14ac:dyDescent="0.3">
      <c r="J94"/>
    </row>
    <row r="95" spans="10:10" hidden="1" x14ac:dyDescent="0.3">
      <c r="J95"/>
    </row>
    <row r="96" spans="10:10" hidden="1" x14ac:dyDescent="0.3">
      <c r="J96"/>
    </row>
    <row r="97" spans="10:10" hidden="1" x14ac:dyDescent="0.3">
      <c r="J97"/>
    </row>
    <row r="98" spans="10:10" hidden="1" x14ac:dyDescent="0.3">
      <c r="J98"/>
    </row>
    <row r="99" spans="10:10" hidden="1" x14ac:dyDescent="0.3">
      <c r="J99"/>
    </row>
    <row r="100" spans="10:10" hidden="1" x14ac:dyDescent="0.3">
      <c r="J100"/>
    </row>
    <row r="101" spans="10:10" hidden="1" x14ac:dyDescent="0.3">
      <c r="J101"/>
    </row>
    <row r="102" spans="10:10" hidden="1" x14ac:dyDescent="0.3">
      <c r="J102"/>
    </row>
    <row r="103" spans="10:10" hidden="1" x14ac:dyDescent="0.3">
      <c r="J103"/>
    </row>
    <row r="104" spans="10:10" hidden="1" x14ac:dyDescent="0.3">
      <c r="J104"/>
    </row>
    <row r="105" spans="10:10" hidden="1" x14ac:dyDescent="0.3">
      <c r="J105"/>
    </row>
    <row r="106" spans="10:10" hidden="1" x14ac:dyDescent="0.3">
      <c r="J106"/>
    </row>
    <row r="107" spans="10:10" hidden="1" x14ac:dyDescent="0.3">
      <c r="J107"/>
    </row>
    <row r="108" spans="10:10" hidden="1" x14ac:dyDescent="0.3">
      <c r="J108"/>
    </row>
    <row r="109" spans="10:10" hidden="1" x14ac:dyDescent="0.3">
      <c r="J109"/>
    </row>
    <row r="110" spans="10:10" hidden="1" x14ac:dyDescent="0.3">
      <c r="J110"/>
    </row>
    <row r="111" spans="10:10" hidden="1" x14ac:dyDescent="0.3">
      <c r="J111"/>
    </row>
    <row r="112" spans="10:10" hidden="1" x14ac:dyDescent="0.3">
      <c r="J112"/>
    </row>
    <row r="113" spans="10:10" hidden="1" x14ac:dyDescent="0.3">
      <c r="J113"/>
    </row>
    <row r="114" spans="10:10" hidden="1" x14ac:dyDescent="0.3">
      <c r="J114"/>
    </row>
    <row r="115" spans="10:10" hidden="1" x14ac:dyDescent="0.3">
      <c r="J115"/>
    </row>
    <row r="116" spans="10:10" hidden="1" x14ac:dyDescent="0.3">
      <c r="J116"/>
    </row>
    <row r="117" spans="10:10" hidden="1" x14ac:dyDescent="0.3">
      <c r="J117"/>
    </row>
    <row r="118" spans="10:10" hidden="1" x14ac:dyDescent="0.3">
      <c r="J118"/>
    </row>
    <row r="119" spans="10:10" hidden="1" x14ac:dyDescent="0.3">
      <c r="J119"/>
    </row>
    <row r="120" spans="10:10" hidden="1" x14ac:dyDescent="0.3">
      <c r="J120"/>
    </row>
    <row r="121" spans="10:10" hidden="1" x14ac:dyDescent="0.3">
      <c r="J121"/>
    </row>
    <row r="122" spans="10:10" hidden="1" x14ac:dyDescent="0.3">
      <c r="J122"/>
    </row>
    <row r="123" spans="10:10" hidden="1" x14ac:dyDescent="0.3">
      <c r="J123"/>
    </row>
    <row r="124" spans="10:10" hidden="1" x14ac:dyDescent="0.3">
      <c r="J124"/>
    </row>
    <row r="125" spans="10:10" hidden="1" x14ac:dyDescent="0.3">
      <c r="J125"/>
    </row>
    <row r="126" spans="10:10" hidden="1" x14ac:dyDescent="0.3">
      <c r="J126"/>
    </row>
    <row r="127" spans="10:10" hidden="1" x14ac:dyDescent="0.3">
      <c r="J127"/>
    </row>
    <row r="128" spans="10:10" hidden="1" x14ac:dyDescent="0.3">
      <c r="J128"/>
    </row>
    <row r="129" spans="10:10" hidden="1" x14ac:dyDescent="0.3">
      <c r="J129"/>
    </row>
    <row r="130" spans="10:10" hidden="1" x14ac:dyDescent="0.3">
      <c r="J130"/>
    </row>
    <row r="131" spans="10:10" hidden="1" x14ac:dyDescent="0.3">
      <c r="J131"/>
    </row>
    <row r="132" spans="10:10" hidden="1" x14ac:dyDescent="0.3">
      <c r="J132"/>
    </row>
    <row r="133" spans="10:10" hidden="1" x14ac:dyDescent="0.3">
      <c r="J133"/>
    </row>
    <row r="134" spans="10:10" hidden="1" x14ac:dyDescent="0.3">
      <c r="J134"/>
    </row>
    <row r="135" spans="10:10" hidden="1" x14ac:dyDescent="0.3">
      <c r="J135"/>
    </row>
    <row r="136" spans="10:10" hidden="1" x14ac:dyDescent="0.3">
      <c r="J136"/>
    </row>
    <row r="137" spans="10:10" hidden="1" x14ac:dyDescent="0.3">
      <c r="J137"/>
    </row>
    <row r="138" spans="10:10" hidden="1" x14ac:dyDescent="0.3">
      <c r="J138"/>
    </row>
    <row r="139" spans="10:10" hidden="1" x14ac:dyDescent="0.3">
      <c r="J139"/>
    </row>
    <row r="140" spans="10:10" hidden="1" x14ac:dyDescent="0.3">
      <c r="J140"/>
    </row>
    <row r="141" spans="10:10" hidden="1" x14ac:dyDescent="0.3">
      <c r="J141"/>
    </row>
    <row r="142" spans="10:10" hidden="1" x14ac:dyDescent="0.3">
      <c r="J142"/>
    </row>
    <row r="143" spans="10:10" hidden="1" x14ac:dyDescent="0.3">
      <c r="J143"/>
    </row>
    <row r="144" spans="10:10" hidden="1" x14ac:dyDescent="0.3">
      <c r="J144"/>
    </row>
    <row r="145" spans="10:10" hidden="1" x14ac:dyDescent="0.3">
      <c r="J145"/>
    </row>
    <row r="146" spans="10:10" hidden="1" x14ac:dyDescent="0.3">
      <c r="J146"/>
    </row>
    <row r="147" spans="10:10" hidden="1" x14ac:dyDescent="0.3">
      <c r="J147"/>
    </row>
    <row r="148" spans="10:10" hidden="1" x14ac:dyDescent="0.3">
      <c r="J148"/>
    </row>
    <row r="149" spans="10:10" hidden="1" x14ac:dyDescent="0.3">
      <c r="J149"/>
    </row>
    <row r="150" spans="10:10" hidden="1" x14ac:dyDescent="0.3">
      <c r="J150"/>
    </row>
    <row r="151" spans="10:10" hidden="1" x14ac:dyDescent="0.3">
      <c r="J151"/>
    </row>
    <row r="152" spans="10:10" hidden="1" x14ac:dyDescent="0.3">
      <c r="J152"/>
    </row>
    <row r="153" spans="10:10" hidden="1" x14ac:dyDescent="0.3">
      <c r="J153"/>
    </row>
    <row r="154" spans="10:10" hidden="1" x14ac:dyDescent="0.3">
      <c r="J154"/>
    </row>
    <row r="155" spans="10:10" hidden="1" x14ac:dyDescent="0.3">
      <c r="J155"/>
    </row>
    <row r="156" spans="10:10" hidden="1" x14ac:dyDescent="0.3">
      <c r="J156"/>
    </row>
    <row r="157" spans="10:10" hidden="1" x14ac:dyDescent="0.3">
      <c r="J157"/>
    </row>
    <row r="158" spans="10:10" hidden="1" x14ac:dyDescent="0.3">
      <c r="J158"/>
    </row>
    <row r="159" spans="10:10" hidden="1" x14ac:dyDescent="0.3">
      <c r="J159"/>
    </row>
    <row r="160" spans="10:10" hidden="1" x14ac:dyDescent="0.3">
      <c r="J160"/>
    </row>
    <row r="161" spans="10:10" hidden="1" x14ac:dyDescent="0.3">
      <c r="J161"/>
    </row>
    <row r="162" spans="10:10" hidden="1" x14ac:dyDescent="0.3">
      <c r="J162"/>
    </row>
    <row r="163" spans="10:10" hidden="1" x14ac:dyDescent="0.3">
      <c r="J163"/>
    </row>
    <row r="164" spans="10:10" hidden="1" x14ac:dyDescent="0.3">
      <c r="J164"/>
    </row>
    <row r="165" spans="10:10" hidden="1" x14ac:dyDescent="0.3">
      <c r="J165"/>
    </row>
    <row r="166" spans="10:10" hidden="1" x14ac:dyDescent="0.3">
      <c r="J166"/>
    </row>
    <row r="167" spans="10:10" hidden="1" x14ac:dyDescent="0.3">
      <c r="J167"/>
    </row>
    <row r="168" spans="10:10" hidden="1" x14ac:dyDescent="0.3">
      <c r="J168"/>
    </row>
    <row r="169" spans="10:10" hidden="1" x14ac:dyDescent="0.3">
      <c r="J169"/>
    </row>
    <row r="170" spans="10:10" hidden="1" x14ac:dyDescent="0.3">
      <c r="J170"/>
    </row>
    <row r="171" spans="10:10" hidden="1" x14ac:dyDescent="0.3">
      <c r="J171"/>
    </row>
    <row r="172" spans="10:10" hidden="1" x14ac:dyDescent="0.3">
      <c r="J172"/>
    </row>
    <row r="173" spans="10:10" hidden="1" x14ac:dyDescent="0.3">
      <c r="J173"/>
    </row>
    <row r="174" spans="10:10" hidden="1" x14ac:dyDescent="0.3">
      <c r="J174"/>
    </row>
    <row r="175" spans="10:10" hidden="1" x14ac:dyDescent="0.3">
      <c r="J175"/>
    </row>
    <row r="176" spans="10:10" hidden="1" x14ac:dyDescent="0.3">
      <c r="J176"/>
    </row>
    <row r="177" spans="10:10" hidden="1" x14ac:dyDescent="0.3">
      <c r="J177"/>
    </row>
    <row r="178" spans="10:10" hidden="1" x14ac:dyDescent="0.3">
      <c r="J178"/>
    </row>
    <row r="179" spans="10:10" hidden="1" x14ac:dyDescent="0.3">
      <c r="J179"/>
    </row>
    <row r="180" spans="10:10" hidden="1" x14ac:dyDescent="0.3">
      <c r="J180"/>
    </row>
    <row r="181" spans="10:10" hidden="1" x14ac:dyDescent="0.3">
      <c r="J181"/>
    </row>
    <row r="182" spans="10:10" hidden="1" x14ac:dyDescent="0.3">
      <c r="J182"/>
    </row>
    <row r="183" spans="10:10" hidden="1" x14ac:dyDescent="0.3">
      <c r="J183"/>
    </row>
    <row r="184" spans="10:10" hidden="1" x14ac:dyDescent="0.3">
      <c r="J184"/>
    </row>
    <row r="185" spans="10:10" hidden="1" x14ac:dyDescent="0.3">
      <c r="J185"/>
    </row>
    <row r="186" spans="10:10" hidden="1" x14ac:dyDescent="0.3">
      <c r="J186"/>
    </row>
    <row r="187" spans="10:10" hidden="1" x14ac:dyDescent="0.3">
      <c r="J187"/>
    </row>
    <row r="188" spans="10:10" hidden="1" x14ac:dyDescent="0.3">
      <c r="J188"/>
    </row>
    <row r="189" spans="10:10" hidden="1" x14ac:dyDescent="0.3">
      <c r="J189"/>
    </row>
    <row r="190" spans="10:10" hidden="1" x14ac:dyDescent="0.3">
      <c r="J190"/>
    </row>
    <row r="191" spans="10:10" hidden="1" x14ac:dyDescent="0.3">
      <c r="J191"/>
    </row>
    <row r="192" spans="10:10" hidden="1" x14ac:dyDescent="0.3">
      <c r="J192"/>
    </row>
    <row r="193" spans="10:10" hidden="1" x14ac:dyDescent="0.3">
      <c r="J193"/>
    </row>
    <row r="194" spans="10:10" hidden="1" x14ac:dyDescent="0.3">
      <c r="J194"/>
    </row>
    <row r="195" spans="10:10" hidden="1" x14ac:dyDescent="0.3">
      <c r="J195"/>
    </row>
    <row r="196" spans="10:10" hidden="1" x14ac:dyDescent="0.3">
      <c r="J196"/>
    </row>
    <row r="197" spans="10:10" hidden="1" x14ac:dyDescent="0.3">
      <c r="J197"/>
    </row>
    <row r="198" spans="10:10" hidden="1" x14ac:dyDescent="0.3">
      <c r="J198"/>
    </row>
    <row r="199" spans="10:10" hidden="1" x14ac:dyDescent="0.3">
      <c r="J199"/>
    </row>
    <row r="200" spans="10:10" hidden="1" x14ac:dyDescent="0.3">
      <c r="J200"/>
    </row>
    <row r="201" spans="10:10" hidden="1" x14ac:dyDescent="0.3">
      <c r="J201"/>
    </row>
    <row r="202" spans="10:10" hidden="1" x14ac:dyDescent="0.3">
      <c r="J202"/>
    </row>
    <row r="203" spans="10:10" hidden="1" x14ac:dyDescent="0.3">
      <c r="J203"/>
    </row>
    <row r="204" spans="10:10" hidden="1" x14ac:dyDescent="0.3">
      <c r="J204"/>
    </row>
    <row r="205" spans="10:10" hidden="1" x14ac:dyDescent="0.3">
      <c r="J205"/>
    </row>
    <row r="206" spans="10:10" hidden="1" x14ac:dyDescent="0.3">
      <c r="J206"/>
    </row>
    <row r="207" spans="10:10" hidden="1" x14ac:dyDescent="0.3">
      <c r="J207"/>
    </row>
    <row r="208" spans="10:10" hidden="1" x14ac:dyDescent="0.3">
      <c r="J208"/>
    </row>
    <row r="209" spans="10:10" hidden="1" x14ac:dyDescent="0.3">
      <c r="J209"/>
    </row>
    <row r="210" spans="10:10" hidden="1" x14ac:dyDescent="0.3">
      <c r="J210"/>
    </row>
    <row r="211" spans="10:10" hidden="1" x14ac:dyDescent="0.3">
      <c r="J211"/>
    </row>
    <row r="212" spans="10:10" hidden="1" x14ac:dyDescent="0.3">
      <c r="J212"/>
    </row>
    <row r="213" spans="10:10" hidden="1" x14ac:dyDescent="0.3">
      <c r="J213"/>
    </row>
    <row r="214" spans="10:10" hidden="1" x14ac:dyDescent="0.3">
      <c r="J214"/>
    </row>
    <row r="215" spans="10:10" hidden="1" x14ac:dyDescent="0.3">
      <c r="J215"/>
    </row>
    <row r="216" spans="10:10" hidden="1" x14ac:dyDescent="0.3">
      <c r="J216"/>
    </row>
    <row r="217" spans="10:10" hidden="1" x14ac:dyDescent="0.3">
      <c r="J217"/>
    </row>
    <row r="218" spans="10:10" hidden="1" x14ac:dyDescent="0.3">
      <c r="J218"/>
    </row>
    <row r="219" spans="10:10" hidden="1" x14ac:dyDescent="0.3">
      <c r="J219"/>
    </row>
    <row r="220" spans="10:10" hidden="1" x14ac:dyDescent="0.3">
      <c r="J220"/>
    </row>
    <row r="221" spans="10:10" hidden="1" x14ac:dyDescent="0.3">
      <c r="J221"/>
    </row>
    <row r="222" spans="10:10" hidden="1" x14ac:dyDescent="0.3">
      <c r="J222"/>
    </row>
    <row r="223" spans="10:10" hidden="1" x14ac:dyDescent="0.3">
      <c r="J223"/>
    </row>
    <row r="224" spans="10:10" hidden="1" x14ac:dyDescent="0.3">
      <c r="J224"/>
    </row>
    <row r="225" spans="10:10" hidden="1" x14ac:dyDescent="0.3">
      <c r="J225"/>
    </row>
    <row r="226" spans="10:10" hidden="1" x14ac:dyDescent="0.3">
      <c r="J226"/>
    </row>
    <row r="227" spans="10:10" hidden="1" x14ac:dyDescent="0.3">
      <c r="J227"/>
    </row>
    <row r="228" spans="10:10" hidden="1" x14ac:dyDescent="0.3">
      <c r="J228"/>
    </row>
    <row r="229" spans="10:10" hidden="1" x14ac:dyDescent="0.3">
      <c r="J229"/>
    </row>
    <row r="230" spans="10:10" hidden="1" x14ac:dyDescent="0.3">
      <c r="J230"/>
    </row>
    <row r="231" spans="10:10" hidden="1" x14ac:dyDescent="0.3">
      <c r="J231"/>
    </row>
    <row r="232" spans="10:10" hidden="1" x14ac:dyDescent="0.3">
      <c r="J232"/>
    </row>
    <row r="233" spans="10:10" hidden="1" x14ac:dyDescent="0.3">
      <c r="J233"/>
    </row>
    <row r="234" spans="10:10" hidden="1" x14ac:dyDescent="0.3">
      <c r="J234"/>
    </row>
    <row r="235" spans="10:10" hidden="1" x14ac:dyDescent="0.3">
      <c r="J235"/>
    </row>
    <row r="236" spans="10:10" hidden="1" x14ac:dyDescent="0.3">
      <c r="J236"/>
    </row>
    <row r="237" spans="10:10" hidden="1" x14ac:dyDescent="0.3">
      <c r="J237"/>
    </row>
    <row r="238" spans="10:10" hidden="1" x14ac:dyDescent="0.3">
      <c r="J238"/>
    </row>
    <row r="239" spans="10:10" hidden="1" x14ac:dyDescent="0.3">
      <c r="J239"/>
    </row>
    <row r="240" spans="10:10" hidden="1" x14ac:dyDescent="0.3">
      <c r="J240"/>
    </row>
    <row r="241" spans="10:10" hidden="1" x14ac:dyDescent="0.3">
      <c r="J241"/>
    </row>
    <row r="242" spans="10:10" hidden="1" x14ac:dyDescent="0.3">
      <c r="J242"/>
    </row>
    <row r="243" spans="10:10" hidden="1" x14ac:dyDescent="0.3">
      <c r="J243"/>
    </row>
    <row r="244" spans="10:10" hidden="1" x14ac:dyDescent="0.3">
      <c r="J244"/>
    </row>
    <row r="245" spans="10:10" hidden="1" x14ac:dyDescent="0.3">
      <c r="J245"/>
    </row>
    <row r="246" spans="10:10" hidden="1" x14ac:dyDescent="0.3">
      <c r="J246"/>
    </row>
    <row r="247" spans="10:10" hidden="1" x14ac:dyDescent="0.3">
      <c r="J247"/>
    </row>
    <row r="248" spans="10:10" hidden="1" x14ac:dyDescent="0.3">
      <c r="J248"/>
    </row>
    <row r="249" spans="10:10" hidden="1" x14ac:dyDescent="0.3">
      <c r="J249"/>
    </row>
    <row r="250" spans="10:10" hidden="1" x14ac:dyDescent="0.3">
      <c r="J250"/>
    </row>
    <row r="251" spans="10:10" hidden="1" x14ac:dyDescent="0.3">
      <c r="J251"/>
    </row>
    <row r="252" spans="10:10" hidden="1" x14ac:dyDescent="0.3">
      <c r="J252"/>
    </row>
    <row r="253" spans="10:10" hidden="1" x14ac:dyDescent="0.3">
      <c r="J253"/>
    </row>
    <row r="254" spans="10:10" hidden="1" x14ac:dyDescent="0.3">
      <c r="J254"/>
    </row>
    <row r="255" spans="10:10" hidden="1" x14ac:dyDescent="0.3">
      <c r="J255"/>
    </row>
    <row r="256" spans="10:10" hidden="1" x14ac:dyDescent="0.3">
      <c r="J256"/>
    </row>
    <row r="257" spans="10:10" hidden="1" x14ac:dyDescent="0.3">
      <c r="J257"/>
    </row>
    <row r="258" spans="10:10" hidden="1" x14ac:dyDescent="0.3">
      <c r="J258"/>
    </row>
    <row r="259" spans="10:10" hidden="1" x14ac:dyDescent="0.3">
      <c r="J259"/>
    </row>
    <row r="260" spans="10:10" hidden="1" x14ac:dyDescent="0.3">
      <c r="J260"/>
    </row>
    <row r="261" spans="10:10" hidden="1" x14ac:dyDescent="0.3">
      <c r="J261"/>
    </row>
    <row r="262" spans="10:10" hidden="1" x14ac:dyDescent="0.3">
      <c r="J262"/>
    </row>
    <row r="263" spans="10:10" hidden="1" x14ac:dyDescent="0.3">
      <c r="J263"/>
    </row>
    <row r="264" spans="10:10" hidden="1" x14ac:dyDescent="0.3">
      <c r="J264"/>
    </row>
    <row r="265" spans="10:10" hidden="1" x14ac:dyDescent="0.3">
      <c r="J265"/>
    </row>
    <row r="266" spans="10:10" hidden="1" x14ac:dyDescent="0.3">
      <c r="J266"/>
    </row>
    <row r="267" spans="10:10" hidden="1" x14ac:dyDescent="0.3">
      <c r="J267"/>
    </row>
    <row r="268" spans="10:10" hidden="1" x14ac:dyDescent="0.3">
      <c r="J268"/>
    </row>
    <row r="269" spans="10:10" hidden="1" x14ac:dyDescent="0.3">
      <c r="J269"/>
    </row>
    <row r="270" spans="10:10" hidden="1" x14ac:dyDescent="0.3">
      <c r="J270"/>
    </row>
    <row r="271" spans="10:10" hidden="1" x14ac:dyDescent="0.3">
      <c r="J271"/>
    </row>
    <row r="272" spans="10:10" hidden="1" x14ac:dyDescent="0.3">
      <c r="J272"/>
    </row>
    <row r="273" spans="10:10" hidden="1" x14ac:dyDescent="0.3">
      <c r="J273"/>
    </row>
    <row r="274" spans="10:10" hidden="1" x14ac:dyDescent="0.3">
      <c r="J274"/>
    </row>
    <row r="275" spans="10:10" hidden="1" x14ac:dyDescent="0.3">
      <c r="J275"/>
    </row>
    <row r="276" spans="10:10" hidden="1" x14ac:dyDescent="0.3">
      <c r="J276"/>
    </row>
    <row r="277" spans="10:10" hidden="1" x14ac:dyDescent="0.3">
      <c r="J277"/>
    </row>
    <row r="278" spans="10:10" hidden="1" x14ac:dyDescent="0.3">
      <c r="J278"/>
    </row>
    <row r="279" spans="10:10" hidden="1" x14ac:dyDescent="0.3">
      <c r="J279"/>
    </row>
    <row r="280" spans="10:10" hidden="1" x14ac:dyDescent="0.3">
      <c r="J280"/>
    </row>
    <row r="281" spans="10:10" hidden="1" x14ac:dyDescent="0.3">
      <c r="J281"/>
    </row>
    <row r="282" spans="10:10" hidden="1" x14ac:dyDescent="0.3">
      <c r="J282"/>
    </row>
    <row r="283" spans="10:10" hidden="1" x14ac:dyDescent="0.3">
      <c r="J283"/>
    </row>
    <row r="284" spans="10:10" hidden="1" x14ac:dyDescent="0.3">
      <c r="J284"/>
    </row>
    <row r="285" spans="10:10" hidden="1" x14ac:dyDescent="0.3">
      <c r="J285"/>
    </row>
    <row r="286" spans="10:10" hidden="1" x14ac:dyDescent="0.3">
      <c r="J286"/>
    </row>
    <row r="287" spans="10:10" hidden="1" x14ac:dyDescent="0.3">
      <c r="J287"/>
    </row>
    <row r="288" spans="10:10" hidden="1" x14ac:dyDescent="0.3">
      <c r="J288"/>
    </row>
    <row r="289" spans="10:10" hidden="1" x14ac:dyDescent="0.3">
      <c r="J289"/>
    </row>
    <row r="290" spans="10:10" hidden="1" x14ac:dyDescent="0.3">
      <c r="J290"/>
    </row>
    <row r="291" spans="10:10" hidden="1" x14ac:dyDescent="0.3">
      <c r="J291"/>
    </row>
    <row r="292" spans="10:10" hidden="1" x14ac:dyDescent="0.3">
      <c r="J292"/>
    </row>
    <row r="293" spans="10:10" hidden="1" x14ac:dyDescent="0.3">
      <c r="J293"/>
    </row>
    <row r="294" spans="10:10" hidden="1" x14ac:dyDescent="0.3">
      <c r="J294"/>
    </row>
    <row r="295" spans="10:10" hidden="1" x14ac:dyDescent="0.3">
      <c r="J295"/>
    </row>
    <row r="296" spans="10:10" hidden="1" x14ac:dyDescent="0.3">
      <c r="J296"/>
    </row>
    <row r="297" spans="10:10" hidden="1" x14ac:dyDescent="0.3">
      <c r="J297"/>
    </row>
    <row r="298" spans="10:10" hidden="1" x14ac:dyDescent="0.3">
      <c r="J298"/>
    </row>
    <row r="299" spans="10:10" hidden="1" x14ac:dyDescent="0.3">
      <c r="J299"/>
    </row>
    <row r="300" spans="10:10" hidden="1" x14ac:dyDescent="0.3">
      <c r="J300"/>
    </row>
    <row r="301" spans="10:10" hidden="1" x14ac:dyDescent="0.3">
      <c r="J301"/>
    </row>
    <row r="302" spans="10:10" hidden="1" x14ac:dyDescent="0.3">
      <c r="J302"/>
    </row>
    <row r="303" spans="10:10" hidden="1" x14ac:dyDescent="0.3">
      <c r="J303"/>
    </row>
    <row r="304" spans="10:10" hidden="1" x14ac:dyDescent="0.3">
      <c r="J304"/>
    </row>
    <row r="305" spans="10:10" hidden="1" x14ac:dyDescent="0.3">
      <c r="J305"/>
    </row>
    <row r="306" spans="10:10" hidden="1" x14ac:dyDescent="0.3">
      <c r="J306"/>
    </row>
    <row r="307" spans="10:10" hidden="1" x14ac:dyDescent="0.3">
      <c r="J307"/>
    </row>
    <row r="308" spans="10:10" hidden="1" x14ac:dyDescent="0.3">
      <c r="J308"/>
    </row>
    <row r="309" spans="10:10" hidden="1" x14ac:dyDescent="0.3">
      <c r="J309"/>
    </row>
    <row r="310" spans="10:10" hidden="1" x14ac:dyDescent="0.3">
      <c r="J310"/>
    </row>
    <row r="311" spans="10:10" hidden="1" x14ac:dyDescent="0.3">
      <c r="J311"/>
    </row>
    <row r="312" spans="10:10" hidden="1" x14ac:dyDescent="0.3">
      <c r="J312"/>
    </row>
    <row r="313" spans="10:10" hidden="1" x14ac:dyDescent="0.3">
      <c r="J313"/>
    </row>
    <row r="314" spans="10:10" hidden="1" x14ac:dyDescent="0.3">
      <c r="J314"/>
    </row>
    <row r="315" spans="10:10" hidden="1" x14ac:dyDescent="0.3">
      <c r="J315"/>
    </row>
    <row r="316" spans="10:10" hidden="1" x14ac:dyDescent="0.3">
      <c r="J316"/>
    </row>
    <row r="317" spans="10:10" hidden="1" x14ac:dyDescent="0.3">
      <c r="J317"/>
    </row>
    <row r="318" spans="10:10" hidden="1" x14ac:dyDescent="0.3">
      <c r="J318"/>
    </row>
    <row r="319" spans="10:10" hidden="1" x14ac:dyDescent="0.3">
      <c r="J319"/>
    </row>
    <row r="320" spans="10:10" hidden="1" x14ac:dyDescent="0.3">
      <c r="J320"/>
    </row>
    <row r="321" spans="10:10" hidden="1" x14ac:dyDescent="0.3">
      <c r="J321"/>
    </row>
    <row r="322" spans="10:10" hidden="1" x14ac:dyDescent="0.3">
      <c r="J322"/>
    </row>
    <row r="323" spans="10:10" hidden="1" x14ac:dyDescent="0.3">
      <c r="J323"/>
    </row>
    <row r="324" spans="10:10" hidden="1" x14ac:dyDescent="0.3">
      <c r="J324"/>
    </row>
    <row r="325" spans="10:10" hidden="1" x14ac:dyDescent="0.3">
      <c r="J325"/>
    </row>
    <row r="326" spans="10:10" hidden="1" x14ac:dyDescent="0.3">
      <c r="J326"/>
    </row>
    <row r="327" spans="10:10" hidden="1" x14ac:dyDescent="0.3">
      <c r="J327"/>
    </row>
    <row r="328" spans="10:10" hidden="1" x14ac:dyDescent="0.3">
      <c r="J328"/>
    </row>
    <row r="329" spans="10:10" hidden="1" x14ac:dyDescent="0.3">
      <c r="J329"/>
    </row>
    <row r="330" spans="10:10" hidden="1" x14ac:dyDescent="0.3">
      <c r="J330"/>
    </row>
    <row r="331" spans="10:10" hidden="1" x14ac:dyDescent="0.3">
      <c r="J331"/>
    </row>
    <row r="332" spans="10:10" hidden="1" x14ac:dyDescent="0.3">
      <c r="J332"/>
    </row>
    <row r="333" spans="10:10" hidden="1" x14ac:dyDescent="0.3">
      <c r="J333"/>
    </row>
    <row r="334" spans="10:10" hidden="1" x14ac:dyDescent="0.3">
      <c r="J334"/>
    </row>
    <row r="335" spans="10:10" hidden="1" x14ac:dyDescent="0.3">
      <c r="J335"/>
    </row>
    <row r="336" spans="10:10" hidden="1" x14ac:dyDescent="0.3">
      <c r="J336"/>
    </row>
    <row r="337" spans="10:10" hidden="1" x14ac:dyDescent="0.3">
      <c r="J337"/>
    </row>
    <row r="338" spans="10:10" hidden="1" x14ac:dyDescent="0.3">
      <c r="J338"/>
    </row>
    <row r="339" spans="10:10" hidden="1" x14ac:dyDescent="0.3">
      <c r="J339"/>
    </row>
    <row r="340" spans="10:10" hidden="1" x14ac:dyDescent="0.3">
      <c r="J340"/>
    </row>
    <row r="341" spans="10:10" hidden="1" x14ac:dyDescent="0.3">
      <c r="J341"/>
    </row>
    <row r="342" spans="10:10" hidden="1" x14ac:dyDescent="0.3">
      <c r="J342"/>
    </row>
    <row r="343" spans="10:10" hidden="1" x14ac:dyDescent="0.3">
      <c r="J343"/>
    </row>
    <row r="344" spans="10:10" hidden="1" x14ac:dyDescent="0.3">
      <c r="J344"/>
    </row>
    <row r="345" spans="10:10" hidden="1" x14ac:dyDescent="0.3">
      <c r="J345"/>
    </row>
    <row r="346" spans="10:10" hidden="1" x14ac:dyDescent="0.3">
      <c r="J346"/>
    </row>
    <row r="347" spans="10:10" hidden="1" x14ac:dyDescent="0.3">
      <c r="J347"/>
    </row>
    <row r="348" spans="10:10" hidden="1" x14ac:dyDescent="0.3">
      <c r="J348"/>
    </row>
    <row r="349" spans="10:10" hidden="1" x14ac:dyDescent="0.3">
      <c r="J349"/>
    </row>
    <row r="350" spans="10:10" hidden="1" x14ac:dyDescent="0.3">
      <c r="J350"/>
    </row>
    <row r="351" spans="10:10" hidden="1" x14ac:dyDescent="0.3">
      <c r="J351"/>
    </row>
    <row r="352" spans="10:10" hidden="1" x14ac:dyDescent="0.3">
      <c r="J352"/>
    </row>
    <row r="353" spans="10:10" hidden="1" x14ac:dyDescent="0.3">
      <c r="J353"/>
    </row>
    <row r="354" spans="10:10" hidden="1" x14ac:dyDescent="0.3">
      <c r="J354"/>
    </row>
    <row r="355" spans="10:10" hidden="1" x14ac:dyDescent="0.3">
      <c r="J355"/>
    </row>
    <row r="356" spans="10:10" hidden="1" x14ac:dyDescent="0.3">
      <c r="J356"/>
    </row>
    <row r="357" spans="10:10" hidden="1" x14ac:dyDescent="0.3">
      <c r="J357"/>
    </row>
    <row r="358" spans="10:10" hidden="1" x14ac:dyDescent="0.3">
      <c r="J358"/>
    </row>
    <row r="359" spans="10:10" hidden="1" x14ac:dyDescent="0.3">
      <c r="J359"/>
    </row>
    <row r="360" spans="10:10" hidden="1" x14ac:dyDescent="0.3">
      <c r="J360"/>
    </row>
    <row r="361" spans="10:10" hidden="1" x14ac:dyDescent="0.3">
      <c r="J361"/>
    </row>
    <row r="362" spans="10:10" hidden="1" x14ac:dyDescent="0.3">
      <c r="J362"/>
    </row>
    <row r="363" spans="10:10" hidden="1" x14ac:dyDescent="0.3">
      <c r="J363"/>
    </row>
    <row r="364" spans="10:10" hidden="1" x14ac:dyDescent="0.3">
      <c r="J364"/>
    </row>
    <row r="365" spans="10:10" hidden="1" x14ac:dyDescent="0.3">
      <c r="J365"/>
    </row>
    <row r="366" spans="10:10" hidden="1" x14ac:dyDescent="0.3">
      <c r="J366"/>
    </row>
    <row r="367" spans="10:10" hidden="1" x14ac:dyDescent="0.3">
      <c r="J367"/>
    </row>
    <row r="368" spans="10:10" hidden="1" x14ac:dyDescent="0.3">
      <c r="J368"/>
    </row>
    <row r="369" spans="10:10" hidden="1" x14ac:dyDescent="0.3">
      <c r="J369"/>
    </row>
    <row r="370" spans="10:10" hidden="1" x14ac:dyDescent="0.3">
      <c r="J370"/>
    </row>
    <row r="371" spans="10:10" hidden="1" x14ac:dyDescent="0.3">
      <c r="J371"/>
    </row>
    <row r="372" spans="10:10" hidden="1" x14ac:dyDescent="0.3">
      <c r="J372"/>
    </row>
    <row r="373" spans="10:10" hidden="1" x14ac:dyDescent="0.3">
      <c r="J373"/>
    </row>
    <row r="374" spans="10:10" hidden="1" x14ac:dyDescent="0.3">
      <c r="J374"/>
    </row>
    <row r="375" spans="10:10" hidden="1" x14ac:dyDescent="0.3">
      <c r="J375"/>
    </row>
    <row r="376" spans="10:10" hidden="1" x14ac:dyDescent="0.3">
      <c r="J376"/>
    </row>
    <row r="377" spans="10:10" hidden="1" x14ac:dyDescent="0.3">
      <c r="J377"/>
    </row>
    <row r="378" spans="10:10" hidden="1" x14ac:dyDescent="0.3">
      <c r="J378"/>
    </row>
    <row r="379" spans="10:10" hidden="1" x14ac:dyDescent="0.3">
      <c r="J379"/>
    </row>
    <row r="380" spans="10:10" hidden="1" x14ac:dyDescent="0.3">
      <c r="J380"/>
    </row>
    <row r="381" spans="10:10" hidden="1" x14ac:dyDescent="0.3">
      <c r="J381"/>
    </row>
    <row r="382" spans="10:10" hidden="1" x14ac:dyDescent="0.3">
      <c r="J382"/>
    </row>
    <row r="383" spans="10:10" hidden="1" x14ac:dyDescent="0.3">
      <c r="J383"/>
    </row>
    <row r="384" spans="10:10" hidden="1" x14ac:dyDescent="0.3">
      <c r="J384"/>
    </row>
    <row r="385" spans="10:10" hidden="1" x14ac:dyDescent="0.3">
      <c r="J385"/>
    </row>
    <row r="386" spans="10:10" hidden="1" x14ac:dyDescent="0.3">
      <c r="J386"/>
    </row>
    <row r="387" spans="10:10" hidden="1" x14ac:dyDescent="0.3">
      <c r="J387"/>
    </row>
    <row r="388" spans="10:10" hidden="1" x14ac:dyDescent="0.3">
      <c r="J388"/>
    </row>
    <row r="389" spans="10:10" hidden="1" x14ac:dyDescent="0.3">
      <c r="J389"/>
    </row>
    <row r="390" spans="10:10" hidden="1" x14ac:dyDescent="0.3">
      <c r="J390"/>
    </row>
    <row r="391" spans="10:10" hidden="1" x14ac:dyDescent="0.3">
      <c r="J391"/>
    </row>
    <row r="392" spans="10:10" hidden="1" x14ac:dyDescent="0.3">
      <c r="J392"/>
    </row>
    <row r="393" spans="10:10" hidden="1" x14ac:dyDescent="0.3">
      <c r="J393"/>
    </row>
    <row r="394" spans="10:10" hidden="1" x14ac:dyDescent="0.3">
      <c r="J394"/>
    </row>
    <row r="395" spans="10:10" hidden="1" x14ac:dyDescent="0.3">
      <c r="J395"/>
    </row>
    <row r="396" spans="10:10" hidden="1" x14ac:dyDescent="0.3">
      <c r="J396"/>
    </row>
    <row r="397" spans="10:10" hidden="1" x14ac:dyDescent="0.3">
      <c r="J397"/>
    </row>
    <row r="398" spans="10:10" hidden="1" x14ac:dyDescent="0.3">
      <c r="J398"/>
    </row>
    <row r="399" spans="10:10" hidden="1" x14ac:dyDescent="0.3">
      <c r="J399"/>
    </row>
    <row r="400" spans="10:10" hidden="1" x14ac:dyDescent="0.3">
      <c r="J400"/>
    </row>
    <row r="401" spans="10:10" hidden="1" x14ac:dyDescent="0.3">
      <c r="J401"/>
    </row>
    <row r="402" spans="10:10" hidden="1" x14ac:dyDescent="0.3">
      <c r="J402"/>
    </row>
    <row r="403" spans="10:10" hidden="1" x14ac:dyDescent="0.3">
      <c r="J403"/>
    </row>
    <row r="404" spans="10:10" hidden="1" x14ac:dyDescent="0.3">
      <c r="J404"/>
    </row>
    <row r="405" spans="10:10" hidden="1" x14ac:dyDescent="0.3">
      <c r="J405"/>
    </row>
    <row r="406" spans="10:10" hidden="1" x14ac:dyDescent="0.3">
      <c r="J406"/>
    </row>
    <row r="407" spans="10:10" hidden="1" x14ac:dyDescent="0.3">
      <c r="J407"/>
    </row>
    <row r="408" spans="10:10" hidden="1" x14ac:dyDescent="0.3">
      <c r="J408"/>
    </row>
    <row r="409" spans="10:10" hidden="1" x14ac:dyDescent="0.3">
      <c r="J409"/>
    </row>
    <row r="410" spans="10:10" hidden="1" x14ac:dyDescent="0.3">
      <c r="J410"/>
    </row>
    <row r="411" spans="10:10" hidden="1" x14ac:dyDescent="0.3">
      <c r="J411"/>
    </row>
    <row r="412" spans="10:10" hidden="1" x14ac:dyDescent="0.3">
      <c r="J412"/>
    </row>
    <row r="413" spans="10:10" hidden="1" x14ac:dyDescent="0.3">
      <c r="J413"/>
    </row>
    <row r="414" spans="10:10" hidden="1" x14ac:dyDescent="0.3">
      <c r="J414"/>
    </row>
    <row r="415" spans="10:10" hidden="1" x14ac:dyDescent="0.3">
      <c r="J415"/>
    </row>
    <row r="416" spans="10:10" hidden="1" x14ac:dyDescent="0.3">
      <c r="J416"/>
    </row>
    <row r="417" spans="10:10" hidden="1" x14ac:dyDescent="0.3">
      <c r="J417"/>
    </row>
    <row r="418" spans="10:10" hidden="1" x14ac:dyDescent="0.3">
      <c r="J418"/>
    </row>
    <row r="419" spans="10:10" hidden="1" x14ac:dyDescent="0.3">
      <c r="J419"/>
    </row>
    <row r="420" spans="10:10" hidden="1" x14ac:dyDescent="0.3">
      <c r="J420"/>
    </row>
    <row r="421" spans="10:10" hidden="1" x14ac:dyDescent="0.3">
      <c r="J421"/>
    </row>
    <row r="422" spans="10:10" hidden="1" x14ac:dyDescent="0.3">
      <c r="J422"/>
    </row>
    <row r="423" spans="10:10" hidden="1" x14ac:dyDescent="0.3">
      <c r="J423"/>
    </row>
    <row r="424" spans="10:10" hidden="1" x14ac:dyDescent="0.3">
      <c r="J424"/>
    </row>
    <row r="425" spans="10:10" hidden="1" x14ac:dyDescent="0.3">
      <c r="J425"/>
    </row>
    <row r="426" spans="10:10" hidden="1" x14ac:dyDescent="0.3">
      <c r="J426"/>
    </row>
    <row r="427" spans="10:10" hidden="1" x14ac:dyDescent="0.3">
      <c r="J427"/>
    </row>
    <row r="428" spans="10:10" hidden="1" x14ac:dyDescent="0.3">
      <c r="J428"/>
    </row>
    <row r="429" spans="10:10" hidden="1" x14ac:dyDescent="0.3">
      <c r="J429"/>
    </row>
    <row r="430" spans="10:10" hidden="1" x14ac:dyDescent="0.3">
      <c r="J430"/>
    </row>
    <row r="431" spans="10:10" hidden="1" x14ac:dyDescent="0.3">
      <c r="J431"/>
    </row>
    <row r="432" spans="10:10" hidden="1" x14ac:dyDescent="0.3">
      <c r="J432"/>
    </row>
    <row r="433" spans="10:10" hidden="1" x14ac:dyDescent="0.3">
      <c r="J433"/>
    </row>
    <row r="434" spans="10:10" hidden="1" x14ac:dyDescent="0.3">
      <c r="J434"/>
    </row>
    <row r="435" spans="10:10" hidden="1" x14ac:dyDescent="0.3">
      <c r="J435"/>
    </row>
    <row r="436" spans="10:10" hidden="1" x14ac:dyDescent="0.3">
      <c r="J436"/>
    </row>
    <row r="437" spans="10:10" hidden="1" x14ac:dyDescent="0.3">
      <c r="J437"/>
    </row>
    <row r="438" spans="10:10" hidden="1" x14ac:dyDescent="0.3">
      <c r="J438"/>
    </row>
    <row r="439" spans="10:10" hidden="1" x14ac:dyDescent="0.3">
      <c r="J439"/>
    </row>
    <row r="440" spans="10:10" hidden="1" x14ac:dyDescent="0.3">
      <c r="J440"/>
    </row>
    <row r="441" spans="10:10" hidden="1" x14ac:dyDescent="0.3">
      <c r="J441"/>
    </row>
    <row r="442" spans="10:10" hidden="1" x14ac:dyDescent="0.3">
      <c r="J442"/>
    </row>
    <row r="443" spans="10:10" hidden="1" x14ac:dyDescent="0.3">
      <c r="J443"/>
    </row>
    <row r="444" spans="10:10" hidden="1" x14ac:dyDescent="0.3">
      <c r="J444"/>
    </row>
    <row r="445" spans="10:10" hidden="1" x14ac:dyDescent="0.3">
      <c r="J445"/>
    </row>
    <row r="446" spans="10:10" hidden="1" x14ac:dyDescent="0.3">
      <c r="J446"/>
    </row>
    <row r="447" spans="10:10" hidden="1" x14ac:dyDescent="0.3">
      <c r="J447"/>
    </row>
    <row r="448" spans="10:10" hidden="1" x14ac:dyDescent="0.3">
      <c r="J448"/>
    </row>
    <row r="449" spans="10:10" hidden="1" x14ac:dyDescent="0.3">
      <c r="J449"/>
    </row>
    <row r="450" spans="10:10" hidden="1" x14ac:dyDescent="0.3">
      <c r="J450"/>
    </row>
    <row r="451" spans="10:10" hidden="1" x14ac:dyDescent="0.3">
      <c r="J451"/>
    </row>
    <row r="452" spans="10:10" hidden="1" x14ac:dyDescent="0.3">
      <c r="J452"/>
    </row>
    <row r="453" spans="10:10" hidden="1" x14ac:dyDescent="0.3">
      <c r="J453"/>
    </row>
    <row r="454" spans="10:10" hidden="1" x14ac:dyDescent="0.3">
      <c r="J454"/>
    </row>
    <row r="455" spans="10:10" hidden="1" x14ac:dyDescent="0.3">
      <c r="J455"/>
    </row>
    <row r="456" spans="10:10" hidden="1" x14ac:dyDescent="0.3">
      <c r="J456"/>
    </row>
    <row r="457" spans="10:10" hidden="1" x14ac:dyDescent="0.3">
      <c r="J457"/>
    </row>
    <row r="458" spans="10:10" hidden="1" x14ac:dyDescent="0.3">
      <c r="J458"/>
    </row>
    <row r="459" spans="10:10" hidden="1" x14ac:dyDescent="0.3">
      <c r="J459"/>
    </row>
    <row r="460" spans="10:10" hidden="1" x14ac:dyDescent="0.3">
      <c r="J460"/>
    </row>
    <row r="461" spans="10:10" hidden="1" x14ac:dyDescent="0.3">
      <c r="J461"/>
    </row>
    <row r="462" spans="10:10" hidden="1" x14ac:dyDescent="0.3">
      <c r="J462"/>
    </row>
    <row r="463" spans="10:10" hidden="1" x14ac:dyDescent="0.3">
      <c r="J463"/>
    </row>
    <row r="464" spans="10:10" hidden="1" x14ac:dyDescent="0.3">
      <c r="J464"/>
    </row>
    <row r="465" spans="10:10" hidden="1" x14ac:dyDescent="0.3">
      <c r="J465"/>
    </row>
    <row r="466" spans="10:10" hidden="1" x14ac:dyDescent="0.3">
      <c r="J466"/>
    </row>
    <row r="467" spans="10:10" hidden="1" x14ac:dyDescent="0.3">
      <c r="J467"/>
    </row>
    <row r="468" spans="10:10" hidden="1" x14ac:dyDescent="0.3">
      <c r="J468"/>
    </row>
    <row r="469" spans="10:10" hidden="1" x14ac:dyDescent="0.3">
      <c r="J469"/>
    </row>
    <row r="470" spans="10:10" hidden="1" x14ac:dyDescent="0.3">
      <c r="J470"/>
    </row>
    <row r="471" spans="10:10" hidden="1" x14ac:dyDescent="0.3">
      <c r="J471"/>
    </row>
    <row r="472" spans="10:10" hidden="1" x14ac:dyDescent="0.3">
      <c r="J472"/>
    </row>
    <row r="473" spans="10:10" hidden="1" x14ac:dyDescent="0.3">
      <c r="J473"/>
    </row>
    <row r="474" spans="10:10" hidden="1" x14ac:dyDescent="0.3">
      <c r="J474"/>
    </row>
    <row r="475" spans="10:10" hidden="1" x14ac:dyDescent="0.3">
      <c r="J475"/>
    </row>
    <row r="476" spans="10:10" hidden="1" x14ac:dyDescent="0.3">
      <c r="J476"/>
    </row>
    <row r="477" spans="10:10" hidden="1" x14ac:dyDescent="0.3">
      <c r="J477"/>
    </row>
    <row r="478" spans="10:10" hidden="1" x14ac:dyDescent="0.3">
      <c r="J478"/>
    </row>
    <row r="479" spans="10:10" hidden="1" x14ac:dyDescent="0.3">
      <c r="J479"/>
    </row>
    <row r="480" spans="10:10" hidden="1" x14ac:dyDescent="0.3">
      <c r="J480"/>
    </row>
    <row r="481" spans="10:10" hidden="1" x14ac:dyDescent="0.3">
      <c r="J481"/>
    </row>
    <row r="482" spans="10:10" hidden="1" x14ac:dyDescent="0.3">
      <c r="J482"/>
    </row>
    <row r="483" spans="10:10" hidden="1" x14ac:dyDescent="0.3">
      <c r="J483"/>
    </row>
    <row r="484" spans="10:10" hidden="1" x14ac:dyDescent="0.3">
      <c r="J484"/>
    </row>
    <row r="485" spans="10:10" hidden="1" x14ac:dyDescent="0.3">
      <c r="J485"/>
    </row>
    <row r="486" spans="10:10" hidden="1" x14ac:dyDescent="0.3">
      <c r="J486"/>
    </row>
    <row r="487" spans="10:10" hidden="1" x14ac:dyDescent="0.3">
      <c r="J487"/>
    </row>
    <row r="488" spans="10:10" hidden="1" x14ac:dyDescent="0.3">
      <c r="J488"/>
    </row>
    <row r="489" spans="10:10" hidden="1" x14ac:dyDescent="0.3">
      <c r="J489"/>
    </row>
    <row r="490" spans="10:10" hidden="1" x14ac:dyDescent="0.3">
      <c r="J490"/>
    </row>
    <row r="491" spans="10:10" hidden="1" x14ac:dyDescent="0.3">
      <c r="J491"/>
    </row>
    <row r="492" spans="10:10" hidden="1" x14ac:dyDescent="0.3">
      <c r="J492"/>
    </row>
    <row r="493" spans="10:10" hidden="1" x14ac:dyDescent="0.3">
      <c r="J493"/>
    </row>
    <row r="494" spans="10:10" hidden="1" x14ac:dyDescent="0.3">
      <c r="J494"/>
    </row>
    <row r="495" spans="10:10" hidden="1" x14ac:dyDescent="0.3">
      <c r="J495"/>
    </row>
    <row r="496" spans="10:10" hidden="1" x14ac:dyDescent="0.3">
      <c r="J496"/>
    </row>
    <row r="497" spans="10:10" hidden="1" x14ac:dyDescent="0.3">
      <c r="J497"/>
    </row>
    <row r="498" spans="10:10" hidden="1" x14ac:dyDescent="0.3">
      <c r="J498"/>
    </row>
    <row r="499" spans="10:10" hidden="1" x14ac:dyDescent="0.3">
      <c r="J499"/>
    </row>
    <row r="500" spans="10:10" hidden="1" x14ac:dyDescent="0.3">
      <c r="J500"/>
    </row>
    <row r="501" spans="10:10" hidden="1" x14ac:dyDescent="0.3">
      <c r="J501"/>
    </row>
    <row r="502" spans="10:10" hidden="1" x14ac:dyDescent="0.3">
      <c r="J502"/>
    </row>
    <row r="503" spans="10:10" hidden="1" x14ac:dyDescent="0.3">
      <c r="J503"/>
    </row>
    <row r="504" spans="10:10" hidden="1" x14ac:dyDescent="0.3">
      <c r="J504"/>
    </row>
    <row r="505" spans="10:10" hidden="1" x14ac:dyDescent="0.3">
      <c r="J505"/>
    </row>
    <row r="506" spans="10:10" hidden="1" x14ac:dyDescent="0.3">
      <c r="J506"/>
    </row>
    <row r="507" spans="10:10" hidden="1" x14ac:dyDescent="0.3">
      <c r="J507"/>
    </row>
    <row r="508" spans="10:10" hidden="1" x14ac:dyDescent="0.3">
      <c r="J508"/>
    </row>
    <row r="509" spans="10:10" hidden="1" x14ac:dyDescent="0.3">
      <c r="J509"/>
    </row>
    <row r="510" spans="10:10" hidden="1" x14ac:dyDescent="0.3">
      <c r="J510"/>
    </row>
    <row r="511" spans="10:10" hidden="1" x14ac:dyDescent="0.3">
      <c r="J511"/>
    </row>
    <row r="512" spans="10:10" hidden="1" x14ac:dyDescent="0.3">
      <c r="J512"/>
    </row>
    <row r="513" spans="10:10" hidden="1" x14ac:dyDescent="0.3">
      <c r="J513"/>
    </row>
    <row r="514" spans="10:10" hidden="1" x14ac:dyDescent="0.3">
      <c r="J514"/>
    </row>
    <row r="515" spans="10:10" hidden="1" x14ac:dyDescent="0.3">
      <c r="J515"/>
    </row>
    <row r="516" spans="10:10" hidden="1" x14ac:dyDescent="0.3">
      <c r="J516"/>
    </row>
    <row r="517" spans="10:10" hidden="1" x14ac:dyDescent="0.3">
      <c r="J517"/>
    </row>
    <row r="518" spans="10:10" hidden="1" x14ac:dyDescent="0.3">
      <c r="J518"/>
    </row>
    <row r="519" spans="10:10" hidden="1" x14ac:dyDescent="0.3">
      <c r="J519"/>
    </row>
    <row r="520" spans="10:10" hidden="1" x14ac:dyDescent="0.3">
      <c r="J520"/>
    </row>
    <row r="521" spans="10:10" hidden="1" x14ac:dyDescent="0.3">
      <c r="J521"/>
    </row>
    <row r="522" spans="10:10" hidden="1" x14ac:dyDescent="0.3">
      <c r="J522"/>
    </row>
    <row r="523" spans="10:10" hidden="1" x14ac:dyDescent="0.3">
      <c r="J523"/>
    </row>
    <row r="524" spans="10:10" hidden="1" x14ac:dyDescent="0.3">
      <c r="J524"/>
    </row>
    <row r="525" spans="10:10" hidden="1" x14ac:dyDescent="0.3">
      <c r="J525"/>
    </row>
    <row r="526" spans="10:10" hidden="1" x14ac:dyDescent="0.3">
      <c r="J526"/>
    </row>
    <row r="527" spans="10:10" hidden="1" x14ac:dyDescent="0.3">
      <c r="J527"/>
    </row>
    <row r="528" spans="10:10" hidden="1" x14ac:dyDescent="0.3">
      <c r="J528"/>
    </row>
    <row r="529" spans="10:10" hidden="1" x14ac:dyDescent="0.3">
      <c r="J529"/>
    </row>
    <row r="530" spans="10:10" hidden="1" x14ac:dyDescent="0.3">
      <c r="J530"/>
    </row>
    <row r="531" spans="10:10" hidden="1" x14ac:dyDescent="0.3">
      <c r="J531"/>
    </row>
    <row r="532" spans="10:10" hidden="1" x14ac:dyDescent="0.3">
      <c r="J532"/>
    </row>
    <row r="533" spans="10:10" hidden="1" x14ac:dyDescent="0.3">
      <c r="J533"/>
    </row>
    <row r="534" spans="10:10" hidden="1" x14ac:dyDescent="0.3">
      <c r="J534"/>
    </row>
    <row r="535" spans="10:10" hidden="1" x14ac:dyDescent="0.3">
      <c r="J535"/>
    </row>
    <row r="536" spans="10:10" hidden="1" x14ac:dyDescent="0.3">
      <c r="J536"/>
    </row>
    <row r="537" spans="10:10" hidden="1" x14ac:dyDescent="0.3">
      <c r="J537"/>
    </row>
    <row r="538" spans="10:10" hidden="1" x14ac:dyDescent="0.3">
      <c r="J538"/>
    </row>
    <row r="539" spans="10:10" hidden="1" x14ac:dyDescent="0.3">
      <c r="J539"/>
    </row>
    <row r="540" spans="10:10" hidden="1" x14ac:dyDescent="0.3">
      <c r="J540"/>
    </row>
    <row r="541" spans="10:10" hidden="1" x14ac:dyDescent="0.3">
      <c r="J541"/>
    </row>
    <row r="542" spans="10:10" hidden="1" x14ac:dyDescent="0.3">
      <c r="J542"/>
    </row>
    <row r="543" spans="10:10" hidden="1" x14ac:dyDescent="0.3">
      <c r="J543"/>
    </row>
    <row r="544" spans="10:10" hidden="1" x14ac:dyDescent="0.3">
      <c r="J544"/>
    </row>
    <row r="545" spans="10:10" hidden="1" x14ac:dyDescent="0.3">
      <c r="J545"/>
    </row>
    <row r="546" spans="10:10" hidden="1" x14ac:dyDescent="0.3">
      <c r="J546"/>
    </row>
    <row r="547" spans="10:10" hidden="1" x14ac:dyDescent="0.3">
      <c r="J547"/>
    </row>
    <row r="548" spans="10:10" hidden="1" x14ac:dyDescent="0.3">
      <c r="J548"/>
    </row>
    <row r="549" spans="10:10" hidden="1" x14ac:dyDescent="0.3">
      <c r="J549"/>
    </row>
    <row r="550" spans="10:10" hidden="1" x14ac:dyDescent="0.3">
      <c r="J550"/>
    </row>
    <row r="551" spans="10:10" hidden="1" x14ac:dyDescent="0.3">
      <c r="J551"/>
    </row>
    <row r="552" spans="10:10" hidden="1" x14ac:dyDescent="0.3">
      <c r="J552"/>
    </row>
    <row r="553" spans="10:10" hidden="1" x14ac:dyDescent="0.3">
      <c r="J553"/>
    </row>
    <row r="554" spans="10:10" hidden="1" x14ac:dyDescent="0.3">
      <c r="J554"/>
    </row>
    <row r="555" spans="10:10" hidden="1" x14ac:dyDescent="0.3">
      <c r="J555"/>
    </row>
    <row r="556" spans="10:10" hidden="1" x14ac:dyDescent="0.3">
      <c r="J556"/>
    </row>
    <row r="557" spans="10:10" hidden="1" x14ac:dyDescent="0.3">
      <c r="J557"/>
    </row>
    <row r="558" spans="10:10" hidden="1" x14ac:dyDescent="0.3">
      <c r="J558"/>
    </row>
    <row r="559" spans="10:10" hidden="1" x14ac:dyDescent="0.3">
      <c r="J559"/>
    </row>
    <row r="560" spans="10:10" hidden="1" x14ac:dyDescent="0.3">
      <c r="J560"/>
    </row>
    <row r="561" spans="10:10" hidden="1" x14ac:dyDescent="0.3">
      <c r="J561"/>
    </row>
    <row r="562" spans="10:10" hidden="1" x14ac:dyDescent="0.3">
      <c r="J562"/>
    </row>
    <row r="563" spans="10:10" hidden="1" x14ac:dyDescent="0.3">
      <c r="J563"/>
    </row>
    <row r="564" spans="10:10" hidden="1" x14ac:dyDescent="0.3">
      <c r="J564"/>
    </row>
    <row r="565" spans="10:10" hidden="1" x14ac:dyDescent="0.3">
      <c r="J565"/>
    </row>
    <row r="566" spans="10:10" hidden="1" x14ac:dyDescent="0.3">
      <c r="J566"/>
    </row>
    <row r="567" spans="10:10" hidden="1" x14ac:dyDescent="0.3">
      <c r="J567"/>
    </row>
    <row r="568" spans="10:10" hidden="1" x14ac:dyDescent="0.3">
      <c r="J568"/>
    </row>
    <row r="569" spans="10:10" hidden="1" x14ac:dyDescent="0.3">
      <c r="J569"/>
    </row>
    <row r="570" spans="10:10" hidden="1" x14ac:dyDescent="0.3">
      <c r="J570"/>
    </row>
    <row r="571" spans="10:10" hidden="1" x14ac:dyDescent="0.3">
      <c r="J571"/>
    </row>
    <row r="572" spans="10:10" hidden="1" x14ac:dyDescent="0.3">
      <c r="J572"/>
    </row>
    <row r="573" spans="10:10" hidden="1" x14ac:dyDescent="0.3">
      <c r="J573"/>
    </row>
    <row r="574" spans="10:10" hidden="1" x14ac:dyDescent="0.3">
      <c r="J574"/>
    </row>
    <row r="575" spans="10:10" hidden="1" x14ac:dyDescent="0.3">
      <c r="J575"/>
    </row>
    <row r="576" spans="10:10" hidden="1" x14ac:dyDescent="0.3">
      <c r="J576"/>
    </row>
    <row r="577" spans="10:10" hidden="1" x14ac:dyDescent="0.3">
      <c r="J577"/>
    </row>
    <row r="578" spans="10:10" hidden="1" x14ac:dyDescent="0.3">
      <c r="J578"/>
    </row>
    <row r="579" spans="10:10" hidden="1" x14ac:dyDescent="0.3">
      <c r="J579"/>
    </row>
    <row r="580" spans="10:10" hidden="1" x14ac:dyDescent="0.3">
      <c r="J580"/>
    </row>
    <row r="581" spans="10:10" hidden="1" x14ac:dyDescent="0.3">
      <c r="J581"/>
    </row>
    <row r="582" spans="10:10" hidden="1" x14ac:dyDescent="0.3">
      <c r="J582"/>
    </row>
    <row r="583" spans="10:10" hidden="1" x14ac:dyDescent="0.3">
      <c r="J583"/>
    </row>
    <row r="584" spans="10:10" hidden="1" x14ac:dyDescent="0.3">
      <c r="J584"/>
    </row>
    <row r="585" spans="10:10" hidden="1" x14ac:dyDescent="0.3">
      <c r="J585"/>
    </row>
    <row r="586" spans="10:10" hidden="1" x14ac:dyDescent="0.3">
      <c r="J586"/>
    </row>
    <row r="587" spans="10:10" hidden="1" x14ac:dyDescent="0.3">
      <c r="J587"/>
    </row>
    <row r="588" spans="10:10" hidden="1" x14ac:dyDescent="0.3">
      <c r="J588"/>
    </row>
    <row r="589" spans="10:10" hidden="1" x14ac:dyDescent="0.3">
      <c r="J589"/>
    </row>
    <row r="590" spans="10:10" hidden="1" x14ac:dyDescent="0.3">
      <c r="J590"/>
    </row>
    <row r="591" spans="10:10" hidden="1" x14ac:dyDescent="0.3">
      <c r="J591"/>
    </row>
    <row r="592" spans="10:10" hidden="1" x14ac:dyDescent="0.3">
      <c r="J592"/>
    </row>
    <row r="593" spans="10:10" hidden="1" x14ac:dyDescent="0.3">
      <c r="J593"/>
    </row>
    <row r="594" spans="10:10" hidden="1" x14ac:dyDescent="0.3">
      <c r="J594"/>
    </row>
    <row r="595" spans="10:10" hidden="1" x14ac:dyDescent="0.3">
      <c r="J595"/>
    </row>
    <row r="596" spans="10:10" hidden="1" x14ac:dyDescent="0.3">
      <c r="J596"/>
    </row>
    <row r="597" spans="10:10" hidden="1" x14ac:dyDescent="0.3">
      <c r="J597"/>
    </row>
    <row r="598" spans="10:10" hidden="1" x14ac:dyDescent="0.3">
      <c r="J598"/>
    </row>
    <row r="599" spans="10:10" hidden="1" x14ac:dyDescent="0.3">
      <c r="J599"/>
    </row>
    <row r="600" spans="10:10" hidden="1" x14ac:dyDescent="0.3">
      <c r="J600"/>
    </row>
    <row r="601" spans="10:10" hidden="1" x14ac:dyDescent="0.3">
      <c r="J601"/>
    </row>
    <row r="602" spans="10:10" hidden="1" x14ac:dyDescent="0.3">
      <c r="J602"/>
    </row>
    <row r="603" spans="10:10" hidden="1" x14ac:dyDescent="0.3">
      <c r="J603"/>
    </row>
    <row r="604" spans="10:10" hidden="1" x14ac:dyDescent="0.3">
      <c r="J604"/>
    </row>
    <row r="605" spans="10:10" hidden="1" x14ac:dyDescent="0.3">
      <c r="J605"/>
    </row>
    <row r="606" spans="10:10" hidden="1" x14ac:dyDescent="0.3">
      <c r="J606"/>
    </row>
    <row r="607" spans="10:10" hidden="1" x14ac:dyDescent="0.3">
      <c r="J607"/>
    </row>
    <row r="608" spans="10:10" hidden="1" x14ac:dyDescent="0.3">
      <c r="J608"/>
    </row>
    <row r="609" spans="10:10" hidden="1" x14ac:dyDescent="0.3">
      <c r="J609"/>
    </row>
    <row r="610" spans="10:10" hidden="1" x14ac:dyDescent="0.3">
      <c r="J610"/>
    </row>
    <row r="611" spans="10:10" hidden="1" x14ac:dyDescent="0.3">
      <c r="J611"/>
    </row>
    <row r="612" spans="10:10" hidden="1" x14ac:dyDescent="0.3">
      <c r="J612"/>
    </row>
    <row r="613" spans="10:10" hidden="1" x14ac:dyDescent="0.3">
      <c r="J613"/>
    </row>
    <row r="614" spans="10:10" hidden="1" x14ac:dyDescent="0.3">
      <c r="J614"/>
    </row>
    <row r="615" spans="10:10" hidden="1" x14ac:dyDescent="0.3">
      <c r="J615"/>
    </row>
    <row r="616" spans="10:10" hidden="1" x14ac:dyDescent="0.3">
      <c r="J616"/>
    </row>
    <row r="617" spans="10:10" hidden="1" x14ac:dyDescent="0.3">
      <c r="J617"/>
    </row>
    <row r="618" spans="10:10" hidden="1" x14ac:dyDescent="0.3">
      <c r="J618"/>
    </row>
    <row r="619" spans="10:10" hidden="1" x14ac:dyDescent="0.3">
      <c r="J619"/>
    </row>
    <row r="620" spans="10:10" hidden="1" x14ac:dyDescent="0.3">
      <c r="J620"/>
    </row>
    <row r="621" spans="10:10" hidden="1" x14ac:dyDescent="0.3">
      <c r="J621"/>
    </row>
    <row r="622" spans="10:10" hidden="1" x14ac:dyDescent="0.3">
      <c r="J622"/>
    </row>
    <row r="623" spans="10:10" hidden="1" x14ac:dyDescent="0.3">
      <c r="J623"/>
    </row>
    <row r="624" spans="10:10" hidden="1" x14ac:dyDescent="0.3">
      <c r="J624"/>
    </row>
    <row r="625" spans="10:10" hidden="1" x14ac:dyDescent="0.3">
      <c r="J625"/>
    </row>
    <row r="626" spans="10:10" hidden="1" x14ac:dyDescent="0.3">
      <c r="J626"/>
    </row>
    <row r="627" spans="10:10" hidden="1" x14ac:dyDescent="0.3">
      <c r="J627"/>
    </row>
    <row r="628" spans="10:10" hidden="1" x14ac:dyDescent="0.3">
      <c r="J628"/>
    </row>
    <row r="629" spans="10:10" hidden="1" x14ac:dyDescent="0.3">
      <c r="J629"/>
    </row>
    <row r="630" spans="10:10" hidden="1" x14ac:dyDescent="0.3">
      <c r="J630"/>
    </row>
    <row r="631" spans="10:10" hidden="1" x14ac:dyDescent="0.3">
      <c r="J631"/>
    </row>
    <row r="632" spans="10:10" hidden="1" x14ac:dyDescent="0.3">
      <c r="J632"/>
    </row>
    <row r="633" spans="10:10" hidden="1" x14ac:dyDescent="0.3">
      <c r="J633"/>
    </row>
    <row r="634" spans="10:10" hidden="1" x14ac:dyDescent="0.3">
      <c r="J634"/>
    </row>
    <row r="635" spans="10:10" hidden="1" x14ac:dyDescent="0.3">
      <c r="J635"/>
    </row>
    <row r="636" spans="10:10" hidden="1" x14ac:dyDescent="0.3">
      <c r="J636"/>
    </row>
    <row r="637" spans="10:10" hidden="1" x14ac:dyDescent="0.3">
      <c r="J637"/>
    </row>
    <row r="638" spans="10:10" hidden="1" x14ac:dyDescent="0.3">
      <c r="J638"/>
    </row>
    <row r="639" spans="10:10" hidden="1" x14ac:dyDescent="0.3">
      <c r="J639"/>
    </row>
    <row r="640" spans="10:10" hidden="1" x14ac:dyDescent="0.3">
      <c r="J640"/>
    </row>
    <row r="641" spans="10:10" hidden="1" x14ac:dyDescent="0.3">
      <c r="J641"/>
    </row>
    <row r="642" spans="10:10" hidden="1" x14ac:dyDescent="0.3">
      <c r="J642"/>
    </row>
    <row r="643" spans="10:10" hidden="1" x14ac:dyDescent="0.3">
      <c r="J643"/>
    </row>
    <row r="644" spans="10:10" hidden="1" x14ac:dyDescent="0.3">
      <c r="J644"/>
    </row>
    <row r="645" spans="10:10" hidden="1" x14ac:dyDescent="0.3">
      <c r="J645"/>
    </row>
    <row r="646" spans="10:10" hidden="1" x14ac:dyDescent="0.3">
      <c r="J646"/>
    </row>
    <row r="647" spans="10:10" hidden="1" x14ac:dyDescent="0.3">
      <c r="J647"/>
    </row>
    <row r="648" spans="10:10" hidden="1" x14ac:dyDescent="0.3">
      <c r="J648"/>
    </row>
    <row r="649" spans="10:10" hidden="1" x14ac:dyDescent="0.3">
      <c r="J649"/>
    </row>
    <row r="650" spans="10:10" hidden="1" x14ac:dyDescent="0.3">
      <c r="J650"/>
    </row>
    <row r="651" spans="10:10" hidden="1" x14ac:dyDescent="0.3">
      <c r="J651"/>
    </row>
    <row r="652" spans="10:10" hidden="1" x14ac:dyDescent="0.3">
      <c r="J652"/>
    </row>
    <row r="653" spans="10:10" hidden="1" x14ac:dyDescent="0.3">
      <c r="J653"/>
    </row>
    <row r="654" spans="10:10" hidden="1" x14ac:dyDescent="0.3">
      <c r="J654"/>
    </row>
    <row r="655" spans="10:10" hidden="1" x14ac:dyDescent="0.3">
      <c r="J655"/>
    </row>
    <row r="656" spans="10:10" hidden="1" x14ac:dyDescent="0.3">
      <c r="J656"/>
    </row>
    <row r="657" spans="10:10" hidden="1" x14ac:dyDescent="0.3">
      <c r="J657"/>
    </row>
    <row r="658" spans="10:10" hidden="1" x14ac:dyDescent="0.3">
      <c r="J658"/>
    </row>
    <row r="659" spans="10:10" hidden="1" x14ac:dyDescent="0.3">
      <c r="J659"/>
    </row>
    <row r="660" spans="10:10" hidden="1" x14ac:dyDescent="0.3">
      <c r="J660"/>
    </row>
    <row r="661" spans="10:10" hidden="1" x14ac:dyDescent="0.3">
      <c r="J661"/>
    </row>
    <row r="662" spans="10:10" hidden="1" x14ac:dyDescent="0.3">
      <c r="J662"/>
    </row>
    <row r="663" spans="10:10" hidden="1" x14ac:dyDescent="0.3">
      <c r="J663"/>
    </row>
    <row r="664" spans="10:10" hidden="1" x14ac:dyDescent="0.3">
      <c r="J664"/>
    </row>
    <row r="665" spans="10:10" hidden="1" x14ac:dyDescent="0.3">
      <c r="J665"/>
    </row>
    <row r="666" spans="10:10" hidden="1" x14ac:dyDescent="0.3">
      <c r="J666"/>
    </row>
    <row r="667" spans="10:10" hidden="1" x14ac:dyDescent="0.3">
      <c r="J667"/>
    </row>
    <row r="668" spans="10:10" hidden="1" x14ac:dyDescent="0.3">
      <c r="J668"/>
    </row>
    <row r="669" spans="10:10" hidden="1" x14ac:dyDescent="0.3">
      <c r="J669"/>
    </row>
    <row r="670" spans="10:10" hidden="1" x14ac:dyDescent="0.3">
      <c r="J670"/>
    </row>
    <row r="671" spans="10:10" hidden="1" x14ac:dyDescent="0.3">
      <c r="J671"/>
    </row>
    <row r="672" spans="10:10" hidden="1" x14ac:dyDescent="0.3">
      <c r="J672"/>
    </row>
    <row r="673" spans="10:10" hidden="1" x14ac:dyDescent="0.3">
      <c r="J673"/>
    </row>
    <row r="674" spans="10:10" hidden="1" x14ac:dyDescent="0.3">
      <c r="J674"/>
    </row>
    <row r="675" spans="10:10" hidden="1" x14ac:dyDescent="0.3">
      <c r="J675"/>
    </row>
    <row r="676" spans="10:10" hidden="1" x14ac:dyDescent="0.3">
      <c r="J676"/>
    </row>
    <row r="677" spans="10:10" hidden="1" x14ac:dyDescent="0.3">
      <c r="J677"/>
    </row>
    <row r="678" spans="10:10" hidden="1" x14ac:dyDescent="0.3">
      <c r="J678"/>
    </row>
    <row r="679" spans="10:10" hidden="1" x14ac:dyDescent="0.3">
      <c r="J679"/>
    </row>
    <row r="680" spans="10:10" hidden="1" x14ac:dyDescent="0.3">
      <c r="J680"/>
    </row>
    <row r="681" spans="10:10" hidden="1" x14ac:dyDescent="0.3">
      <c r="J681"/>
    </row>
    <row r="682" spans="10:10" hidden="1" x14ac:dyDescent="0.3">
      <c r="J682"/>
    </row>
    <row r="683" spans="10:10" hidden="1" x14ac:dyDescent="0.3">
      <c r="J683"/>
    </row>
    <row r="684" spans="10:10" hidden="1" x14ac:dyDescent="0.3">
      <c r="J684"/>
    </row>
    <row r="685" spans="10:10" hidden="1" x14ac:dyDescent="0.3">
      <c r="J685"/>
    </row>
    <row r="686" spans="10:10" hidden="1" x14ac:dyDescent="0.3">
      <c r="J686"/>
    </row>
    <row r="687" spans="10:10" hidden="1" x14ac:dyDescent="0.3">
      <c r="J687"/>
    </row>
    <row r="688" spans="10:10" hidden="1" x14ac:dyDescent="0.3">
      <c r="J688"/>
    </row>
    <row r="689" spans="10:10" hidden="1" x14ac:dyDescent="0.3">
      <c r="J689"/>
    </row>
    <row r="690" spans="10:10" hidden="1" x14ac:dyDescent="0.3">
      <c r="J690"/>
    </row>
    <row r="691" spans="10:10" hidden="1" x14ac:dyDescent="0.3">
      <c r="J691"/>
    </row>
    <row r="692" spans="10:10" hidden="1" x14ac:dyDescent="0.3">
      <c r="J692"/>
    </row>
    <row r="693" spans="10:10" hidden="1" x14ac:dyDescent="0.3">
      <c r="J693"/>
    </row>
    <row r="694" spans="10:10" hidden="1" x14ac:dyDescent="0.3">
      <c r="J694"/>
    </row>
    <row r="695" spans="10:10" hidden="1" x14ac:dyDescent="0.3">
      <c r="J695"/>
    </row>
    <row r="696" spans="10:10" hidden="1" x14ac:dyDescent="0.3">
      <c r="J696"/>
    </row>
    <row r="697" spans="10:10" hidden="1" x14ac:dyDescent="0.3">
      <c r="J697"/>
    </row>
    <row r="698" spans="10:10" hidden="1" x14ac:dyDescent="0.3">
      <c r="J698"/>
    </row>
    <row r="699" spans="10:10" hidden="1" x14ac:dyDescent="0.3">
      <c r="J699"/>
    </row>
    <row r="700" spans="10:10" hidden="1" x14ac:dyDescent="0.3">
      <c r="J700"/>
    </row>
    <row r="701" spans="10:10" hidden="1" x14ac:dyDescent="0.3">
      <c r="J701"/>
    </row>
    <row r="702" spans="10:10" hidden="1" x14ac:dyDescent="0.3">
      <c r="J702"/>
    </row>
    <row r="703" spans="10:10" hidden="1" x14ac:dyDescent="0.3">
      <c r="J703"/>
    </row>
    <row r="704" spans="10:10" hidden="1" x14ac:dyDescent="0.3">
      <c r="J704"/>
    </row>
    <row r="705" spans="10:10" hidden="1" x14ac:dyDescent="0.3">
      <c r="J705"/>
    </row>
    <row r="706" spans="10:10" hidden="1" x14ac:dyDescent="0.3">
      <c r="J706"/>
    </row>
    <row r="707" spans="10:10" hidden="1" x14ac:dyDescent="0.3">
      <c r="J707"/>
    </row>
    <row r="708" spans="10:10" hidden="1" x14ac:dyDescent="0.3">
      <c r="J708"/>
    </row>
    <row r="709" spans="10:10" hidden="1" x14ac:dyDescent="0.3">
      <c r="J709"/>
    </row>
    <row r="710" spans="10:10" hidden="1" x14ac:dyDescent="0.3">
      <c r="J710"/>
    </row>
    <row r="711" spans="10:10" hidden="1" x14ac:dyDescent="0.3">
      <c r="J711"/>
    </row>
    <row r="712" spans="10:10" hidden="1" x14ac:dyDescent="0.3">
      <c r="J712"/>
    </row>
    <row r="713" spans="10:10" hidden="1" x14ac:dyDescent="0.3">
      <c r="J713"/>
    </row>
    <row r="714" spans="10:10" hidden="1" x14ac:dyDescent="0.3">
      <c r="J714"/>
    </row>
    <row r="715" spans="10:10" hidden="1" x14ac:dyDescent="0.3">
      <c r="J715"/>
    </row>
    <row r="716" spans="10:10" hidden="1" x14ac:dyDescent="0.3">
      <c r="J716"/>
    </row>
    <row r="717" spans="10:10" hidden="1" x14ac:dyDescent="0.3">
      <c r="J717"/>
    </row>
    <row r="718" spans="10:10" hidden="1" x14ac:dyDescent="0.3">
      <c r="J718"/>
    </row>
    <row r="719" spans="10:10" hidden="1" x14ac:dyDescent="0.3">
      <c r="J719"/>
    </row>
    <row r="720" spans="10:10" hidden="1" x14ac:dyDescent="0.3">
      <c r="J720"/>
    </row>
    <row r="721" spans="10:10" hidden="1" x14ac:dyDescent="0.3">
      <c r="J721"/>
    </row>
    <row r="722" spans="10:10" hidden="1" x14ac:dyDescent="0.3">
      <c r="J722"/>
    </row>
    <row r="723" spans="10:10" hidden="1" x14ac:dyDescent="0.3">
      <c r="J723"/>
    </row>
    <row r="724" spans="10:10" hidden="1" x14ac:dyDescent="0.3">
      <c r="J724"/>
    </row>
    <row r="725" spans="10:10" hidden="1" x14ac:dyDescent="0.3">
      <c r="J725"/>
    </row>
    <row r="726" spans="10:10" hidden="1" x14ac:dyDescent="0.3">
      <c r="J726"/>
    </row>
    <row r="727" spans="10:10" hidden="1" x14ac:dyDescent="0.3">
      <c r="J727"/>
    </row>
    <row r="728" spans="10:10" hidden="1" x14ac:dyDescent="0.3">
      <c r="J728"/>
    </row>
    <row r="729" spans="10:10" hidden="1" x14ac:dyDescent="0.3">
      <c r="J729"/>
    </row>
    <row r="730" spans="10:10" hidden="1" x14ac:dyDescent="0.3">
      <c r="J730"/>
    </row>
    <row r="731" spans="10:10" hidden="1" x14ac:dyDescent="0.3">
      <c r="J731"/>
    </row>
    <row r="732" spans="10:10" hidden="1" x14ac:dyDescent="0.3">
      <c r="J732"/>
    </row>
    <row r="733" spans="10:10" hidden="1" x14ac:dyDescent="0.3">
      <c r="J733"/>
    </row>
    <row r="734" spans="10:10" hidden="1" x14ac:dyDescent="0.3">
      <c r="J734"/>
    </row>
    <row r="735" spans="10:10" hidden="1" x14ac:dyDescent="0.3">
      <c r="J735"/>
    </row>
    <row r="736" spans="10:10" hidden="1" x14ac:dyDescent="0.3">
      <c r="J736"/>
    </row>
    <row r="737" spans="10:10" hidden="1" x14ac:dyDescent="0.3">
      <c r="J737"/>
    </row>
    <row r="738" spans="10:10" hidden="1" x14ac:dyDescent="0.3">
      <c r="J738"/>
    </row>
    <row r="739" spans="10:10" hidden="1" x14ac:dyDescent="0.3">
      <c r="J739"/>
    </row>
    <row r="740" spans="10:10" hidden="1" x14ac:dyDescent="0.3">
      <c r="J740"/>
    </row>
    <row r="741" spans="10:10" hidden="1" x14ac:dyDescent="0.3">
      <c r="J741"/>
    </row>
    <row r="742" spans="10:10" hidden="1" x14ac:dyDescent="0.3">
      <c r="J742"/>
    </row>
    <row r="743" spans="10:10" hidden="1" x14ac:dyDescent="0.3">
      <c r="J743"/>
    </row>
    <row r="744" spans="10:10" hidden="1" x14ac:dyDescent="0.3">
      <c r="J744"/>
    </row>
    <row r="745" spans="10:10" hidden="1" x14ac:dyDescent="0.3">
      <c r="J745"/>
    </row>
    <row r="746" spans="10:10" hidden="1" x14ac:dyDescent="0.3">
      <c r="J746"/>
    </row>
    <row r="747" spans="10:10" hidden="1" x14ac:dyDescent="0.3">
      <c r="J747"/>
    </row>
    <row r="748" spans="10:10" hidden="1" x14ac:dyDescent="0.3">
      <c r="J748"/>
    </row>
    <row r="749" spans="10:10" hidden="1" x14ac:dyDescent="0.3">
      <c r="J749"/>
    </row>
    <row r="750" spans="10:10" hidden="1" x14ac:dyDescent="0.3">
      <c r="J750"/>
    </row>
    <row r="751" spans="10:10" hidden="1" x14ac:dyDescent="0.3">
      <c r="J751"/>
    </row>
    <row r="752" spans="10:10" hidden="1" x14ac:dyDescent="0.3">
      <c r="J752"/>
    </row>
    <row r="753" spans="10:10" hidden="1" x14ac:dyDescent="0.3">
      <c r="J753"/>
    </row>
    <row r="754" spans="10:10" hidden="1" x14ac:dyDescent="0.3">
      <c r="J754"/>
    </row>
    <row r="755" spans="10:10" hidden="1" x14ac:dyDescent="0.3">
      <c r="J755"/>
    </row>
    <row r="756" spans="10:10" hidden="1" x14ac:dyDescent="0.3">
      <c r="J756"/>
    </row>
    <row r="757" spans="10:10" hidden="1" x14ac:dyDescent="0.3">
      <c r="J757"/>
    </row>
    <row r="758" spans="10:10" hidden="1" x14ac:dyDescent="0.3">
      <c r="J758"/>
    </row>
    <row r="759" spans="10:10" hidden="1" x14ac:dyDescent="0.3">
      <c r="J759"/>
    </row>
    <row r="760" spans="10:10" hidden="1" x14ac:dyDescent="0.3">
      <c r="J760"/>
    </row>
    <row r="761" spans="10:10" hidden="1" x14ac:dyDescent="0.3">
      <c r="J761"/>
    </row>
    <row r="762" spans="10:10" hidden="1" x14ac:dyDescent="0.3">
      <c r="J762"/>
    </row>
    <row r="763" spans="10:10" hidden="1" x14ac:dyDescent="0.3">
      <c r="J763"/>
    </row>
    <row r="764" spans="10:10" hidden="1" x14ac:dyDescent="0.3">
      <c r="J764"/>
    </row>
    <row r="765" spans="10:10" hidden="1" x14ac:dyDescent="0.3">
      <c r="J765"/>
    </row>
    <row r="766" spans="10:10" hidden="1" x14ac:dyDescent="0.3">
      <c r="J766"/>
    </row>
    <row r="767" spans="10:10" hidden="1" x14ac:dyDescent="0.3">
      <c r="J767"/>
    </row>
    <row r="768" spans="10:10" hidden="1" x14ac:dyDescent="0.3">
      <c r="J768"/>
    </row>
    <row r="769" spans="10:10" hidden="1" x14ac:dyDescent="0.3">
      <c r="J769"/>
    </row>
    <row r="770" spans="10:10" hidden="1" x14ac:dyDescent="0.3">
      <c r="J770"/>
    </row>
    <row r="771" spans="10:10" hidden="1" x14ac:dyDescent="0.3">
      <c r="J771"/>
    </row>
    <row r="772" spans="10:10" hidden="1" x14ac:dyDescent="0.3">
      <c r="J772"/>
    </row>
    <row r="773" spans="10:10" hidden="1" x14ac:dyDescent="0.3">
      <c r="J773"/>
    </row>
    <row r="774" spans="10:10" hidden="1" x14ac:dyDescent="0.3">
      <c r="J774"/>
    </row>
    <row r="775" spans="10:10" hidden="1" x14ac:dyDescent="0.3">
      <c r="J775"/>
    </row>
    <row r="776" spans="10:10" hidden="1" x14ac:dyDescent="0.3">
      <c r="J776"/>
    </row>
    <row r="777" spans="10:10" hidden="1" x14ac:dyDescent="0.3">
      <c r="J777"/>
    </row>
    <row r="778" spans="10:10" hidden="1" x14ac:dyDescent="0.3">
      <c r="J778"/>
    </row>
    <row r="779" spans="10:10" hidden="1" x14ac:dyDescent="0.3">
      <c r="J779"/>
    </row>
    <row r="780" spans="10:10" hidden="1" x14ac:dyDescent="0.3">
      <c r="J780"/>
    </row>
    <row r="781" spans="10:10" hidden="1" x14ac:dyDescent="0.3">
      <c r="J781"/>
    </row>
    <row r="782" spans="10:10" hidden="1" x14ac:dyDescent="0.3">
      <c r="J782"/>
    </row>
    <row r="783" spans="10:10" hidden="1" x14ac:dyDescent="0.3">
      <c r="J783"/>
    </row>
    <row r="784" spans="10:10" hidden="1" x14ac:dyDescent="0.3">
      <c r="J784"/>
    </row>
    <row r="785" spans="10:10" hidden="1" x14ac:dyDescent="0.3">
      <c r="J785"/>
    </row>
    <row r="786" spans="10:10" hidden="1" x14ac:dyDescent="0.3">
      <c r="J786"/>
    </row>
    <row r="787" spans="10:10" hidden="1" x14ac:dyDescent="0.3">
      <c r="J787"/>
    </row>
    <row r="788" spans="10:10" hidden="1" x14ac:dyDescent="0.3">
      <c r="J788"/>
    </row>
    <row r="789" spans="10:10" hidden="1" x14ac:dyDescent="0.3">
      <c r="J789"/>
    </row>
    <row r="790" spans="10:10" hidden="1" x14ac:dyDescent="0.3">
      <c r="J790"/>
    </row>
    <row r="791" spans="10:10" hidden="1" x14ac:dyDescent="0.3">
      <c r="J791"/>
    </row>
    <row r="792" spans="10:10" hidden="1" x14ac:dyDescent="0.3">
      <c r="J792"/>
    </row>
    <row r="793" spans="10:10" hidden="1" x14ac:dyDescent="0.3">
      <c r="J793"/>
    </row>
    <row r="794" spans="10:10" hidden="1" x14ac:dyDescent="0.3">
      <c r="J794"/>
    </row>
    <row r="795" spans="10:10" hidden="1" x14ac:dyDescent="0.3">
      <c r="J795"/>
    </row>
    <row r="796" spans="10:10" hidden="1" x14ac:dyDescent="0.3">
      <c r="J796"/>
    </row>
    <row r="797" spans="10:10" hidden="1" x14ac:dyDescent="0.3">
      <c r="J797"/>
    </row>
    <row r="798" spans="10:10" hidden="1" x14ac:dyDescent="0.3">
      <c r="J798"/>
    </row>
    <row r="799" spans="10:10" hidden="1" x14ac:dyDescent="0.3">
      <c r="J799"/>
    </row>
    <row r="800" spans="10:10" hidden="1" x14ac:dyDescent="0.3">
      <c r="J800"/>
    </row>
    <row r="801" spans="10:10" hidden="1" x14ac:dyDescent="0.3">
      <c r="J801"/>
    </row>
    <row r="802" spans="10:10" hidden="1" x14ac:dyDescent="0.3">
      <c r="J802"/>
    </row>
    <row r="803" spans="10:10" hidden="1" x14ac:dyDescent="0.3">
      <c r="J803"/>
    </row>
    <row r="804" spans="10:10" hidden="1" x14ac:dyDescent="0.3">
      <c r="J804"/>
    </row>
    <row r="805" spans="10:10" hidden="1" x14ac:dyDescent="0.3">
      <c r="J805"/>
    </row>
    <row r="806" spans="10:10" hidden="1" x14ac:dyDescent="0.3">
      <c r="J806"/>
    </row>
    <row r="807" spans="10:10" hidden="1" x14ac:dyDescent="0.3">
      <c r="J807"/>
    </row>
    <row r="808" spans="10:10" hidden="1" x14ac:dyDescent="0.3">
      <c r="J808"/>
    </row>
    <row r="809" spans="10:10" hidden="1" x14ac:dyDescent="0.3">
      <c r="J809"/>
    </row>
    <row r="810" spans="10:10" hidden="1" x14ac:dyDescent="0.3">
      <c r="J810"/>
    </row>
    <row r="811" spans="10:10" hidden="1" x14ac:dyDescent="0.3">
      <c r="J811"/>
    </row>
    <row r="812" spans="10:10" hidden="1" x14ac:dyDescent="0.3">
      <c r="J812"/>
    </row>
    <row r="813" spans="10:10" hidden="1" x14ac:dyDescent="0.3">
      <c r="J813"/>
    </row>
    <row r="814" spans="10:10" hidden="1" x14ac:dyDescent="0.3">
      <c r="J814"/>
    </row>
    <row r="815" spans="10:10" hidden="1" x14ac:dyDescent="0.3">
      <c r="J815"/>
    </row>
    <row r="816" spans="10:10" hidden="1" x14ac:dyDescent="0.3">
      <c r="J816"/>
    </row>
    <row r="817" spans="10:10" hidden="1" x14ac:dyDescent="0.3">
      <c r="J817"/>
    </row>
    <row r="818" spans="10:10" hidden="1" x14ac:dyDescent="0.3">
      <c r="J818"/>
    </row>
    <row r="819" spans="10:10" hidden="1" x14ac:dyDescent="0.3">
      <c r="J819"/>
    </row>
    <row r="820" spans="10:10" hidden="1" x14ac:dyDescent="0.3">
      <c r="J820"/>
    </row>
    <row r="821" spans="10:10" hidden="1" x14ac:dyDescent="0.3">
      <c r="J821"/>
    </row>
    <row r="822" spans="10:10" hidden="1" x14ac:dyDescent="0.3">
      <c r="J822"/>
    </row>
    <row r="823" spans="10:10" hidden="1" x14ac:dyDescent="0.3">
      <c r="J823"/>
    </row>
    <row r="824" spans="10:10" hidden="1" x14ac:dyDescent="0.3">
      <c r="J824"/>
    </row>
    <row r="825" spans="10:10" hidden="1" x14ac:dyDescent="0.3">
      <c r="J825"/>
    </row>
    <row r="826" spans="10:10" hidden="1" x14ac:dyDescent="0.3">
      <c r="J826"/>
    </row>
    <row r="827" spans="10:10" hidden="1" x14ac:dyDescent="0.3">
      <c r="J827"/>
    </row>
    <row r="828" spans="10:10" hidden="1" x14ac:dyDescent="0.3">
      <c r="J828"/>
    </row>
    <row r="829" spans="10:10" hidden="1" x14ac:dyDescent="0.3">
      <c r="J829"/>
    </row>
    <row r="830" spans="10:10" hidden="1" x14ac:dyDescent="0.3">
      <c r="J830"/>
    </row>
    <row r="831" spans="10:10" hidden="1" x14ac:dyDescent="0.3">
      <c r="J831"/>
    </row>
    <row r="832" spans="10:10" hidden="1" x14ac:dyDescent="0.3">
      <c r="J832"/>
    </row>
    <row r="833" spans="10:10" hidden="1" x14ac:dyDescent="0.3">
      <c r="J833"/>
    </row>
    <row r="834" spans="10:10" hidden="1" x14ac:dyDescent="0.3">
      <c r="J834"/>
    </row>
    <row r="835" spans="10:10" hidden="1" x14ac:dyDescent="0.3">
      <c r="J835"/>
    </row>
    <row r="836" spans="10:10" hidden="1" x14ac:dyDescent="0.3">
      <c r="J836"/>
    </row>
    <row r="837" spans="10:10" hidden="1" x14ac:dyDescent="0.3">
      <c r="J837"/>
    </row>
    <row r="838" spans="10:10" hidden="1" x14ac:dyDescent="0.3">
      <c r="J838"/>
    </row>
    <row r="839" spans="10:10" hidden="1" x14ac:dyDescent="0.3">
      <c r="J839"/>
    </row>
    <row r="840" spans="10:10" hidden="1" x14ac:dyDescent="0.3">
      <c r="J840"/>
    </row>
    <row r="841" spans="10:10" hidden="1" x14ac:dyDescent="0.3">
      <c r="J841"/>
    </row>
    <row r="842" spans="10:10" hidden="1" x14ac:dyDescent="0.3">
      <c r="J842"/>
    </row>
    <row r="843" spans="10:10" hidden="1" x14ac:dyDescent="0.3">
      <c r="J843"/>
    </row>
    <row r="844" spans="10:10" hidden="1" x14ac:dyDescent="0.3">
      <c r="J844"/>
    </row>
    <row r="845" spans="10:10" hidden="1" x14ac:dyDescent="0.3">
      <c r="J845"/>
    </row>
    <row r="846" spans="10:10" hidden="1" x14ac:dyDescent="0.3">
      <c r="J846"/>
    </row>
    <row r="847" spans="10:10" hidden="1" x14ac:dyDescent="0.3">
      <c r="J847"/>
    </row>
    <row r="848" spans="10:10" hidden="1" x14ac:dyDescent="0.3">
      <c r="J848"/>
    </row>
    <row r="849" spans="10:10" hidden="1" x14ac:dyDescent="0.3">
      <c r="J849"/>
    </row>
    <row r="850" spans="10:10" hidden="1" x14ac:dyDescent="0.3">
      <c r="J850"/>
    </row>
    <row r="851" spans="10:10" hidden="1" x14ac:dyDescent="0.3">
      <c r="J851"/>
    </row>
    <row r="852" spans="10:10" hidden="1" x14ac:dyDescent="0.3">
      <c r="J852"/>
    </row>
    <row r="853" spans="10:10" hidden="1" x14ac:dyDescent="0.3">
      <c r="J853"/>
    </row>
    <row r="854" spans="10:10" hidden="1" x14ac:dyDescent="0.3">
      <c r="J854"/>
    </row>
    <row r="855" spans="10:10" hidden="1" x14ac:dyDescent="0.3">
      <c r="J855"/>
    </row>
    <row r="856" spans="10:10" hidden="1" x14ac:dyDescent="0.3">
      <c r="J856"/>
    </row>
    <row r="857" spans="10:10" hidden="1" x14ac:dyDescent="0.3">
      <c r="J857"/>
    </row>
    <row r="858" spans="10:10" hidden="1" x14ac:dyDescent="0.3">
      <c r="J858"/>
    </row>
    <row r="859" spans="10:10" hidden="1" x14ac:dyDescent="0.3">
      <c r="J859"/>
    </row>
    <row r="860" spans="10:10" hidden="1" x14ac:dyDescent="0.3">
      <c r="J860"/>
    </row>
    <row r="861" spans="10:10" hidden="1" x14ac:dyDescent="0.3">
      <c r="J861"/>
    </row>
    <row r="862" spans="10:10" hidden="1" x14ac:dyDescent="0.3">
      <c r="J862"/>
    </row>
    <row r="863" spans="10:10" hidden="1" x14ac:dyDescent="0.3">
      <c r="J863"/>
    </row>
    <row r="864" spans="10:10" hidden="1" x14ac:dyDescent="0.3">
      <c r="J864"/>
    </row>
    <row r="865" spans="10:10" hidden="1" x14ac:dyDescent="0.3">
      <c r="J865"/>
    </row>
    <row r="866" spans="10:10" hidden="1" x14ac:dyDescent="0.3">
      <c r="J866"/>
    </row>
    <row r="867" spans="10:10" hidden="1" x14ac:dyDescent="0.3">
      <c r="J867"/>
    </row>
    <row r="868" spans="10:10" hidden="1" x14ac:dyDescent="0.3">
      <c r="J868"/>
    </row>
    <row r="869" spans="10:10" hidden="1" x14ac:dyDescent="0.3">
      <c r="J869"/>
    </row>
    <row r="870" spans="10:10" hidden="1" x14ac:dyDescent="0.3">
      <c r="J870"/>
    </row>
    <row r="871" spans="10:10" hidden="1" x14ac:dyDescent="0.3">
      <c r="J871"/>
    </row>
    <row r="872" spans="10:10" hidden="1" x14ac:dyDescent="0.3">
      <c r="J872"/>
    </row>
    <row r="873" spans="10:10" hidden="1" x14ac:dyDescent="0.3">
      <c r="J873"/>
    </row>
    <row r="874" spans="10:10" hidden="1" x14ac:dyDescent="0.3">
      <c r="J874"/>
    </row>
    <row r="875" spans="10:10" hidden="1" x14ac:dyDescent="0.3">
      <c r="J875"/>
    </row>
    <row r="876" spans="10:10" hidden="1" x14ac:dyDescent="0.3">
      <c r="J876"/>
    </row>
    <row r="877" spans="10:10" hidden="1" x14ac:dyDescent="0.3">
      <c r="J877"/>
    </row>
    <row r="878" spans="10:10" hidden="1" x14ac:dyDescent="0.3">
      <c r="J878"/>
    </row>
    <row r="879" spans="10:10" hidden="1" x14ac:dyDescent="0.3">
      <c r="J879"/>
    </row>
    <row r="880" spans="10:10" hidden="1" x14ac:dyDescent="0.3">
      <c r="J880"/>
    </row>
    <row r="881" spans="10:10" hidden="1" x14ac:dyDescent="0.3">
      <c r="J881"/>
    </row>
    <row r="882" spans="10:10" hidden="1" x14ac:dyDescent="0.3">
      <c r="J882"/>
    </row>
    <row r="883" spans="10:10" hidden="1" x14ac:dyDescent="0.3">
      <c r="J883"/>
    </row>
    <row r="884" spans="10:10" hidden="1" x14ac:dyDescent="0.3">
      <c r="J884"/>
    </row>
    <row r="885" spans="10:10" hidden="1" x14ac:dyDescent="0.3">
      <c r="J885"/>
    </row>
    <row r="886" spans="10:10" hidden="1" x14ac:dyDescent="0.3">
      <c r="J886"/>
    </row>
    <row r="887" spans="10:10" hidden="1" x14ac:dyDescent="0.3">
      <c r="J887"/>
    </row>
    <row r="888" spans="10:10" hidden="1" x14ac:dyDescent="0.3">
      <c r="J888"/>
    </row>
    <row r="889" spans="10:10" hidden="1" x14ac:dyDescent="0.3">
      <c r="J889"/>
    </row>
    <row r="890" spans="10:10" hidden="1" x14ac:dyDescent="0.3">
      <c r="J890"/>
    </row>
    <row r="891" spans="10:10" hidden="1" x14ac:dyDescent="0.3">
      <c r="J891"/>
    </row>
    <row r="892" spans="10:10" hidden="1" x14ac:dyDescent="0.3">
      <c r="J892"/>
    </row>
    <row r="893" spans="10:10" hidden="1" x14ac:dyDescent="0.3">
      <c r="J893"/>
    </row>
    <row r="894" spans="10:10" hidden="1" x14ac:dyDescent="0.3">
      <c r="J894"/>
    </row>
    <row r="895" spans="10:10" hidden="1" x14ac:dyDescent="0.3">
      <c r="J895"/>
    </row>
    <row r="896" spans="10:10" hidden="1" x14ac:dyDescent="0.3">
      <c r="J896"/>
    </row>
    <row r="897" spans="10:10" hidden="1" x14ac:dyDescent="0.3">
      <c r="J897"/>
    </row>
    <row r="898" spans="10:10" hidden="1" x14ac:dyDescent="0.3">
      <c r="J898"/>
    </row>
    <row r="899" spans="10:10" hidden="1" x14ac:dyDescent="0.3">
      <c r="J899"/>
    </row>
    <row r="900" spans="10:10" hidden="1" x14ac:dyDescent="0.3">
      <c r="J900"/>
    </row>
    <row r="901" spans="10:10" hidden="1" x14ac:dyDescent="0.3">
      <c r="J901"/>
    </row>
    <row r="902" spans="10:10" hidden="1" x14ac:dyDescent="0.3">
      <c r="J902"/>
    </row>
    <row r="903" spans="10:10" hidden="1" x14ac:dyDescent="0.3">
      <c r="J903"/>
    </row>
    <row r="904" spans="10:10" hidden="1" x14ac:dyDescent="0.3">
      <c r="J904"/>
    </row>
    <row r="905" spans="10:10" hidden="1" x14ac:dyDescent="0.3">
      <c r="J905"/>
    </row>
    <row r="906" spans="10:10" hidden="1" x14ac:dyDescent="0.3">
      <c r="J906"/>
    </row>
    <row r="907" spans="10:10" hidden="1" x14ac:dyDescent="0.3">
      <c r="J907"/>
    </row>
    <row r="908" spans="10:10" hidden="1" x14ac:dyDescent="0.3">
      <c r="J908"/>
    </row>
    <row r="909" spans="10:10" hidden="1" x14ac:dyDescent="0.3">
      <c r="J909"/>
    </row>
    <row r="910" spans="10:10" hidden="1" x14ac:dyDescent="0.3">
      <c r="J910"/>
    </row>
    <row r="911" spans="10:10" hidden="1" x14ac:dyDescent="0.3">
      <c r="J911"/>
    </row>
    <row r="912" spans="10:10" hidden="1" x14ac:dyDescent="0.3">
      <c r="J912"/>
    </row>
    <row r="913" spans="10:10" hidden="1" x14ac:dyDescent="0.3">
      <c r="J913"/>
    </row>
    <row r="914" spans="10:10" hidden="1" x14ac:dyDescent="0.3">
      <c r="J914"/>
    </row>
    <row r="915" spans="10:10" hidden="1" x14ac:dyDescent="0.3">
      <c r="J915"/>
    </row>
    <row r="916" spans="10:10" hidden="1" x14ac:dyDescent="0.3">
      <c r="J916"/>
    </row>
    <row r="917" spans="10:10" hidden="1" x14ac:dyDescent="0.3">
      <c r="J917"/>
    </row>
    <row r="918" spans="10:10" hidden="1" x14ac:dyDescent="0.3">
      <c r="J918"/>
    </row>
    <row r="919" spans="10:10" hidden="1" x14ac:dyDescent="0.3">
      <c r="J919"/>
    </row>
    <row r="920" spans="10:10" hidden="1" x14ac:dyDescent="0.3">
      <c r="J920"/>
    </row>
    <row r="921" spans="10:10" hidden="1" x14ac:dyDescent="0.3">
      <c r="J921"/>
    </row>
    <row r="922" spans="10:10" hidden="1" x14ac:dyDescent="0.3">
      <c r="J922"/>
    </row>
    <row r="923" spans="10:10" hidden="1" x14ac:dyDescent="0.3">
      <c r="J923"/>
    </row>
    <row r="924" spans="10:10" hidden="1" x14ac:dyDescent="0.3">
      <c r="J924"/>
    </row>
    <row r="925" spans="10:10" hidden="1" x14ac:dyDescent="0.3">
      <c r="J925"/>
    </row>
    <row r="926" spans="10:10" hidden="1" x14ac:dyDescent="0.3">
      <c r="J926"/>
    </row>
    <row r="927" spans="10:10" hidden="1" x14ac:dyDescent="0.3">
      <c r="J927"/>
    </row>
    <row r="928" spans="10:10" hidden="1" x14ac:dyDescent="0.3">
      <c r="J928"/>
    </row>
    <row r="929" spans="10:10" hidden="1" x14ac:dyDescent="0.3">
      <c r="J929"/>
    </row>
    <row r="930" spans="10:10" hidden="1" x14ac:dyDescent="0.3">
      <c r="J930"/>
    </row>
    <row r="931" spans="10:10" hidden="1" x14ac:dyDescent="0.3">
      <c r="J931"/>
    </row>
    <row r="932" spans="10:10" hidden="1" x14ac:dyDescent="0.3">
      <c r="J932"/>
    </row>
    <row r="933" spans="10:10" hidden="1" x14ac:dyDescent="0.3">
      <c r="J933"/>
    </row>
    <row r="934" spans="10:10" hidden="1" x14ac:dyDescent="0.3">
      <c r="J934"/>
    </row>
    <row r="935" spans="10:10" hidden="1" x14ac:dyDescent="0.3">
      <c r="J935"/>
    </row>
    <row r="936" spans="10:10" hidden="1" x14ac:dyDescent="0.3">
      <c r="J936"/>
    </row>
    <row r="937" spans="10:10" hidden="1" x14ac:dyDescent="0.3">
      <c r="J937"/>
    </row>
    <row r="938" spans="10:10" hidden="1" x14ac:dyDescent="0.3">
      <c r="J938"/>
    </row>
    <row r="939" spans="10:10" hidden="1" x14ac:dyDescent="0.3">
      <c r="J939"/>
    </row>
    <row r="940" spans="10:10" hidden="1" x14ac:dyDescent="0.3">
      <c r="J940"/>
    </row>
    <row r="941" spans="10:10" hidden="1" x14ac:dyDescent="0.3">
      <c r="J941"/>
    </row>
    <row r="942" spans="10:10" hidden="1" x14ac:dyDescent="0.3">
      <c r="J942"/>
    </row>
    <row r="943" spans="10:10" hidden="1" x14ac:dyDescent="0.3">
      <c r="J943"/>
    </row>
    <row r="944" spans="10:10" hidden="1" x14ac:dyDescent="0.3">
      <c r="J944"/>
    </row>
    <row r="945" spans="10:10" hidden="1" x14ac:dyDescent="0.3">
      <c r="J945"/>
    </row>
    <row r="946" spans="10:10" hidden="1" x14ac:dyDescent="0.3">
      <c r="J946"/>
    </row>
    <row r="947" spans="10:10" hidden="1" x14ac:dyDescent="0.3">
      <c r="J947"/>
    </row>
    <row r="948" spans="10:10" hidden="1" x14ac:dyDescent="0.3">
      <c r="J948"/>
    </row>
    <row r="949" spans="10:10" hidden="1" x14ac:dyDescent="0.3">
      <c r="J949"/>
    </row>
    <row r="950" spans="10:10" hidden="1" x14ac:dyDescent="0.3">
      <c r="J950"/>
    </row>
    <row r="951" spans="10:10" hidden="1" x14ac:dyDescent="0.3">
      <c r="J951"/>
    </row>
    <row r="952" spans="10:10" hidden="1" x14ac:dyDescent="0.3">
      <c r="J952"/>
    </row>
    <row r="953" spans="10:10" hidden="1" x14ac:dyDescent="0.3">
      <c r="J953"/>
    </row>
    <row r="954" spans="10:10" hidden="1" x14ac:dyDescent="0.3">
      <c r="J954"/>
    </row>
    <row r="955" spans="10:10" hidden="1" x14ac:dyDescent="0.3">
      <c r="J955"/>
    </row>
    <row r="956" spans="10:10" hidden="1" x14ac:dyDescent="0.3">
      <c r="J956"/>
    </row>
    <row r="957" spans="10:10" hidden="1" x14ac:dyDescent="0.3">
      <c r="J957"/>
    </row>
    <row r="958" spans="10:10" hidden="1" x14ac:dyDescent="0.3">
      <c r="J958"/>
    </row>
    <row r="959" spans="10:10" hidden="1" x14ac:dyDescent="0.3">
      <c r="J959"/>
    </row>
    <row r="960" spans="10:10" hidden="1" x14ac:dyDescent="0.3">
      <c r="J960"/>
    </row>
    <row r="961" spans="10:10" hidden="1" x14ac:dyDescent="0.3">
      <c r="J961"/>
    </row>
    <row r="962" spans="10:10" hidden="1" x14ac:dyDescent="0.3">
      <c r="J962"/>
    </row>
    <row r="963" spans="10:10" hidden="1" x14ac:dyDescent="0.3">
      <c r="J963"/>
    </row>
    <row r="964" spans="10:10" hidden="1" x14ac:dyDescent="0.3">
      <c r="J964"/>
    </row>
    <row r="965" spans="10:10" hidden="1" x14ac:dyDescent="0.3">
      <c r="J965"/>
    </row>
    <row r="966" spans="10:10" hidden="1" x14ac:dyDescent="0.3">
      <c r="J966"/>
    </row>
    <row r="967" spans="10:10" hidden="1" x14ac:dyDescent="0.3">
      <c r="J967"/>
    </row>
    <row r="968" spans="10:10" hidden="1" x14ac:dyDescent="0.3">
      <c r="J968"/>
    </row>
    <row r="969" spans="10:10" hidden="1" x14ac:dyDescent="0.3">
      <c r="J969"/>
    </row>
    <row r="970" spans="10:10" hidden="1" x14ac:dyDescent="0.3">
      <c r="J970"/>
    </row>
    <row r="971" spans="10:10" hidden="1" x14ac:dyDescent="0.3">
      <c r="J971"/>
    </row>
    <row r="972" spans="10:10" hidden="1" x14ac:dyDescent="0.3">
      <c r="J972"/>
    </row>
    <row r="973" spans="10:10" hidden="1" x14ac:dyDescent="0.3">
      <c r="J973"/>
    </row>
    <row r="974" spans="10:10" hidden="1" x14ac:dyDescent="0.3">
      <c r="J974"/>
    </row>
    <row r="975" spans="10:10" hidden="1" x14ac:dyDescent="0.3">
      <c r="J975"/>
    </row>
    <row r="976" spans="10:10" hidden="1" x14ac:dyDescent="0.3">
      <c r="J976"/>
    </row>
    <row r="977" spans="10:10" hidden="1" x14ac:dyDescent="0.3">
      <c r="J977"/>
    </row>
    <row r="978" spans="10:10" hidden="1" x14ac:dyDescent="0.3">
      <c r="J978"/>
    </row>
    <row r="979" spans="10:10" hidden="1" x14ac:dyDescent="0.3">
      <c r="J979"/>
    </row>
    <row r="980" spans="10:10" hidden="1" x14ac:dyDescent="0.3">
      <c r="J980"/>
    </row>
    <row r="981" spans="10:10" hidden="1" x14ac:dyDescent="0.3">
      <c r="J981"/>
    </row>
    <row r="982" spans="10:10" hidden="1" x14ac:dyDescent="0.3">
      <c r="J982"/>
    </row>
    <row r="983" spans="10:10" hidden="1" x14ac:dyDescent="0.3">
      <c r="J983"/>
    </row>
    <row r="984" spans="10:10" hidden="1" x14ac:dyDescent="0.3">
      <c r="J984"/>
    </row>
    <row r="985" spans="10:10" hidden="1" x14ac:dyDescent="0.3">
      <c r="J985"/>
    </row>
    <row r="986" spans="10:10" hidden="1" x14ac:dyDescent="0.3">
      <c r="J986"/>
    </row>
    <row r="987" spans="10:10" hidden="1" x14ac:dyDescent="0.3">
      <c r="J987"/>
    </row>
    <row r="988" spans="10:10" hidden="1" x14ac:dyDescent="0.3">
      <c r="J988"/>
    </row>
    <row r="989" spans="10:10" hidden="1" x14ac:dyDescent="0.3">
      <c r="J989"/>
    </row>
    <row r="990" spans="10:10" hidden="1" x14ac:dyDescent="0.3">
      <c r="J990"/>
    </row>
    <row r="991" spans="10:10" hidden="1" x14ac:dyDescent="0.3">
      <c r="J991"/>
    </row>
    <row r="992" spans="10:10" hidden="1" x14ac:dyDescent="0.3">
      <c r="J992"/>
    </row>
    <row r="993" spans="10:10" hidden="1" x14ac:dyDescent="0.3">
      <c r="J993"/>
    </row>
    <row r="994" spans="10:10" hidden="1" x14ac:dyDescent="0.3">
      <c r="J994"/>
    </row>
    <row r="995" spans="10:10" hidden="1" x14ac:dyDescent="0.3">
      <c r="J995"/>
    </row>
    <row r="996" spans="10:10" hidden="1" x14ac:dyDescent="0.3">
      <c r="J996"/>
    </row>
    <row r="997" spans="10:10" hidden="1" x14ac:dyDescent="0.3">
      <c r="J997"/>
    </row>
    <row r="998" spans="10:10" hidden="1" x14ac:dyDescent="0.3">
      <c r="J998"/>
    </row>
    <row r="999" spans="10:10" hidden="1" x14ac:dyDescent="0.3">
      <c r="J999"/>
    </row>
    <row r="1000" spans="10:10" hidden="1" x14ac:dyDescent="0.3">
      <c r="J1000"/>
    </row>
    <row r="1001" spans="10:10" hidden="1" x14ac:dyDescent="0.3">
      <c r="J1001"/>
    </row>
    <row r="1002" spans="10:10" hidden="1" x14ac:dyDescent="0.3">
      <c r="J1002"/>
    </row>
    <row r="1003" spans="10:10" hidden="1" x14ac:dyDescent="0.3">
      <c r="J1003"/>
    </row>
    <row r="1004" spans="10:10" hidden="1" x14ac:dyDescent="0.3">
      <c r="J1004"/>
    </row>
    <row r="1005" spans="10:10" hidden="1" x14ac:dyDescent="0.3">
      <c r="J1005"/>
    </row>
  </sheetData>
  <mergeCells count="2">
    <mergeCell ref="F5:H8"/>
    <mergeCell ref="C36:E36"/>
  </mergeCell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9E7C0-8D7C-4F28-89BE-400921F68823}">
  <dimension ref="A1:AA981"/>
  <sheetViews>
    <sheetView topLeftCell="Q1" zoomScaleNormal="100" workbookViewId="0">
      <selection activeCell="Y14" sqref="Y14"/>
    </sheetView>
  </sheetViews>
  <sheetFormatPr defaultRowHeight="14.4" x14ac:dyDescent="0.3"/>
  <cols>
    <col min="1" max="1" width="33.6640625" bestFit="1" customWidth="1"/>
    <col min="2" max="2" width="17.21875" bestFit="1" customWidth="1"/>
    <col min="3" max="3" width="15.44140625" bestFit="1" customWidth="1"/>
    <col min="4" max="4" width="13.77734375" bestFit="1" customWidth="1"/>
    <col min="5" max="5" width="19.5546875" bestFit="1" customWidth="1"/>
    <col min="6" max="6" width="23.33203125" bestFit="1" customWidth="1"/>
    <col min="7" max="7" width="19" bestFit="1" customWidth="1"/>
    <col min="8" max="8" width="22.21875" bestFit="1" customWidth="1"/>
    <col min="9" max="9" width="20.6640625" bestFit="1" customWidth="1"/>
    <col min="10" max="10" width="14" bestFit="1" customWidth="1"/>
    <col min="11" max="11" width="18.33203125" bestFit="1" customWidth="1"/>
    <col min="12" max="12" width="30.109375" bestFit="1" customWidth="1"/>
    <col min="13" max="13" width="32" bestFit="1" customWidth="1"/>
    <col min="14" max="14" width="16.44140625" bestFit="1" customWidth="1"/>
    <col min="15" max="15" width="18.109375" bestFit="1" customWidth="1"/>
    <col min="16" max="16" width="21.77734375" bestFit="1" customWidth="1"/>
    <col min="17" max="17" width="14.33203125" bestFit="1" customWidth="1"/>
    <col min="18" max="18" width="11.6640625" bestFit="1" customWidth="1"/>
    <col min="19" max="19" width="17.77734375" bestFit="1" customWidth="1"/>
    <col min="20" max="20" width="17.44140625" bestFit="1" customWidth="1"/>
    <col min="21" max="21" width="18.44140625" bestFit="1" customWidth="1"/>
    <col min="22" max="22" width="12.33203125" bestFit="1" customWidth="1"/>
    <col min="23" max="23" width="35" bestFit="1" customWidth="1"/>
    <col min="24" max="24" width="9.109375" bestFit="1" customWidth="1"/>
    <col min="25" max="25" width="42.5546875" bestFit="1" customWidth="1"/>
    <col min="26" max="26" width="10.77734375" bestFit="1" customWidth="1"/>
    <col min="27" max="27" width="12.109375" bestFit="1" customWidth="1"/>
  </cols>
  <sheetData>
    <row r="1" spans="1:27" x14ac:dyDescent="0.3">
      <c r="A1" t="s">
        <v>0</v>
      </c>
      <c r="B1" t="s">
        <v>1304</v>
      </c>
      <c r="C1" t="s">
        <v>1305</v>
      </c>
      <c r="D1" s="2" t="s">
        <v>1298</v>
      </c>
      <c r="E1" s="2" t="s">
        <v>1306</v>
      </c>
      <c r="F1" s="2" t="s">
        <v>1307</v>
      </c>
      <c r="G1" t="s">
        <v>1299</v>
      </c>
      <c r="H1" s="3" t="s">
        <v>1308</v>
      </c>
      <c r="I1" s="2" t="s">
        <v>1309</v>
      </c>
      <c r="J1" s="4" t="s">
        <v>1310</v>
      </c>
      <c r="K1" s="4" t="s">
        <v>1311</v>
      </c>
      <c r="L1" t="s">
        <v>1</v>
      </c>
      <c r="M1" t="s">
        <v>2</v>
      </c>
      <c r="N1" t="s">
        <v>1317</v>
      </c>
      <c r="O1" t="s">
        <v>1300</v>
      </c>
      <c r="P1" t="s">
        <v>1301</v>
      </c>
      <c r="Q1" s="2" t="s">
        <v>1312</v>
      </c>
      <c r="R1" s="2" t="s">
        <v>1313</v>
      </c>
      <c r="S1" t="s">
        <v>1302</v>
      </c>
      <c r="T1" t="s">
        <v>1303</v>
      </c>
      <c r="U1" t="s">
        <v>1314</v>
      </c>
      <c r="V1" t="s">
        <v>3</v>
      </c>
      <c r="W1" t="s">
        <v>4</v>
      </c>
      <c r="X1" t="s">
        <v>1315</v>
      </c>
      <c r="Y1" t="s">
        <v>1336</v>
      </c>
      <c r="Z1" t="s">
        <v>1316</v>
      </c>
      <c r="AA1" t="s">
        <v>1337</v>
      </c>
    </row>
    <row r="2" spans="1:27" x14ac:dyDescent="0.3">
      <c r="A2" t="s">
        <v>462</v>
      </c>
      <c r="B2">
        <v>199</v>
      </c>
      <c r="C2">
        <v>1</v>
      </c>
      <c r="D2">
        <f>IFERROR(tinder[[#This Row],[Tinder Opened]]/tinder[[#This Row],[Days on Tinder]],0)</f>
        <v>199</v>
      </c>
      <c r="E2">
        <f>tinder[[#This Row],[Engagement]]/MAX(tinder[Engagement])</f>
        <v>1</v>
      </c>
      <c r="F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">
        <v>4</v>
      </c>
      <c r="H2">
        <f>IFERROR(tinder[[#This Row],[Conversations]]/tinder[[#This Row],[Tinder Opened]],0)</f>
        <v>2.0100502512562814E-2</v>
      </c>
      <c r="I2">
        <f>tinder[[#This Row],[Conversations]]/MAX(tinder[Conversations])</f>
        <v>3.1640563202024995E-4</v>
      </c>
      <c r="J2">
        <f>(tinder[[#This Row],[Norm Engagement]]*2)+(tinder[[#This Row],[Norm Swipes]]*1)+(tinder[[#This Row],[Norm Conversations]]*2)</f>
        <v>2.0020088456460501</v>
      </c>
      <c r="K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">
        <v>1</v>
      </c>
      <c r="M2">
        <v>1</v>
      </c>
      <c r="N2">
        <v>4</v>
      </c>
      <c r="O2">
        <v>9</v>
      </c>
      <c r="P2">
        <v>9</v>
      </c>
      <c r="Q2">
        <f>tinder[[#This Row],[All Swipes]]/MAX(tinder[All Swipes])</f>
        <v>1.3760343820097643E-3</v>
      </c>
      <c r="R2">
        <f>tinder[[#This Row],[Swipe Right (LIKE)]]+tinder[[#This Row],[Swipe Left (PASS)]]</f>
        <v>1168</v>
      </c>
      <c r="S2">
        <v>364</v>
      </c>
      <c r="T2">
        <v>804</v>
      </c>
      <c r="U2" t="s">
        <v>8</v>
      </c>
      <c r="V2" s="1">
        <v>44263</v>
      </c>
      <c r="W2" t="s">
        <v>12</v>
      </c>
      <c r="X2" t="s">
        <v>1295</v>
      </c>
      <c r="Y2" t="s">
        <v>463</v>
      </c>
      <c r="Z2">
        <v>24</v>
      </c>
      <c r="AA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" spans="1:27" x14ac:dyDescent="0.3">
      <c r="A3" t="s">
        <v>224</v>
      </c>
      <c r="B3">
        <v>313</v>
      </c>
      <c r="C3">
        <v>2</v>
      </c>
      <c r="D3">
        <f>IFERROR(tinder[[#This Row],[Tinder Opened]]/tinder[[#This Row],[Days on Tinder]],0)</f>
        <v>156.5</v>
      </c>
      <c r="E3">
        <f>tinder[[#This Row],[Engagement]]/MAX(tinder[Engagement])</f>
        <v>0.78643216080402012</v>
      </c>
      <c r="F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3">
        <v>4</v>
      </c>
      <c r="H3">
        <f>IFERROR(tinder[[#This Row],[Conversations]]/tinder[[#This Row],[Tinder Opened]],0)</f>
        <v>1.2779552715654952E-2</v>
      </c>
      <c r="I3">
        <f>tinder[[#This Row],[Conversations]]/MAX(tinder[Conversations])</f>
        <v>3.1640563202024995E-4</v>
      </c>
      <c r="J3">
        <f>(tinder[[#This Row],[Norm Engagement]]*2)+(tinder[[#This Row],[Norm Swipes]]*1)+(tinder[[#This Row],[Norm Conversations]]*2)</f>
        <v>1.576266873310527</v>
      </c>
      <c r="K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">
        <v>0</v>
      </c>
      <c r="M3">
        <v>0</v>
      </c>
      <c r="N3">
        <v>12</v>
      </c>
      <c r="O3">
        <v>59</v>
      </c>
      <c r="P3">
        <v>71</v>
      </c>
      <c r="Q3">
        <f>tinder[[#This Row],[All Swipes]]/MAX(tinder[All Swipes])</f>
        <v>2.7697404384460235E-3</v>
      </c>
      <c r="R3">
        <f>tinder[[#This Row],[Swipe Right (LIKE)]]+tinder[[#This Row],[Swipe Left (PASS)]]</f>
        <v>2351</v>
      </c>
      <c r="S3">
        <v>108</v>
      </c>
      <c r="T3">
        <v>2243</v>
      </c>
      <c r="U3" t="s">
        <v>8</v>
      </c>
      <c r="V3" s="1">
        <v>44155</v>
      </c>
      <c r="W3" t="s">
        <v>12</v>
      </c>
      <c r="X3" t="s">
        <v>1295</v>
      </c>
      <c r="Y3" t="s">
        <v>19</v>
      </c>
      <c r="Z3">
        <v>19</v>
      </c>
      <c r="AA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" spans="1:27" x14ac:dyDescent="0.3">
      <c r="A4" t="s">
        <v>631</v>
      </c>
      <c r="B4">
        <v>1243</v>
      </c>
      <c r="C4">
        <v>8</v>
      </c>
      <c r="D4">
        <f>IFERROR(tinder[[#This Row],[Tinder Opened]]/tinder[[#This Row],[Days on Tinder]],0)</f>
        <v>155.375</v>
      </c>
      <c r="E4">
        <f>tinder[[#This Row],[Engagement]]/MAX(tinder[Engagement])</f>
        <v>0.78077889447236182</v>
      </c>
      <c r="F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4">
        <v>21</v>
      </c>
      <c r="H4">
        <f>IFERROR(tinder[[#This Row],[Conversations]]/tinder[[#This Row],[Tinder Opened]],0)</f>
        <v>1.6894609814963796E-2</v>
      </c>
      <c r="I4">
        <f>tinder[[#This Row],[Conversations]]/MAX(tinder[Conversations])</f>
        <v>1.6611295681063123E-3</v>
      </c>
      <c r="J4">
        <f>(tinder[[#This Row],[Norm Engagement]]*2)+(tinder[[#This Row],[Norm Swipes]]*1)+(tinder[[#This Row],[Norm Conversations]]*2)</f>
        <v>1.5727356964193275</v>
      </c>
      <c r="K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">
        <v>7</v>
      </c>
      <c r="M4">
        <v>0</v>
      </c>
      <c r="N4">
        <v>63</v>
      </c>
      <c r="O4">
        <v>322</v>
      </c>
      <c r="P4">
        <v>405</v>
      </c>
      <c r="Q4">
        <f>tinder[[#This Row],[All Swipes]]/MAX(tinder[All Swipes])</f>
        <v>7.8556483383913599E-3</v>
      </c>
      <c r="R4">
        <f>tinder[[#This Row],[Swipe Right (LIKE)]]+tinder[[#This Row],[Swipe Left (PASS)]]</f>
        <v>6668</v>
      </c>
      <c r="S4">
        <v>1275</v>
      </c>
      <c r="T4">
        <v>5393</v>
      </c>
      <c r="U4" t="s">
        <v>65</v>
      </c>
      <c r="V4" s="1">
        <v>44151</v>
      </c>
      <c r="W4" t="s">
        <v>12</v>
      </c>
      <c r="X4" t="s">
        <v>1295</v>
      </c>
      <c r="Y4" t="s">
        <v>8</v>
      </c>
      <c r="Z4">
        <v>30</v>
      </c>
      <c r="AA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" spans="1:27" x14ac:dyDescent="0.3">
      <c r="A5" t="s">
        <v>821</v>
      </c>
      <c r="B5">
        <v>1508</v>
      </c>
      <c r="C5">
        <v>10</v>
      </c>
      <c r="D5">
        <f>IFERROR(tinder[[#This Row],[Tinder Opened]]/tinder[[#This Row],[Days on Tinder]],0)</f>
        <v>150.80000000000001</v>
      </c>
      <c r="E5">
        <f>tinder[[#This Row],[Engagement]]/MAX(tinder[Engagement])</f>
        <v>0.75778894472361813</v>
      </c>
      <c r="F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5">
        <v>122</v>
      </c>
      <c r="H5">
        <f>IFERROR(tinder[[#This Row],[Conversations]]/tinder[[#This Row],[Tinder Opened]],0)</f>
        <v>8.0901856763925736E-2</v>
      </c>
      <c r="I5">
        <f>tinder[[#This Row],[Conversations]]/MAX(tinder[Conversations])</f>
        <v>9.650371776617624E-3</v>
      </c>
      <c r="J5">
        <f>(tinder[[#This Row],[Norm Engagement]]*2)+(tinder[[#This Row],[Norm Swipes]]*1)+(tinder[[#This Row],[Norm Conversations]]*2)</f>
        <v>1.5583890286574809</v>
      </c>
      <c r="K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5">
        <v>21</v>
      </c>
      <c r="M5">
        <v>5</v>
      </c>
      <c r="N5">
        <v>108</v>
      </c>
      <c r="O5">
        <v>25216</v>
      </c>
      <c r="P5">
        <v>20204</v>
      </c>
      <c r="Q5">
        <f>tinder[[#This Row],[All Swipes]]/MAX(tinder[All Swipes])</f>
        <v>2.3510395657009294E-2</v>
      </c>
      <c r="R5">
        <f>tinder[[#This Row],[Swipe Right (LIKE)]]+tinder[[#This Row],[Swipe Left (PASS)]]</f>
        <v>19956</v>
      </c>
      <c r="S5">
        <v>5792</v>
      </c>
      <c r="T5">
        <v>14164</v>
      </c>
      <c r="U5" t="s">
        <v>8</v>
      </c>
      <c r="V5" s="1">
        <v>44291</v>
      </c>
      <c r="W5" t="s">
        <v>12</v>
      </c>
      <c r="X5" t="s">
        <v>1295</v>
      </c>
      <c r="Y5" t="s">
        <v>8</v>
      </c>
      <c r="Z5">
        <v>21</v>
      </c>
      <c r="AA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" spans="1:27" x14ac:dyDescent="0.3">
      <c r="A6" t="s">
        <v>119</v>
      </c>
      <c r="B6">
        <v>447</v>
      </c>
      <c r="C6">
        <v>3</v>
      </c>
      <c r="D6">
        <f>IFERROR(tinder[[#This Row],[Tinder Opened]]/tinder[[#This Row],[Days on Tinder]],0)</f>
        <v>149</v>
      </c>
      <c r="E6">
        <f>tinder[[#This Row],[Engagement]]/MAX(tinder[Engagement])</f>
        <v>0.74874371859296485</v>
      </c>
      <c r="F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6">
        <v>12</v>
      </c>
      <c r="H6">
        <f>IFERROR(tinder[[#This Row],[Conversations]]/tinder[[#This Row],[Tinder Opened]],0)</f>
        <v>2.6845637583892617E-2</v>
      </c>
      <c r="I6">
        <f>tinder[[#This Row],[Conversations]]/MAX(tinder[Conversations])</f>
        <v>9.4921689606074992E-4</v>
      </c>
      <c r="J6">
        <f>(tinder[[#This Row],[Norm Engagement]]*2)+(tinder[[#This Row],[Norm Swipes]]*1)+(tinder[[#This Row],[Norm Conversations]]*2)</f>
        <v>1.5010599676020546</v>
      </c>
      <c r="K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6">
        <v>6</v>
      </c>
      <c r="M6">
        <v>0</v>
      </c>
      <c r="N6">
        <v>13</v>
      </c>
      <c r="O6">
        <v>43</v>
      </c>
      <c r="P6">
        <v>36</v>
      </c>
      <c r="Q6">
        <f>tinder[[#This Row],[All Swipes]]/MAX(tinder[All Swipes])</f>
        <v>1.6740966240033175E-3</v>
      </c>
      <c r="R6">
        <f>tinder[[#This Row],[Swipe Right (LIKE)]]+tinder[[#This Row],[Swipe Left (PASS)]]</f>
        <v>1421</v>
      </c>
      <c r="S6">
        <v>385</v>
      </c>
      <c r="T6">
        <v>1036</v>
      </c>
      <c r="U6" t="s">
        <v>8</v>
      </c>
      <c r="V6" s="1">
        <v>43968</v>
      </c>
      <c r="W6" t="s">
        <v>12</v>
      </c>
      <c r="X6" t="s">
        <v>1295</v>
      </c>
      <c r="Y6" t="s">
        <v>8</v>
      </c>
      <c r="Z6">
        <v>23</v>
      </c>
      <c r="AA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" spans="1:27" x14ac:dyDescent="0.3">
      <c r="A7" t="s">
        <v>438</v>
      </c>
      <c r="B7">
        <v>27188</v>
      </c>
      <c r="C7">
        <v>208</v>
      </c>
      <c r="D7">
        <f>IFERROR(tinder[[#This Row],[Tinder Opened]]/tinder[[#This Row],[Days on Tinder]],0)</f>
        <v>130.71153846153845</v>
      </c>
      <c r="E7">
        <f>tinder[[#This Row],[Engagement]]/MAX(tinder[Engagement])</f>
        <v>0.65684190181677615</v>
      </c>
      <c r="F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7">
        <v>1048</v>
      </c>
      <c r="H7">
        <f>IFERROR(tinder[[#This Row],[Conversations]]/tinder[[#This Row],[Tinder Opened]],0)</f>
        <v>3.8546417537148742E-2</v>
      </c>
      <c r="I7">
        <f>tinder[[#This Row],[Conversations]]/MAX(tinder[Conversations])</f>
        <v>8.2898275589305487E-2</v>
      </c>
      <c r="J7">
        <f>(tinder[[#This Row],[Norm Engagement]]*2)+(tinder[[#This Row],[Norm Swipes]]*1)+(tinder[[#This Row],[Norm Conversations]]*2)</f>
        <v>1.5012106237986103</v>
      </c>
      <c r="K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7">
        <v>291</v>
      </c>
      <c r="M7">
        <v>5</v>
      </c>
      <c r="N7">
        <v>1701</v>
      </c>
      <c r="O7">
        <v>9515</v>
      </c>
      <c r="P7">
        <v>9244</v>
      </c>
      <c r="Q7">
        <f>tinder[[#This Row],[All Swipes]]/MAX(tinder[All Swipes])</f>
        <v>2.1730268986447004E-2</v>
      </c>
      <c r="R7">
        <f>tinder[[#This Row],[Swipe Right (LIKE)]]+tinder[[#This Row],[Swipe Left (PASS)]]</f>
        <v>18445</v>
      </c>
      <c r="S7">
        <v>5181</v>
      </c>
      <c r="T7">
        <v>13264</v>
      </c>
      <c r="U7" t="s">
        <v>8</v>
      </c>
      <c r="V7" s="1">
        <v>44015</v>
      </c>
      <c r="W7" t="s">
        <v>12</v>
      </c>
      <c r="X7" t="s">
        <v>1295</v>
      </c>
      <c r="Y7" t="s">
        <v>108</v>
      </c>
      <c r="Z7">
        <v>23</v>
      </c>
      <c r="AA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" spans="1:27" x14ac:dyDescent="0.3">
      <c r="A8" t="s">
        <v>489</v>
      </c>
      <c r="B8">
        <v>2188</v>
      </c>
      <c r="C8">
        <v>19</v>
      </c>
      <c r="D8">
        <f>IFERROR(tinder[[#This Row],[Tinder Opened]]/tinder[[#This Row],[Days on Tinder]],0)</f>
        <v>115.15789473684211</v>
      </c>
      <c r="E8">
        <f>tinder[[#This Row],[Engagement]]/MAX(tinder[Engagement])</f>
        <v>0.5786828881248347</v>
      </c>
      <c r="F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8">
        <v>29</v>
      </c>
      <c r="H8">
        <f>IFERROR(tinder[[#This Row],[Conversations]]/tinder[[#This Row],[Tinder Opened]],0)</f>
        <v>1.3254113345521023E-2</v>
      </c>
      <c r="I8">
        <f>tinder[[#This Row],[Conversations]]/MAX(tinder[Conversations])</f>
        <v>2.2939408321468123E-3</v>
      </c>
      <c r="J8">
        <f>(tinder[[#This Row],[Norm Engagement]]*2)+(tinder[[#This Row],[Norm Swipes]]*1)+(tinder[[#This Row],[Norm Conversations]]*2)</f>
        <v>1.1977022771671346</v>
      </c>
      <c r="K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8">
        <v>9</v>
      </c>
      <c r="M8">
        <v>1</v>
      </c>
      <c r="N8">
        <v>108</v>
      </c>
      <c r="O8">
        <v>463</v>
      </c>
      <c r="P8">
        <v>341</v>
      </c>
      <c r="Q8">
        <f>tinder[[#This Row],[All Swipes]]/MAX(tinder[All Swipes])</f>
        <v>3.5748619253171479E-2</v>
      </c>
      <c r="R8">
        <f>tinder[[#This Row],[Swipe Right (LIKE)]]+tinder[[#This Row],[Swipe Left (PASS)]]</f>
        <v>30344</v>
      </c>
      <c r="S8">
        <v>7291</v>
      </c>
      <c r="T8">
        <v>23053</v>
      </c>
      <c r="U8" t="s">
        <v>8</v>
      </c>
      <c r="V8" s="1">
        <v>44253</v>
      </c>
      <c r="W8" t="s">
        <v>12</v>
      </c>
      <c r="X8" t="s">
        <v>1295</v>
      </c>
      <c r="Y8" t="s">
        <v>8</v>
      </c>
      <c r="Z8">
        <v>22</v>
      </c>
      <c r="AA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" spans="1:27" x14ac:dyDescent="0.3">
      <c r="A9" t="s">
        <v>801</v>
      </c>
      <c r="B9">
        <v>64884</v>
      </c>
      <c r="C9">
        <v>631</v>
      </c>
      <c r="D9">
        <f>IFERROR(tinder[[#This Row],[Tinder Opened]]/tinder[[#This Row],[Days on Tinder]],0)</f>
        <v>102.82725832012679</v>
      </c>
      <c r="E9">
        <f>tinder[[#This Row],[Engagement]]/MAX(tinder[Engagement])</f>
        <v>0.51671989105591354</v>
      </c>
      <c r="F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9">
        <v>387</v>
      </c>
      <c r="H9">
        <f>IFERROR(tinder[[#This Row],[Conversations]]/tinder[[#This Row],[Tinder Opened]],0)</f>
        <v>5.964490475309784E-3</v>
      </c>
      <c r="I9">
        <f>tinder[[#This Row],[Conversations]]/MAX(tinder[Conversations])</f>
        <v>3.0612244897959183E-2</v>
      </c>
      <c r="J9">
        <f>(tinder[[#This Row],[Norm Engagement]]*2)+(tinder[[#This Row],[Norm Swipes]]*1)+(tinder[[#This Row],[Norm Conversations]]*2)</f>
        <v>1.2987603304174815</v>
      </c>
      <c r="K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9">
        <v>110</v>
      </c>
      <c r="M9">
        <v>2</v>
      </c>
      <c r="N9">
        <v>2656</v>
      </c>
      <c r="O9">
        <v>23964</v>
      </c>
      <c r="P9">
        <v>24980</v>
      </c>
      <c r="Q9">
        <f>tinder[[#This Row],[All Swipes]]/MAX(tinder[All Swipes])</f>
        <v>0.20409605850973592</v>
      </c>
      <c r="R9">
        <f>tinder[[#This Row],[Swipe Right (LIKE)]]+tinder[[#This Row],[Swipe Left (PASS)]]</f>
        <v>173240</v>
      </c>
      <c r="S9">
        <v>111080</v>
      </c>
      <c r="T9">
        <v>62160</v>
      </c>
      <c r="U9" t="s">
        <v>8</v>
      </c>
      <c r="V9" s="1">
        <v>43661</v>
      </c>
      <c r="W9" t="s">
        <v>12</v>
      </c>
      <c r="X9" t="s">
        <v>1295</v>
      </c>
      <c r="Y9" t="s">
        <v>8</v>
      </c>
      <c r="Z9">
        <v>18</v>
      </c>
      <c r="AA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0" spans="1:27" x14ac:dyDescent="0.3">
      <c r="A10" t="s">
        <v>490</v>
      </c>
      <c r="B10">
        <v>298</v>
      </c>
      <c r="C10">
        <v>3</v>
      </c>
      <c r="D10">
        <f>IFERROR(tinder[[#This Row],[Tinder Opened]]/tinder[[#This Row],[Days on Tinder]],0)</f>
        <v>99.333333333333329</v>
      </c>
      <c r="E10">
        <f>tinder[[#This Row],[Engagement]]/MAX(tinder[Engagement])</f>
        <v>0.49916247906197653</v>
      </c>
      <c r="F1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0">
        <v>14</v>
      </c>
      <c r="H10">
        <f>IFERROR(tinder[[#This Row],[Conversations]]/tinder[[#This Row],[Tinder Opened]],0)</f>
        <v>4.6979865771812082E-2</v>
      </c>
      <c r="I10">
        <f>tinder[[#This Row],[Conversations]]/MAX(tinder[Conversations])</f>
        <v>1.1074197120708748E-3</v>
      </c>
      <c r="J10">
        <f>(tinder[[#This Row],[Norm Engagement]]*2)+(tinder[[#This Row],[Norm Swipes]]*1)+(tinder[[#This Row],[Norm Conversations]]*2)</f>
        <v>1.0049117698012098</v>
      </c>
      <c r="K1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0">
        <v>5</v>
      </c>
      <c r="M10">
        <v>1</v>
      </c>
      <c r="N10">
        <v>64</v>
      </c>
      <c r="O10">
        <v>141</v>
      </c>
      <c r="P10">
        <v>182</v>
      </c>
      <c r="Q10">
        <f>tinder[[#This Row],[All Swipes]]/MAX(tinder[All Swipes])</f>
        <v>4.3719722531149275E-3</v>
      </c>
      <c r="R10">
        <f>tinder[[#This Row],[Swipe Right (LIKE)]]+tinder[[#This Row],[Swipe Left (PASS)]]</f>
        <v>3711</v>
      </c>
      <c r="S10">
        <v>217</v>
      </c>
      <c r="T10">
        <v>3494</v>
      </c>
      <c r="U10" t="s">
        <v>88</v>
      </c>
      <c r="V10" s="1">
        <v>44264</v>
      </c>
      <c r="W10" t="s">
        <v>12</v>
      </c>
      <c r="X10" t="s">
        <v>1296</v>
      </c>
      <c r="Y10" t="s">
        <v>145</v>
      </c>
      <c r="Z10">
        <v>21</v>
      </c>
      <c r="AA1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1" spans="1:27" x14ac:dyDescent="0.3">
      <c r="A11" t="s">
        <v>436</v>
      </c>
      <c r="B11">
        <v>4437</v>
      </c>
      <c r="C11">
        <v>45</v>
      </c>
      <c r="D11">
        <f>IFERROR(tinder[[#This Row],[Tinder Opened]]/tinder[[#This Row],[Days on Tinder]],0)</f>
        <v>98.6</v>
      </c>
      <c r="E11">
        <f>tinder[[#This Row],[Engagement]]/MAX(tinder[Engagement])</f>
        <v>0.49547738693467336</v>
      </c>
      <c r="F1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1">
        <v>2399</v>
      </c>
      <c r="H11">
        <f>IFERROR(tinder[[#This Row],[Conversations]]/tinder[[#This Row],[Tinder Opened]],0)</f>
        <v>0.5406806400721208</v>
      </c>
      <c r="I11">
        <f>tinder[[#This Row],[Conversations]]/MAX(tinder[Conversations])</f>
        <v>0.18976427780414493</v>
      </c>
      <c r="J11">
        <f>(tinder[[#This Row],[Norm Engagement]]*2)+(tinder[[#This Row],[Norm Swipes]]*1)+(tinder[[#This Row],[Norm Conversations]]*2)</f>
        <v>1.4076586419128405</v>
      </c>
      <c r="K1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1">
        <v>1502</v>
      </c>
      <c r="M11">
        <v>26</v>
      </c>
      <c r="N11">
        <v>2302</v>
      </c>
      <c r="O11">
        <v>9982</v>
      </c>
      <c r="P11">
        <v>8137</v>
      </c>
      <c r="Q11">
        <f>tinder[[#This Row],[All Swipes]]/MAX(tinder[All Swipes])</f>
        <v>3.7175312435203861E-2</v>
      </c>
      <c r="R11">
        <f>tinder[[#This Row],[Swipe Right (LIKE)]]+tinder[[#This Row],[Swipe Left (PASS)]]</f>
        <v>31555</v>
      </c>
      <c r="S11">
        <v>31247</v>
      </c>
      <c r="T11">
        <v>308</v>
      </c>
      <c r="U11" t="s">
        <v>8</v>
      </c>
      <c r="V11" s="1">
        <v>44207</v>
      </c>
      <c r="W11" t="s">
        <v>12</v>
      </c>
      <c r="X11" t="s">
        <v>1295</v>
      </c>
      <c r="Y11" t="s">
        <v>331</v>
      </c>
      <c r="Z11">
        <v>26</v>
      </c>
      <c r="AA1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2" spans="1:27" x14ac:dyDescent="0.3">
      <c r="A12" t="s">
        <v>1000</v>
      </c>
      <c r="B12">
        <v>7189</v>
      </c>
      <c r="C12">
        <v>76</v>
      </c>
      <c r="D12">
        <f>IFERROR(tinder[[#This Row],[Tinder Opened]]/tinder[[#This Row],[Days on Tinder]],0)</f>
        <v>94.59210526315789</v>
      </c>
      <c r="E12">
        <f>tinder[[#This Row],[Engagement]]/MAX(tinder[Engagement])</f>
        <v>0.47533721237767784</v>
      </c>
      <c r="F1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2">
        <v>490</v>
      </c>
      <c r="H12">
        <f>IFERROR(tinder[[#This Row],[Conversations]]/tinder[[#This Row],[Tinder Opened]],0)</f>
        <v>6.815968841285297E-2</v>
      </c>
      <c r="I12">
        <f>tinder[[#This Row],[Conversations]]/MAX(tinder[Conversations])</f>
        <v>3.875968992248062E-2</v>
      </c>
      <c r="J12">
        <f>(tinder[[#This Row],[Norm Engagement]]*2)+(tinder[[#This Row],[Norm Swipes]]*1)+(tinder[[#This Row],[Norm Conversations]]*2)</f>
        <v>1.0898019740975931</v>
      </c>
      <c r="K1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2">
        <v>136</v>
      </c>
      <c r="M12">
        <v>37</v>
      </c>
      <c r="N12">
        <v>309</v>
      </c>
      <c r="O12">
        <v>11353</v>
      </c>
      <c r="P12">
        <v>13386</v>
      </c>
      <c r="Q12">
        <f>tinder[[#This Row],[All Swipes]]/MAX(tinder[All Swipes])</f>
        <v>6.1608169497276204E-2</v>
      </c>
      <c r="R12">
        <f>tinder[[#This Row],[Swipe Right (LIKE)]]+tinder[[#This Row],[Swipe Left (PASS)]]</f>
        <v>52294</v>
      </c>
      <c r="S12">
        <v>911</v>
      </c>
      <c r="T12">
        <v>51383</v>
      </c>
      <c r="U12" t="s">
        <v>8</v>
      </c>
      <c r="V12" s="1">
        <v>44223</v>
      </c>
      <c r="W12" t="s">
        <v>12</v>
      </c>
      <c r="X12" t="s">
        <v>1296</v>
      </c>
      <c r="Y12" t="s">
        <v>8</v>
      </c>
      <c r="Z12">
        <v>20</v>
      </c>
      <c r="AA1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3" spans="1:27" x14ac:dyDescent="0.3">
      <c r="A13" t="s">
        <v>421</v>
      </c>
      <c r="B13">
        <v>6121</v>
      </c>
      <c r="C13">
        <v>66</v>
      </c>
      <c r="D13">
        <f>IFERROR(tinder[[#This Row],[Tinder Opened]]/tinder[[#This Row],[Days on Tinder]],0)</f>
        <v>92.742424242424249</v>
      </c>
      <c r="E13">
        <f>tinder[[#This Row],[Engagement]]/MAX(tinder[Engagement])</f>
        <v>0.46604233287650376</v>
      </c>
      <c r="F1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3">
        <v>288</v>
      </c>
      <c r="H13">
        <f>IFERROR(tinder[[#This Row],[Conversations]]/tinder[[#This Row],[Tinder Opened]],0)</f>
        <v>4.7051135435386374E-2</v>
      </c>
      <c r="I13">
        <f>tinder[[#This Row],[Conversations]]/MAX(tinder[Conversations])</f>
        <v>2.2781205505457997E-2</v>
      </c>
      <c r="J13">
        <f>(tinder[[#This Row],[Norm Engagement]]*2)+(tinder[[#This Row],[Norm Swipes]]*1)+(tinder[[#This Row],[Norm Conversations]]*2)</f>
        <v>0.99852557104301343</v>
      </c>
      <c r="K1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3">
        <v>75</v>
      </c>
      <c r="M13">
        <v>52</v>
      </c>
      <c r="N13">
        <v>854</v>
      </c>
      <c r="O13">
        <v>3609</v>
      </c>
      <c r="P13">
        <v>3363</v>
      </c>
      <c r="Q13">
        <f>tinder[[#This Row],[All Swipes]]/MAX(tinder[All Swipes])</f>
        <v>2.0878494279089933E-2</v>
      </c>
      <c r="R13">
        <f>tinder[[#This Row],[Swipe Right (LIKE)]]+tinder[[#This Row],[Swipe Left (PASS)]]</f>
        <v>17722</v>
      </c>
      <c r="S13">
        <v>16438</v>
      </c>
      <c r="T13">
        <v>1284</v>
      </c>
      <c r="U13" t="s">
        <v>122</v>
      </c>
      <c r="V13" s="1">
        <v>44177</v>
      </c>
      <c r="W13" t="s">
        <v>12</v>
      </c>
      <c r="X13" t="s">
        <v>1295</v>
      </c>
      <c r="Y13" t="s">
        <v>8</v>
      </c>
      <c r="Z13">
        <v>30</v>
      </c>
      <c r="AA1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4" spans="1:27" x14ac:dyDescent="0.3">
      <c r="A14" t="s">
        <v>34</v>
      </c>
      <c r="B14">
        <v>2463</v>
      </c>
      <c r="C14">
        <v>27</v>
      </c>
      <c r="D14">
        <f>IFERROR(tinder[[#This Row],[Tinder Opened]]/tinder[[#This Row],[Days on Tinder]],0)</f>
        <v>91.222222222222229</v>
      </c>
      <c r="E14">
        <f>tinder[[#This Row],[Engagement]]/MAX(tinder[Engagement])</f>
        <v>0.4584031267448353</v>
      </c>
      <c r="F1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4">
        <v>44</v>
      </c>
      <c r="H14">
        <f>IFERROR(tinder[[#This Row],[Conversations]]/tinder[[#This Row],[Tinder Opened]],0)</f>
        <v>1.7864393016646368E-2</v>
      </c>
      <c r="I14">
        <f>tinder[[#This Row],[Conversations]]/MAX(tinder[Conversations])</f>
        <v>3.4804619522227497E-3</v>
      </c>
      <c r="J14">
        <f>(tinder[[#This Row],[Norm Engagement]]*2)+(tinder[[#This Row],[Norm Swipes]]*1)+(tinder[[#This Row],[Norm Conversations]]*2)</f>
        <v>0.94618428545993949</v>
      </c>
      <c r="K1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4">
        <v>9</v>
      </c>
      <c r="M14">
        <v>1</v>
      </c>
      <c r="N14">
        <v>68</v>
      </c>
      <c r="O14">
        <v>842</v>
      </c>
      <c r="P14">
        <v>695</v>
      </c>
      <c r="Q14">
        <f>tinder[[#This Row],[All Swipes]]/MAX(tinder[All Swipes])</f>
        <v>2.2417108065823452E-2</v>
      </c>
      <c r="R14">
        <f>tinder[[#This Row],[Swipe Right (LIKE)]]+tinder[[#This Row],[Swipe Left (PASS)]]</f>
        <v>19028</v>
      </c>
      <c r="S14">
        <v>2826</v>
      </c>
      <c r="T14">
        <v>16202</v>
      </c>
      <c r="U14" t="s">
        <v>8</v>
      </c>
      <c r="V14" s="1">
        <v>43959</v>
      </c>
      <c r="W14" t="s">
        <v>12</v>
      </c>
      <c r="X14" t="s">
        <v>1295</v>
      </c>
      <c r="Y14" t="s">
        <v>8</v>
      </c>
      <c r="Z14">
        <v>28</v>
      </c>
      <c r="AA1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5" spans="1:27" x14ac:dyDescent="0.3">
      <c r="A15" t="s">
        <v>475</v>
      </c>
      <c r="B15">
        <v>63693</v>
      </c>
      <c r="C15">
        <v>711</v>
      </c>
      <c r="D15">
        <f>IFERROR(tinder[[#This Row],[Tinder Opened]]/tinder[[#This Row],[Days on Tinder]],0)</f>
        <v>89.582278481012665</v>
      </c>
      <c r="E15">
        <f>tinder[[#This Row],[Engagement]]/MAX(tinder[Engagement])</f>
        <v>0.45016220342217422</v>
      </c>
      <c r="F1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5">
        <v>110</v>
      </c>
      <c r="H15">
        <f>IFERROR(tinder[[#This Row],[Conversations]]/tinder[[#This Row],[Tinder Opened]],0)</f>
        <v>1.727034367983923E-3</v>
      </c>
      <c r="I15">
        <f>tinder[[#This Row],[Conversations]]/MAX(tinder[Conversations])</f>
        <v>8.7011548805568731E-3</v>
      </c>
      <c r="J15">
        <f>(tinder[[#This Row],[Norm Engagement]]*2)+(tinder[[#This Row],[Norm Swipes]]*1)+(tinder[[#This Row],[Norm Conversations]]*2)</f>
        <v>0.9446112239663037</v>
      </c>
      <c r="K1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5">
        <v>17</v>
      </c>
      <c r="M15">
        <v>1</v>
      </c>
      <c r="N15">
        <v>112</v>
      </c>
      <c r="O15">
        <v>4117</v>
      </c>
      <c r="P15">
        <v>3851</v>
      </c>
      <c r="Q15">
        <f>tinder[[#This Row],[All Swipes]]/MAX(tinder[All Swipes])</f>
        <v>2.6884507360841456E-2</v>
      </c>
      <c r="R15">
        <f>tinder[[#This Row],[Swipe Right (LIKE)]]+tinder[[#This Row],[Swipe Left (PASS)]]</f>
        <v>22820</v>
      </c>
      <c r="S15">
        <v>2386</v>
      </c>
      <c r="T15">
        <v>20434</v>
      </c>
      <c r="U15" t="s">
        <v>10</v>
      </c>
      <c r="V15" s="1">
        <v>43342</v>
      </c>
      <c r="W15" t="s">
        <v>12</v>
      </c>
      <c r="X15" t="s">
        <v>1295</v>
      </c>
      <c r="Y15" t="s">
        <v>476</v>
      </c>
      <c r="Z15">
        <v>45</v>
      </c>
      <c r="AA15" t="str">
        <f>_xlfn.IFS(tinder[[#This Row],[Age]]&lt;=20,"Teen",tinder[[#This Row],[Age]]&lt;=30,"Young Adult",tinder[[#This Row],[Age]]&lt;=40,"Adult",tinder[[#This Row],[Age]]&lt;=50,"Middle-Aged",TRUE,"Senior")</f>
        <v>Middle-Aged</v>
      </c>
    </row>
    <row r="16" spans="1:27" x14ac:dyDescent="0.3">
      <c r="A16" t="s">
        <v>796</v>
      </c>
      <c r="B16">
        <v>7312</v>
      </c>
      <c r="C16">
        <v>82</v>
      </c>
      <c r="D16">
        <f>IFERROR(tinder[[#This Row],[Tinder Opened]]/tinder[[#This Row],[Days on Tinder]],0)</f>
        <v>89.170731707317074</v>
      </c>
      <c r="E16">
        <f>tinder[[#This Row],[Engagement]]/MAX(tinder[Engagement])</f>
        <v>0.44809412918249786</v>
      </c>
      <c r="F1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6">
        <v>403</v>
      </c>
      <c r="H16">
        <f>IFERROR(tinder[[#This Row],[Conversations]]/tinder[[#This Row],[Tinder Opened]],0)</f>
        <v>5.5114879649890591E-2</v>
      </c>
      <c r="I16">
        <f>tinder[[#This Row],[Conversations]]/MAX(tinder[Conversations])</f>
        <v>3.1877867426040186E-2</v>
      </c>
      <c r="J16">
        <f>(tinder[[#This Row],[Norm Engagement]]*2)+(tinder[[#This Row],[Norm Swipes]]*1)+(tinder[[#This Row],[Norm Conversations]]*2)</f>
        <v>1.0810444437269628</v>
      </c>
      <c r="K1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6">
        <v>99</v>
      </c>
      <c r="M16">
        <v>15</v>
      </c>
      <c r="N16">
        <v>1368</v>
      </c>
      <c r="O16">
        <v>14452</v>
      </c>
      <c r="P16">
        <v>8228</v>
      </c>
      <c r="Q16">
        <f>tinder[[#This Row],[All Swipes]]/MAX(tinder[All Swipes])</f>
        <v>0.12110045050988671</v>
      </c>
      <c r="R16">
        <f>tinder[[#This Row],[Swipe Right (LIKE)]]+tinder[[#This Row],[Swipe Left (PASS)]]</f>
        <v>102792</v>
      </c>
      <c r="S16">
        <v>89848</v>
      </c>
      <c r="T16">
        <v>12944</v>
      </c>
      <c r="U16" t="s">
        <v>797</v>
      </c>
      <c r="V16" s="1">
        <v>44216</v>
      </c>
      <c r="W16" t="s">
        <v>12</v>
      </c>
      <c r="X16" t="s">
        <v>1295</v>
      </c>
      <c r="Y16" t="s">
        <v>8</v>
      </c>
      <c r="Z16">
        <v>21</v>
      </c>
      <c r="AA1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7" spans="1:27" x14ac:dyDescent="0.3">
      <c r="A17" t="s">
        <v>961</v>
      </c>
      <c r="B17">
        <v>21221</v>
      </c>
      <c r="C17">
        <v>255</v>
      </c>
      <c r="D17">
        <f>IFERROR(tinder[[#This Row],[Tinder Opened]]/tinder[[#This Row],[Days on Tinder]],0)</f>
        <v>83.219607843137254</v>
      </c>
      <c r="E17">
        <f>tinder[[#This Row],[Engagement]]/MAX(tinder[Engagement])</f>
        <v>0.41818898413636812</v>
      </c>
      <c r="F1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7">
        <v>2420</v>
      </c>
      <c r="H17">
        <f>IFERROR(tinder[[#This Row],[Conversations]]/tinder[[#This Row],[Tinder Opened]],0)</f>
        <v>0.11403798124499316</v>
      </c>
      <c r="I17">
        <f>tinder[[#This Row],[Conversations]]/MAX(tinder[Conversations])</f>
        <v>0.19142540737225122</v>
      </c>
      <c r="J17">
        <f>(tinder[[#This Row],[Norm Engagement]]*2)+(tinder[[#This Row],[Norm Swipes]]*1)+(tinder[[#This Row],[Norm Conversations]]*2)</f>
        <v>1.7613627672965171</v>
      </c>
      <c r="K1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7">
        <v>571</v>
      </c>
      <c r="M17">
        <v>659</v>
      </c>
      <c r="N17">
        <v>8597</v>
      </c>
      <c r="O17">
        <v>21580</v>
      </c>
      <c r="P17">
        <v>18924</v>
      </c>
      <c r="Q17">
        <f>tinder[[#This Row],[All Swipes]]/MAX(tinder[All Swipes])</f>
        <v>0.54213398427927839</v>
      </c>
      <c r="R17">
        <f>tinder[[#This Row],[Swipe Right (LIKE)]]+tinder[[#This Row],[Swipe Left (PASS)]]</f>
        <v>460172</v>
      </c>
      <c r="S17">
        <v>455451</v>
      </c>
      <c r="T17">
        <v>4721</v>
      </c>
      <c r="U17" t="s">
        <v>8</v>
      </c>
      <c r="V17" s="1">
        <v>44005</v>
      </c>
      <c r="W17" t="s">
        <v>12</v>
      </c>
      <c r="X17" t="s">
        <v>1295</v>
      </c>
      <c r="Y17" t="s">
        <v>8</v>
      </c>
      <c r="Z17">
        <v>21</v>
      </c>
      <c r="AA1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8" spans="1:27" x14ac:dyDescent="0.3">
      <c r="A18" t="s">
        <v>43</v>
      </c>
      <c r="B18">
        <v>87103</v>
      </c>
      <c r="C18">
        <v>1051</v>
      </c>
      <c r="D18">
        <f>IFERROR(tinder[[#This Row],[Tinder Opened]]/tinder[[#This Row],[Days on Tinder]],0)</f>
        <v>82.876308277830631</v>
      </c>
      <c r="E18">
        <f>tinder[[#This Row],[Engagement]]/MAX(tinder[Engagement])</f>
        <v>0.41646386069261626</v>
      </c>
      <c r="F1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8">
        <v>1387</v>
      </c>
      <c r="H18">
        <f>IFERROR(tinder[[#This Row],[Conversations]]/tinder[[#This Row],[Tinder Opened]],0)</f>
        <v>1.5923676566823187E-2</v>
      </c>
      <c r="I18">
        <f>tinder[[#This Row],[Conversations]]/MAX(tinder[Conversations])</f>
        <v>0.10971365290302168</v>
      </c>
      <c r="J18">
        <f>(tinder[[#This Row],[Norm Engagement]]*2)+(tinder[[#This Row],[Norm Swipes]]*1)+(tinder[[#This Row],[Norm Conversations]]*2)</f>
        <v>1.24185192640147</v>
      </c>
      <c r="K1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8">
        <v>492</v>
      </c>
      <c r="M18">
        <v>163</v>
      </c>
      <c r="N18">
        <v>6711</v>
      </c>
      <c r="O18">
        <v>6934</v>
      </c>
      <c r="P18">
        <v>7594</v>
      </c>
      <c r="Q18">
        <f>tinder[[#This Row],[All Swipes]]/MAX(tinder[All Swipes])</f>
        <v>0.18949689921019397</v>
      </c>
      <c r="R18">
        <f>tinder[[#This Row],[Swipe Right (LIKE)]]+tinder[[#This Row],[Swipe Left (PASS)]]</f>
        <v>160848</v>
      </c>
      <c r="S18">
        <v>46099</v>
      </c>
      <c r="T18">
        <v>114749</v>
      </c>
      <c r="U18" t="s">
        <v>8</v>
      </c>
      <c r="V18" s="1">
        <v>43081</v>
      </c>
      <c r="W18" t="s">
        <v>7</v>
      </c>
      <c r="X18" t="s">
        <v>1295</v>
      </c>
      <c r="Y18" t="s">
        <v>8</v>
      </c>
      <c r="Z18">
        <v>18</v>
      </c>
      <c r="AA1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9" spans="1:27" x14ac:dyDescent="0.3">
      <c r="A19" t="s">
        <v>138</v>
      </c>
      <c r="B19">
        <v>1645</v>
      </c>
      <c r="C19">
        <v>20</v>
      </c>
      <c r="D19">
        <f>IFERROR(tinder[[#This Row],[Tinder Opened]]/tinder[[#This Row],[Days on Tinder]],0)</f>
        <v>82.25</v>
      </c>
      <c r="E19">
        <f>tinder[[#This Row],[Engagement]]/MAX(tinder[Engagement])</f>
        <v>0.41331658291457285</v>
      </c>
      <c r="F1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9">
        <v>37</v>
      </c>
      <c r="H19">
        <f>IFERROR(tinder[[#This Row],[Conversations]]/tinder[[#This Row],[Tinder Opened]],0)</f>
        <v>2.2492401215805473E-2</v>
      </c>
      <c r="I19">
        <f>tinder[[#This Row],[Conversations]]/MAX(tinder[Conversations])</f>
        <v>2.9267520961873119E-3</v>
      </c>
      <c r="J19">
        <f>(tinder[[#This Row],[Norm Engagement]]*2)+(tinder[[#This Row],[Norm Swipes]]*1)+(tinder[[#This Row],[Norm Conversations]]*2)</f>
        <v>0.84513369835274876</v>
      </c>
      <c r="K1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9">
        <v>10</v>
      </c>
      <c r="M19">
        <v>14</v>
      </c>
      <c r="N19">
        <v>370</v>
      </c>
      <c r="O19">
        <v>52</v>
      </c>
      <c r="P19">
        <v>66</v>
      </c>
      <c r="Q19">
        <f>tinder[[#This Row],[All Swipes]]/MAX(tinder[All Swipes])</f>
        <v>1.264702833122844E-2</v>
      </c>
      <c r="R19">
        <f>tinder[[#This Row],[Swipe Right (LIKE)]]+tinder[[#This Row],[Swipe Left (PASS)]]</f>
        <v>10735</v>
      </c>
      <c r="S19">
        <v>2186</v>
      </c>
      <c r="T19">
        <v>8549</v>
      </c>
      <c r="U19" t="s">
        <v>8</v>
      </c>
      <c r="V19" s="1">
        <v>44058</v>
      </c>
      <c r="W19" t="s">
        <v>12</v>
      </c>
      <c r="X19" t="s">
        <v>1295</v>
      </c>
      <c r="Y19" t="s">
        <v>8</v>
      </c>
      <c r="Z19">
        <v>25</v>
      </c>
      <c r="AA1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0" spans="1:27" x14ac:dyDescent="0.3">
      <c r="A20" t="s">
        <v>639</v>
      </c>
      <c r="B20">
        <v>1256</v>
      </c>
      <c r="C20">
        <v>16</v>
      </c>
      <c r="D20">
        <f>IFERROR(tinder[[#This Row],[Tinder Opened]]/tinder[[#This Row],[Days on Tinder]],0)</f>
        <v>78.5</v>
      </c>
      <c r="E20">
        <f>tinder[[#This Row],[Engagement]]/MAX(tinder[Engagement])</f>
        <v>0.39447236180904521</v>
      </c>
      <c r="F2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0">
        <v>17</v>
      </c>
      <c r="H20">
        <f>IFERROR(tinder[[#This Row],[Conversations]]/tinder[[#This Row],[Tinder Opened]],0)</f>
        <v>1.3535031847133758E-2</v>
      </c>
      <c r="I20">
        <f>tinder[[#This Row],[Conversations]]/MAX(tinder[Conversations])</f>
        <v>1.3447239360860623E-3</v>
      </c>
      <c r="J20">
        <f>(tinder[[#This Row],[Norm Engagement]]*2)+(tinder[[#This Row],[Norm Swipes]]*1)+(tinder[[#This Row],[Norm Conversations]]*2)</f>
        <v>0.79883950220975897</v>
      </c>
      <c r="K2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0">
        <v>2</v>
      </c>
      <c r="M20">
        <v>2</v>
      </c>
      <c r="N20">
        <v>152</v>
      </c>
      <c r="O20">
        <v>402</v>
      </c>
      <c r="P20">
        <v>277</v>
      </c>
      <c r="Q20">
        <f>tinder[[#This Row],[All Swipes]]/MAX(tinder[All Swipes])</f>
        <v>7.2053307194963334E-3</v>
      </c>
      <c r="R20">
        <f>tinder[[#This Row],[Swipe Right (LIKE)]]+tinder[[#This Row],[Swipe Left (PASS)]]</f>
        <v>6116</v>
      </c>
      <c r="S20">
        <v>1877</v>
      </c>
      <c r="T20">
        <v>4239</v>
      </c>
      <c r="U20" t="s">
        <v>262</v>
      </c>
      <c r="V20" s="1">
        <v>44281</v>
      </c>
      <c r="W20" t="s">
        <v>12</v>
      </c>
      <c r="X20" t="s">
        <v>1295</v>
      </c>
      <c r="Y20" t="s">
        <v>8</v>
      </c>
      <c r="Z20">
        <v>25</v>
      </c>
      <c r="AA2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1" spans="1:27" x14ac:dyDescent="0.3">
      <c r="A21" t="s">
        <v>391</v>
      </c>
      <c r="B21">
        <v>4124</v>
      </c>
      <c r="C21">
        <v>60</v>
      </c>
      <c r="D21">
        <f>IFERROR(tinder[[#This Row],[Tinder Opened]]/tinder[[#This Row],[Days on Tinder]],0)</f>
        <v>68.733333333333334</v>
      </c>
      <c r="E21">
        <f>tinder[[#This Row],[Engagement]]/MAX(tinder[Engagement])</f>
        <v>0.34539363484087104</v>
      </c>
      <c r="F2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1">
        <v>81</v>
      </c>
      <c r="H21">
        <f>IFERROR(tinder[[#This Row],[Conversations]]/tinder[[#This Row],[Tinder Opened]],0)</f>
        <v>1.9641125121241512E-2</v>
      </c>
      <c r="I21">
        <f>tinder[[#This Row],[Conversations]]/MAX(tinder[Conversations])</f>
        <v>6.407214048410062E-3</v>
      </c>
      <c r="J21">
        <f>(tinder[[#This Row],[Norm Engagement]]*2)+(tinder[[#This Row],[Norm Swipes]]*1)+(tinder[[#This Row],[Norm Conversations]]*2)</f>
        <v>0.71451218956948037</v>
      </c>
      <c r="K2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1">
        <v>23</v>
      </c>
      <c r="M21">
        <v>1</v>
      </c>
      <c r="N21">
        <v>151</v>
      </c>
      <c r="O21">
        <v>2877</v>
      </c>
      <c r="P21">
        <v>2627</v>
      </c>
      <c r="Q21">
        <f>tinder[[#This Row],[All Swipes]]/MAX(tinder[All Swipes])</f>
        <v>1.0910491790918173E-2</v>
      </c>
      <c r="R21">
        <f>tinder[[#This Row],[Swipe Right (LIKE)]]+tinder[[#This Row],[Swipe Left (PASS)]]</f>
        <v>9261</v>
      </c>
      <c r="S21">
        <v>9064</v>
      </c>
      <c r="T21">
        <v>197</v>
      </c>
      <c r="U21" t="s">
        <v>75</v>
      </c>
      <c r="V21" s="1">
        <v>44163</v>
      </c>
      <c r="W21" t="s">
        <v>12</v>
      </c>
      <c r="X21" t="s">
        <v>1295</v>
      </c>
      <c r="Y21" t="s">
        <v>8</v>
      </c>
      <c r="Z21">
        <v>30</v>
      </c>
      <c r="AA2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2" spans="1:27" x14ac:dyDescent="0.3">
      <c r="A22" t="s">
        <v>361</v>
      </c>
      <c r="B22">
        <v>19030</v>
      </c>
      <c r="C22">
        <v>281</v>
      </c>
      <c r="D22">
        <f>IFERROR(tinder[[#This Row],[Tinder Opened]]/tinder[[#This Row],[Days on Tinder]],0)</f>
        <v>67.722419928825616</v>
      </c>
      <c r="E22">
        <f>tinder[[#This Row],[Engagement]]/MAX(tinder[Engagement])</f>
        <v>0.34031366798404833</v>
      </c>
      <c r="F2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2">
        <v>205</v>
      </c>
      <c r="H22">
        <f>IFERROR(tinder[[#This Row],[Conversations]]/tinder[[#This Row],[Tinder Opened]],0)</f>
        <v>1.0772464529689963E-2</v>
      </c>
      <c r="I22">
        <f>tinder[[#This Row],[Conversations]]/MAX(tinder[Conversations])</f>
        <v>1.6215788641037811E-2</v>
      </c>
      <c r="J22">
        <f>(tinder[[#This Row],[Norm Engagement]]*2)+(tinder[[#This Row],[Norm Swipes]]*1)+(tinder[[#This Row],[Norm Conversations]]*2)</f>
        <v>0.83731552481263094</v>
      </c>
      <c r="K2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2">
        <v>53</v>
      </c>
      <c r="M22">
        <v>13</v>
      </c>
      <c r="N22">
        <v>1524</v>
      </c>
      <c r="O22">
        <v>4453</v>
      </c>
      <c r="P22">
        <v>4594</v>
      </c>
      <c r="Q22">
        <f>tinder[[#This Row],[All Swipes]]/MAX(tinder[All Swipes])</f>
        <v>0.12425661156245876</v>
      </c>
      <c r="R22">
        <f>tinder[[#This Row],[Swipe Right (LIKE)]]+tinder[[#This Row],[Swipe Left (PASS)]]</f>
        <v>105471</v>
      </c>
      <c r="S22">
        <v>22603</v>
      </c>
      <c r="T22">
        <v>82868</v>
      </c>
      <c r="U22" t="s">
        <v>8</v>
      </c>
      <c r="V22" s="1">
        <v>43929</v>
      </c>
      <c r="W22" t="s">
        <v>12</v>
      </c>
      <c r="X22" t="s">
        <v>1295</v>
      </c>
      <c r="Y22" t="s">
        <v>8</v>
      </c>
      <c r="Z22">
        <v>22</v>
      </c>
      <c r="AA2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3" spans="1:27" x14ac:dyDescent="0.3">
      <c r="A23" t="s">
        <v>702</v>
      </c>
      <c r="B23">
        <v>917</v>
      </c>
      <c r="C23">
        <v>14</v>
      </c>
      <c r="D23">
        <f>IFERROR(tinder[[#This Row],[Tinder Opened]]/tinder[[#This Row],[Days on Tinder]],0)</f>
        <v>65.5</v>
      </c>
      <c r="E23">
        <f>tinder[[#This Row],[Engagement]]/MAX(tinder[Engagement])</f>
        <v>0.32914572864321606</v>
      </c>
      <c r="F2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3">
        <v>32</v>
      </c>
      <c r="H23">
        <f>IFERROR(tinder[[#This Row],[Conversations]]/tinder[[#This Row],[Tinder Opened]],0)</f>
        <v>3.4896401308615051E-2</v>
      </c>
      <c r="I23">
        <f>tinder[[#This Row],[Conversations]]/MAX(tinder[Conversations])</f>
        <v>2.5312450561619996E-3</v>
      </c>
      <c r="J23">
        <f>(tinder[[#This Row],[Norm Engagement]]*2)+(tinder[[#This Row],[Norm Swipes]]*1)+(tinder[[#This Row],[Norm Conversations]]*2)</f>
        <v>0.66589042173477242</v>
      </c>
      <c r="K2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3">
        <v>4</v>
      </c>
      <c r="M23">
        <v>1</v>
      </c>
      <c r="N23">
        <v>83</v>
      </c>
      <c r="O23">
        <v>1092</v>
      </c>
      <c r="P23">
        <v>756</v>
      </c>
      <c r="Q23">
        <f>tinder[[#This Row],[All Swipes]]/MAX(tinder[All Swipes])</f>
        <v>2.5364743360162863E-3</v>
      </c>
      <c r="R23">
        <f>tinder[[#This Row],[Swipe Right (LIKE)]]+tinder[[#This Row],[Swipe Left (PASS)]]</f>
        <v>2153</v>
      </c>
      <c r="S23">
        <v>405</v>
      </c>
      <c r="T23">
        <v>1748</v>
      </c>
      <c r="U23" t="s">
        <v>270</v>
      </c>
      <c r="V23" s="1">
        <v>44286</v>
      </c>
      <c r="W23" t="s">
        <v>12</v>
      </c>
      <c r="X23" t="s">
        <v>1295</v>
      </c>
      <c r="Y23" t="s">
        <v>8</v>
      </c>
      <c r="Z23">
        <v>30</v>
      </c>
      <c r="AA2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4" spans="1:27" x14ac:dyDescent="0.3">
      <c r="A24" t="s">
        <v>799</v>
      </c>
      <c r="B24">
        <v>720</v>
      </c>
      <c r="C24">
        <v>11</v>
      </c>
      <c r="D24">
        <f>IFERROR(tinder[[#This Row],[Tinder Opened]]/tinder[[#This Row],[Days on Tinder]],0)</f>
        <v>65.454545454545453</v>
      </c>
      <c r="E24">
        <f>tinder[[#This Row],[Engagement]]/MAX(tinder[Engagement])</f>
        <v>0.32891731384193695</v>
      </c>
      <c r="F2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4">
        <v>145</v>
      </c>
      <c r="H24">
        <f>IFERROR(tinder[[#This Row],[Conversations]]/tinder[[#This Row],[Tinder Opened]],0)</f>
        <v>0.2013888888888889</v>
      </c>
      <c r="I24">
        <f>tinder[[#This Row],[Conversations]]/MAX(tinder[Conversations])</f>
        <v>1.146970416073406E-2</v>
      </c>
      <c r="J24">
        <f>(tinder[[#This Row],[Norm Engagement]]*2)+(tinder[[#This Row],[Norm Swipes]]*1)+(tinder[[#This Row],[Norm Conversations]]*2)</f>
        <v>0.70514680937436425</v>
      </c>
      <c r="K2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4">
        <v>32</v>
      </c>
      <c r="M24">
        <v>49</v>
      </c>
      <c r="N24">
        <v>400</v>
      </c>
      <c r="O24">
        <v>2204</v>
      </c>
      <c r="P24">
        <v>3808</v>
      </c>
      <c r="Q24">
        <f>tinder[[#This Row],[All Swipes]]/MAX(tinder[All Swipes])</f>
        <v>2.4372773369022261E-2</v>
      </c>
      <c r="R24">
        <f>tinder[[#This Row],[Swipe Right (LIKE)]]+tinder[[#This Row],[Swipe Left (PASS)]]</f>
        <v>20688</v>
      </c>
      <c r="S24">
        <v>864</v>
      </c>
      <c r="T24">
        <v>19824</v>
      </c>
      <c r="U24" t="s">
        <v>293</v>
      </c>
      <c r="V24" s="1">
        <v>44288</v>
      </c>
      <c r="W24" t="s">
        <v>12</v>
      </c>
      <c r="X24" t="s">
        <v>1296</v>
      </c>
      <c r="Y24" t="s">
        <v>8</v>
      </c>
      <c r="Z24">
        <v>21</v>
      </c>
      <c r="AA2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5" spans="1:27" x14ac:dyDescent="0.3">
      <c r="A25" t="s">
        <v>811</v>
      </c>
      <c r="B25">
        <v>11796</v>
      </c>
      <c r="C25">
        <v>181</v>
      </c>
      <c r="D25">
        <f>IFERROR(tinder[[#This Row],[Tinder Opened]]/tinder[[#This Row],[Days on Tinder]],0)</f>
        <v>65.171270718232037</v>
      </c>
      <c r="E25">
        <f>tinder[[#This Row],[Engagement]]/MAX(tinder[Engagement])</f>
        <v>0.32749382270468358</v>
      </c>
      <c r="F2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5">
        <v>5</v>
      </c>
      <c r="H25">
        <f>IFERROR(tinder[[#This Row],[Conversations]]/tinder[[#This Row],[Tinder Opened]],0)</f>
        <v>4.2387249915225501E-4</v>
      </c>
      <c r="I25">
        <f>tinder[[#This Row],[Conversations]]/MAX(tinder[Conversations])</f>
        <v>3.9550704002531246E-4</v>
      </c>
      <c r="J25">
        <f>(tinder[[#This Row],[Norm Engagement]]*2)+(tinder[[#This Row],[Norm Swipes]]*1)+(tinder[[#This Row],[Norm Conversations]]*2)</f>
        <v>0.77202529009016052</v>
      </c>
      <c r="K2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5">
        <v>1</v>
      </c>
      <c r="M25">
        <v>0</v>
      </c>
      <c r="N25">
        <v>56</v>
      </c>
      <c r="O25">
        <v>444</v>
      </c>
      <c r="P25">
        <v>324</v>
      </c>
      <c r="Q25">
        <f>tinder[[#This Row],[All Swipes]]/MAX(tinder[All Swipes])</f>
        <v>0.11624663060074268</v>
      </c>
      <c r="R25">
        <f>tinder[[#This Row],[Swipe Right (LIKE)]]+tinder[[#This Row],[Swipe Left (PASS)]]</f>
        <v>98672</v>
      </c>
      <c r="S25">
        <v>1624</v>
      </c>
      <c r="T25">
        <v>97048</v>
      </c>
      <c r="U25" t="s">
        <v>75</v>
      </c>
      <c r="V25" s="1">
        <v>44042</v>
      </c>
      <c r="W25" t="s">
        <v>12</v>
      </c>
      <c r="X25" t="s">
        <v>1295</v>
      </c>
      <c r="Y25" t="s">
        <v>8</v>
      </c>
      <c r="Z25">
        <v>20</v>
      </c>
      <c r="AA2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6" spans="1:27" x14ac:dyDescent="0.3">
      <c r="A26" t="s">
        <v>828</v>
      </c>
      <c r="B26">
        <v>17262</v>
      </c>
      <c r="C26">
        <v>265</v>
      </c>
      <c r="D26">
        <f>IFERROR(tinder[[#This Row],[Tinder Opened]]/tinder[[#This Row],[Days on Tinder]],0)</f>
        <v>65.139622641509433</v>
      </c>
      <c r="E26">
        <f>tinder[[#This Row],[Engagement]]/MAX(tinder[Engagement])</f>
        <v>0.32733478714326347</v>
      </c>
      <c r="F2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6">
        <v>79</v>
      </c>
      <c r="H26">
        <f>IFERROR(tinder[[#This Row],[Conversations]]/tinder[[#This Row],[Tinder Opened]],0)</f>
        <v>4.5765264743366932E-3</v>
      </c>
      <c r="I26">
        <f>tinder[[#This Row],[Conversations]]/MAX(tinder[Conversations])</f>
        <v>6.2490112323999366E-3</v>
      </c>
      <c r="J26">
        <f>(tinder[[#This Row],[Norm Engagement]]*2)+(tinder[[#This Row],[Norm Swipes]]*1)+(tinder[[#This Row],[Norm Conversations]]*2)</f>
        <v>0.70152840050620424</v>
      </c>
      <c r="K2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6">
        <v>37</v>
      </c>
      <c r="M26">
        <v>1</v>
      </c>
      <c r="N26">
        <v>930</v>
      </c>
      <c r="O26">
        <v>3102</v>
      </c>
      <c r="P26">
        <v>3012</v>
      </c>
      <c r="Q26">
        <f>tinder[[#This Row],[All Swipes]]/MAX(tinder[All Swipes])</f>
        <v>3.4360803754877385E-2</v>
      </c>
      <c r="R26">
        <f>tinder[[#This Row],[Swipe Right (LIKE)]]+tinder[[#This Row],[Swipe Left (PASS)]]</f>
        <v>29166</v>
      </c>
      <c r="S26">
        <v>20028</v>
      </c>
      <c r="T26">
        <v>9138</v>
      </c>
      <c r="U26" t="s">
        <v>8</v>
      </c>
      <c r="V26" s="1">
        <v>43652</v>
      </c>
      <c r="W26" t="s">
        <v>12</v>
      </c>
      <c r="X26" t="s">
        <v>1295</v>
      </c>
      <c r="Y26" t="s">
        <v>8</v>
      </c>
      <c r="Z26">
        <v>30</v>
      </c>
      <c r="AA2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7" spans="1:27" x14ac:dyDescent="0.3">
      <c r="A27" t="s">
        <v>115</v>
      </c>
      <c r="B27">
        <v>706</v>
      </c>
      <c r="C27">
        <v>11</v>
      </c>
      <c r="D27">
        <f>IFERROR(tinder[[#This Row],[Tinder Opened]]/tinder[[#This Row],[Days on Tinder]],0)</f>
        <v>64.181818181818187</v>
      </c>
      <c r="E27">
        <f>tinder[[#This Row],[Engagement]]/MAX(tinder[Engagement])</f>
        <v>0.32252169940612152</v>
      </c>
      <c r="F2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7">
        <v>2</v>
      </c>
      <c r="H27">
        <f>IFERROR(tinder[[#This Row],[Conversations]]/tinder[[#This Row],[Tinder Opened]],0)</f>
        <v>2.8328611898016999E-3</v>
      </c>
      <c r="I27">
        <f>tinder[[#This Row],[Conversations]]/MAX(tinder[Conversations])</f>
        <v>1.5820281601012498E-4</v>
      </c>
      <c r="J27">
        <f>(tinder[[#This Row],[Norm Engagement]]*2)+(tinder[[#This Row],[Norm Swipes]]*1)+(tinder[[#This Row],[Norm Conversations]]*2)</f>
        <v>0.65018888400921027</v>
      </c>
      <c r="K2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7">
        <v>0</v>
      </c>
      <c r="M27">
        <v>0</v>
      </c>
      <c r="N27">
        <v>6</v>
      </c>
      <c r="O27">
        <v>70</v>
      </c>
      <c r="P27">
        <v>45</v>
      </c>
      <c r="Q27">
        <f>tinder[[#This Row],[All Swipes]]/MAX(tinder[All Swipes])</f>
        <v>4.8290795649469382E-3</v>
      </c>
      <c r="R27">
        <f>tinder[[#This Row],[Swipe Right (LIKE)]]+tinder[[#This Row],[Swipe Left (PASS)]]</f>
        <v>4099</v>
      </c>
      <c r="S27">
        <v>718</v>
      </c>
      <c r="T27">
        <v>3381</v>
      </c>
      <c r="U27" t="s">
        <v>8</v>
      </c>
      <c r="V27" s="1">
        <v>43949</v>
      </c>
      <c r="W27" t="s">
        <v>12</v>
      </c>
      <c r="X27" t="s">
        <v>1295</v>
      </c>
      <c r="Y27" t="s">
        <v>8</v>
      </c>
      <c r="Z27">
        <v>24</v>
      </c>
      <c r="AA2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8" spans="1:27" x14ac:dyDescent="0.3">
      <c r="A28" t="s">
        <v>158</v>
      </c>
      <c r="B28">
        <v>7153</v>
      </c>
      <c r="C28">
        <v>114</v>
      </c>
      <c r="D28">
        <f>IFERROR(tinder[[#This Row],[Tinder Opened]]/tinder[[#This Row],[Days on Tinder]],0)</f>
        <v>62.745614035087719</v>
      </c>
      <c r="E28">
        <f>tinder[[#This Row],[Engagement]]/MAX(tinder[Engagement])</f>
        <v>0.31530459314114434</v>
      </c>
      <c r="F2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8">
        <v>6817</v>
      </c>
      <c r="H28">
        <f>IFERROR(tinder[[#This Row],[Conversations]]/tinder[[#This Row],[Tinder Opened]],0)</f>
        <v>0.95302670208304208</v>
      </c>
      <c r="I28">
        <f>tinder[[#This Row],[Conversations]]/MAX(tinder[Conversations])</f>
        <v>0.53923429837051096</v>
      </c>
      <c r="J28">
        <f>(tinder[[#This Row],[Norm Engagement]]*2)+(tinder[[#This Row],[Norm Swipes]]*1)+(tinder[[#This Row],[Norm Conversations]]*2)</f>
        <v>1.8285276991417625</v>
      </c>
      <c r="K2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8">
        <v>4807</v>
      </c>
      <c r="M28">
        <v>57</v>
      </c>
      <c r="N28">
        <v>6829</v>
      </c>
      <c r="O28">
        <v>18967</v>
      </c>
      <c r="P28">
        <v>16969</v>
      </c>
      <c r="Q28">
        <f>tinder[[#This Row],[All Swipes]]/MAX(tinder[All Swipes])</f>
        <v>0.11944991611845206</v>
      </c>
      <c r="R28">
        <f>tinder[[#This Row],[Swipe Right (LIKE)]]+tinder[[#This Row],[Swipe Left (PASS)]]</f>
        <v>101391</v>
      </c>
      <c r="S28">
        <v>101244</v>
      </c>
      <c r="T28">
        <v>147</v>
      </c>
      <c r="U28" t="s">
        <v>8</v>
      </c>
      <c r="V28" s="1">
        <v>43991</v>
      </c>
      <c r="W28" t="s">
        <v>12</v>
      </c>
      <c r="X28" t="s">
        <v>1295</v>
      </c>
      <c r="Y28" t="s">
        <v>8</v>
      </c>
      <c r="Z28">
        <v>26</v>
      </c>
      <c r="AA2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9" spans="1:27" x14ac:dyDescent="0.3">
      <c r="A29" t="s">
        <v>499</v>
      </c>
      <c r="B29">
        <v>246</v>
      </c>
      <c r="C29">
        <v>4</v>
      </c>
      <c r="D29">
        <f>IFERROR(tinder[[#This Row],[Tinder Opened]]/tinder[[#This Row],[Days on Tinder]],0)</f>
        <v>61.5</v>
      </c>
      <c r="E29">
        <f>tinder[[#This Row],[Engagement]]/MAX(tinder[Engagement])</f>
        <v>0.30904522613065327</v>
      </c>
      <c r="F2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9">
        <v>4</v>
      </c>
      <c r="H29">
        <f>IFERROR(tinder[[#This Row],[Conversations]]/tinder[[#This Row],[Tinder Opened]],0)</f>
        <v>1.6260162601626018E-2</v>
      </c>
      <c r="I29">
        <f>tinder[[#This Row],[Conversations]]/MAX(tinder[Conversations])</f>
        <v>3.1640563202024995E-4</v>
      </c>
      <c r="J29">
        <f>(tinder[[#This Row],[Norm Engagement]]*2)+(tinder[[#This Row],[Norm Swipes]]*1)+(tinder[[#This Row],[Norm Conversations]]*2)</f>
        <v>0.62430633453249107</v>
      </c>
      <c r="K2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9">
        <v>3</v>
      </c>
      <c r="M29">
        <v>0</v>
      </c>
      <c r="N29">
        <v>11</v>
      </c>
      <c r="O29">
        <v>51</v>
      </c>
      <c r="P29">
        <v>37</v>
      </c>
      <c r="Q29">
        <f>tinder[[#This Row],[All Swipes]]/MAX(tinder[All Swipes])</f>
        <v>5.5830710071440685E-3</v>
      </c>
      <c r="R29">
        <f>tinder[[#This Row],[Swipe Right (LIKE)]]+tinder[[#This Row],[Swipe Left (PASS)]]</f>
        <v>4739</v>
      </c>
      <c r="S29">
        <v>541</v>
      </c>
      <c r="T29">
        <v>4198</v>
      </c>
      <c r="U29" t="s">
        <v>75</v>
      </c>
      <c r="V29" s="1">
        <v>44190</v>
      </c>
      <c r="W29" t="s">
        <v>12</v>
      </c>
      <c r="X29" t="s">
        <v>1295</v>
      </c>
      <c r="Y29" t="s">
        <v>500</v>
      </c>
      <c r="Z29">
        <v>20</v>
      </c>
      <c r="AA2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0" spans="1:27" x14ac:dyDescent="0.3">
      <c r="A30" t="s">
        <v>235</v>
      </c>
      <c r="B30">
        <v>1351</v>
      </c>
      <c r="C30">
        <v>22</v>
      </c>
      <c r="D30">
        <f>IFERROR(tinder[[#This Row],[Tinder Opened]]/tinder[[#This Row],[Days on Tinder]],0)</f>
        <v>61.409090909090907</v>
      </c>
      <c r="E30">
        <f>tinder[[#This Row],[Engagement]]/MAX(tinder[Engagement])</f>
        <v>0.308588396528095</v>
      </c>
      <c r="F3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30">
        <v>28</v>
      </c>
      <c r="H30">
        <f>IFERROR(tinder[[#This Row],[Conversations]]/tinder[[#This Row],[Tinder Opened]],0)</f>
        <v>2.072538860103627E-2</v>
      </c>
      <c r="I30">
        <f>tinder[[#This Row],[Conversations]]/MAX(tinder[Conversations])</f>
        <v>2.2148394241417496E-3</v>
      </c>
      <c r="J30">
        <f>(tinder[[#This Row],[Norm Engagement]]*2)+(tinder[[#This Row],[Norm Swipes]]*1)+(tinder[[#This Row],[Norm Conversations]]*2)</f>
        <v>0.62820625324695523</v>
      </c>
      <c r="K3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0">
        <v>9</v>
      </c>
      <c r="M30">
        <v>2</v>
      </c>
      <c r="N30">
        <v>101</v>
      </c>
      <c r="O30">
        <v>116</v>
      </c>
      <c r="P30">
        <v>71</v>
      </c>
      <c r="Q30">
        <f>tinder[[#This Row],[All Swipes]]/MAX(tinder[All Swipes])</f>
        <v>6.5997813424817624E-3</v>
      </c>
      <c r="R30">
        <f>tinder[[#This Row],[Swipe Right (LIKE)]]+tinder[[#This Row],[Swipe Left (PASS)]]</f>
        <v>5602</v>
      </c>
      <c r="S30">
        <v>787</v>
      </c>
      <c r="T30">
        <v>4815</v>
      </c>
      <c r="U30" t="s">
        <v>14</v>
      </c>
      <c r="V30" s="1">
        <v>44142</v>
      </c>
      <c r="W30" t="s">
        <v>12</v>
      </c>
      <c r="X30" t="s">
        <v>1295</v>
      </c>
      <c r="Y30" t="s">
        <v>19</v>
      </c>
      <c r="Z30">
        <v>21</v>
      </c>
      <c r="AA3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1" spans="1:27" x14ac:dyDescent="0.3">
      <c r="A31" t="s">
        <v>762</v>
      </c>
      <c r="B31">
        <v>13039</v>
      </c>
      <c r="C31">
        <v>217</v>
      </c>
      <c r="D31">
        <f>IFERROR(tinder[[#This Row],[Tinder Opened]]/tinder[[#This Row],[Days on Tinder]],0)</f>
        <v>60.087557603686633</v>
      </c>
      <c r="E31">
        <f>tinder[[#This Row],[Engagement]]/MAX(tinder[Engagement])</f>
        <v>0.30194752564666649</v>
      </c>
      <c r="F3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31">
        <v>2</v>
      </c>
      <c r="H31">
        <f>IFERROR(tinder[[#This Row],[Conversations]]/tinder[[#This Row],[Tinder Opened]],0)</f>
        <v>1.5338599585857811E-4</v>
      </c>
      <c r="I31">
        <f>tinder[[#This Row],[Conversations]]/MAX(tinder[Conversations])</f>
        <v>1.5820281601012498E-4</v>
      </c>
      <c r="J31">
        <f>(tinder[[#This Row],[Norm Engagement]]*2)+(tinder[[#This Row],[Norm Swipes]]*1)+(tinder[[#This Row],[Norm Conversations]]*2)</f>
        <v>0.66051105542491029</v>
      </c>
      <c r="K3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1">
        <v>0</v>
      </c>
      <c r="M31">
        <v>0</v>
      </c>
      <c r="N31">
        <v>15</v>
      </c>
      <c r="O31">
        <v>23</v>
      </c>
      <c r="P31">
        <v>16</v>
      </c>
      <c r="Q31">
        <f>tinder[[#This Row],[All Swipes]]/MAX(tinder[All Swipes])</f>
        <v>5.6299598499557027E-2</v>
      </c>
      <c r="R31">
        <f>tinder[[#This Row],[Swipe Right (LIKE)]]+tinder[[#This Row],[Swipe Left (PASS)]]</f>
        <v>47788</v>
      </c>
      <c r="S31">
        <v>285</v>
      </c>
      <c r="T31">
        <v>47503</v>
      </c>
      <c r="U31" t="s">
        <v>8</v>
      </c>
      <c r="V31" s="1">
        <v>44082</v>
      </c>
      <c r="W31" t="s">
        <v>12</v>
      </c>
      <c r="X31" t="s">
        <v>1295</v>
      </c>
      <c r="Y31" t="s">
        <v>8</v>
      </c>
      <c r="Z31">
        <v>29</v>
      </c>
      <c r="AA3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2" spans="1:27" x14ac:dyDescent="0.3">
      <c r="A32" t="s">
        <v>725</v>
      </c>
      <c r="B32">
        <v>6995</v>
      </c>
      <c r="C32">
        <v>117</v>
      </c>
      <c r="D32">
        <f>IFERROR(tinder[[#This Row],[Tinder Opened]]/tinder[[#This Row],[Days on Tinder]],0)</f>
        <v>59.786324786324784</v>
      </c>
      <c r="E32">
        <f>tinder[[#This Row],[Engagement]]/MAX(tinder[Engagement])</f>
        <v>0.30043379289610445</v>
      </c>
      <c r="F3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32">
        <v>1129</v>
      </c>
      <c r="H32">
        <f>IFERROR(tinder[[#This Row],[Conversations]]/tinder[[#This Row],[Tinder Opened]],0)</f>
        <v>0.16140100071479629</v>
      </c>
      <c r="I32">
        <f>tinder[[#This Row],[Conversations]]/MAX(tinder[Conversations])</f>
        <v>8.9305489637715549E-2</v>
      </c>
      <c r="J32">
        <f>(tinder[[#This Row],[Norm Engagement]]*2)+(tinder[[#This Row],[Norm Swipes]]*1)+(tinder[[#This Row],[Norm Conversations]]*2)</f>
        <v>0.88313825103020438</v>
      </c>
      <c r="K3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2">
        <v>233</v>
      </c>
      <c r="M32">
        <v>443</v>
      </c>
      <c r="N32">
        <v>1195</v>
      </c>
      <c r="O32">
        <v>4808</v>
      </c>
      <c r="P32">
        <v>8290</v>
      </c>
      <c r="Q32">
        <f>tinder[[#This Row],[All Swipes]]/MAX(tinder[All Swipes])</f>
        <v>0.10365968596256432</v>
      </c>
      <c r="R32">
        <f>tinder[[#This Row],[Swipe Right (LIKE)]]+tinder[[#This Row],[Swipe Left (PASS)]]</f>
        <v>87988</v>
      </c>
      <c r="S32">
        <v>2816</v>
      </c>
      <c r="T32">
        <v>85172</v>
      </c>
      <c r="U32" t="s">
        <v>8</v>
      </c>
      <c r="V32" s="1">
        <v>43946</v>
      </c>
      <c r="W32" t="s">
        <v>12</v>
      </c>
      <c r="X32" t="s">
        <v>1296</v>
      </c>
      <c r="Y32" t="s">
        <v>8</v>
      </c>
      <c r="Z32">
        <v>19</v>
      </c>
      <c r="AA3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3" spans="1:27" x14ac:dyDescent="0.3">
      <c r="A33" t="s">
        <v>1167</v>
      </c>
      <c r="B33">
        <v>6864</v>
      </c>
      <c r="C33">
        <v>115</v>
      </c>
      <c r="D33">
        <f>IFERROR(tinder[[#This Row],[Tinder Opened]]/tinder[[#This Row],[Days on Tinder]],0)</f>
        <v>59.686956521739127</v>
      </c>
      <c r="E33">
        <f>tinder[[#This Row],[Engagement]]/MAX(tinder[Engagement])</f>
        <v>0.29993445488311121</v>
      </c>
      <c r="F3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33">
        <v>1849</v>
      </c>
      <c r="H33">
        <f>IFERROR(tinder[[#This Row],[Conversations]]/tinder[[#This Row],[Tinder Opened]],0)</f>
        <v>0.26937645687645689</v>
      </c>
      <c r="I33">
        <f>tinder[[#This Row],[Conversations]]/MAX(tinder[Conversations])</f>
        <v>0.14625850340136054</v>
      </c>
      <c r="J33">
        <f>(tinder[[#This Row],[Norm Engagement]]*2)+(tinder[[#This Row],[Norm Swipes]]*1)+(tinder[[#This Row],[Norm Conversations]]*2)</f>
        <v>0.94463987973646157</v>
      </c>
      <c r="K3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3">
        <v>928</v>
      </c>
      <c r="M33">
        <v>516</v>
      </c>
      <c r="N33">
        <v>783</v>
      </c>
      <c r="O33">
        <v>2620</v>
      </c>
      <c r="P33">
        <v>2709</v>
      </c>
      <c r="Q33">
        <f>tinder[[#This Row],[All Swipes]]/MAX(tinder[All Swipes])</f>
        <v>5.2253963167518049E-2</v>
      </c>
      <c r="R33">
        <f>tinder[[#This Row],[Swipe Right (LIKE)]]+tinder[[#This Row],[Swipe Left (PASS)]]</f>
        <v>44354</v>
      </c>
      <c r="S33">
        <v>39952</v>
      </c>
      <c r="T33">
        <v>4402</v>
      </c>
      <c r="U33" t="s">
        <v>8</v>
      </c>
      <c r="V33" s="1">
        <v>44147</v>
      </c>
      <c r="W33" t="s">
        <v>12</v>
      </c>
      <c r="X33" t="s">
        <v>1295</v>
      </c>
      <c r="Y33" t="s">
        <v>8</v>
      </c>
      <c r="Z33">
        <v>20</v>
      </c>
      <c r="AA3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4" spans="1:27" x14ac:dyDescent="0.3">
      <c r="A34" t="s">
        <v>84</v>
      </c>
      <c r="B34">
        <v>1789</v>
      </c>
      <c r="C34">
        <v>30</v>
      </c>
      <c r="D34">
        <f>IFERROR(tinder[[#This Row],[Tinder Opened]]/tinder[[#This Row],[Days on Tinder]],0)</f>
        <v>59.633333333333333</v>
      </c>
      <c r="E34">
        <f>tinder[[#This Row],[Engagement]]/MAX(tinder[Engagement])</f>
        <v>0.2996649916247906</v>
      </c>
      <c r="F3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34">
        <v>24</v>
      </c>
      <c r="H34">
        <f>IFERROR(tinder[[#This Row],[Conversations]]/tinder[[#This Row],[Tinder Opened]],0)</f>
        <v>1.3415315818893237E-2</v>
      </c>
      <c r="I34">
        <f>tinder[[#This Row],[Conversations]]/MAX(tinder[Conversations])</f>
        <v>1.8984337921214998E-3</v>
      </c>
      <c r="J34">
        <f>(tinder[[#This Row],[Norm Engagement]]*2)+(tinder[[#This Row],[Norm Swipes]]*1)+(tinder[[#This Row],[Norm Conversations]]*2)</f>
        <v>0.6075247415427647</v>
      </c>
      <c r="K3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4">
        <v>3</v>
      </c>
      <c r="M34">
        <v>0</v>
      </c>
      <c r="N34">
        <v>146</v>
      </c>
      <c r="O34">
        <v>601</v>
      </c>
      <c r="P34">
        <v>531</v>
      </c>
      <c r="Q34">
        <f>tinder[[#This Row],[All Swipes]]/MAX(tinder[All Swipes])</f>
        <v>4.3978907089404539E-3</v>
      </c>
      <c r="R34">
        <f>tinder[[#This Row],[Swipe Right (LIKE)]]+tinder[[#This Row],[Swipe Left (PASS)]]</f>
        <v>3733</v>
      </c>
      <c r="S34">
        <v>1469</v>
      </c>
      <c r="T34">
        <v>2264</v>
      </c>
      <c r="U34" t="s">
        <v>85</v>
      </c>
      <c r="V34" s="1">
        <v>43834</v>
      </c>
      <c r="W34" t="s">
        <v>12</v>
      </c>
      <c r="X34" t="s">
        <v>1295</v>
      </c>
      <c r="Y34" t="s">
        <v>8</v>
      </c>
      <c r="Z34">
        <v>29</v>
      </c>
      <c r="AA3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5" spans="1:27" x14ac:dyDescent="0.3">
      <c r="A35" t="s">
        <v>86</v>
      </c>
      <c r="B35">
        <v>10053</v>
      </c>
      <c r="C35">
        <v>169</v>
      </c>
      <c r="D35">
        <f>IFERROR(tinder[[#This Row],[Tinder Opened]]/tinder[[#This Row],[Days on Tinder]],0)</f>
        <v>59.485207100591715</v>
      </c>
      <c r="E35">
        <f>tinder[[#This Row],[Engagement]]/MAX(tinder[Engagement])</f>
        <v>0.29892063869644075</v>
      </c>
      <c r="F3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35">
        <v>458</v>
      </c>
      <c r="H35">
        <f>IFERROR(tinder[[#This Row],[Conversations]]/tinder[[#This Row],[Tinder Opened]],0)</f>
        <v>4.555853973938128E-2</v>
      </c>
      <c r="I35">
        <f>tinder[[#This Row],[Conversations]]/MAX(tinder[Conversations])</f>
        <v>3.622844486631862E-2</v>
      </c>
      <c r="J35">
        <f>(tinder[[#This Row],[Norm Engagement]]*2)+(tinder[[#This Row],[Norm Swipes]]*1)+(tinder[[#This Row],[Norm Conversations]]*2)</f>
        <v>0.75397118931171692</v>
      </c>
      <c r="K3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5">
        <v>98</v>
      </c>
      <c r="M35">
        <v>104</v>
      </c>
      <c r="N35">
        <v>1221</v>
      </c>
      <c r="O35">
        <v>8121</v>
      </c>
      <c r="P35">
        <v>8291</v>
      </c>
      <c r="Q35">
        <f>tinder[[#This Row],[All Swipes]]/MAX(tinder[All Swipes])</f>
        <v>8.3673022186198182E-2</v>
      </c>
      <c r="R35">
        <f>tinder[[#This Row],[Swipe Right (LIKE)]]+tinder[[#This Row],[Swipe Left (PASS)]]</f>
        <v>71023</v>
      </c>
      <c r="S35">
        <v>2540</v>
      </c>
      <c r="T35">
        <v>68483</v>
      </c>
      <c r="U35" t="s">
        <v>8</v>
      </c>
      <c r="V35" s="1">
        <v>43641</v>
      </c>
      <c r="W35" t="s">
        <v>12</v>
      </c>
      <c r="X35" t="s">
        <v>1296</v>
      </c>
      <c r="Y35" t="s">
        <v>8</v>
      </c>
      <c r="Z35">
        <v>19</v>
      </c>
      <c r="AA3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6" spans="1:27" x14ac:dyDescent="0.3">
      <c r="A36" t="s">
        <v>194</v>
      </c>
      <c r="B36">
        <v>13561</v>
      </c>
      <c r="C36">
        <v>229</v>
      </c>
      <c r="D36">
        <f>IFERROR(tinder[[#This Row],[Tinder Opened]]/tinder[[#This Row],[Days on Tinder]],0)</f>
        <v>59.21834061135371</v>
      </c>
      <c r="E36">
        <f>tinder[[#This Row],[Engagement]]/MAX(tinder[Engagement])</f>
        <v>0.29757960106207892</v>
      </c>
      <c r="F3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36">
        <v>130</v>
      </c>
      <c r="H36">
        <f>IFERROR(tinder[[#This Row],[Conversations]]/tinder[[#This Row],[Tinder Opened]],0)</f>
        <v>9.5863136936804073E-3</v>
      </c>
      <c r="I36">
        <f>tinder[[#This Row],[Conversations]]/MAX(tinder[Conversations])</f>
        <v>1.0283183040658124E-2</v>
      </c>
      <c r="J36">
        <f>(tinder[[#This Row],[Norm Engagement]]*2)+(tinder[[#This Row],[Norm Swipes]]*1)+(tinder[[#This Row],[Norm Conversations]]*2)</f>
        <v>0.72401641097940861</v>
      </c>
      <c r="K3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6">
        <v>36</v>
      </c>
      <c r="M36">
        <v>15</v>
      </c>
      <c r="N36">
        <v>626</v>
      </c>
      <c r="O36">
        <v>2066</v>
      </c>
      <c r="P36">
        <v>1657</v>
      </c>
      <c r="Q36">
        <f>tinder[[#This Row],[All Swipes]]/MAX(tinder[All Swipes])</f>
        <v>0.10829084277393451</v>
      </c>
      <c r="R36">
        <f>tinder[[#This Row],[Swipe Right (LIKE)]]+tinder[[#This Row],[Swipe Left (PASS)]]</f>
        <v>91919</v>
      </c>
      <c r="S36">
        <v>54683</v>
      </c>
      <c r="T36">
        <v>37236</v>
      </c>
      <c r="U36" t="s">
        <v>88</v>
      </c>
      <c r="V36" s="1">
        <v>43910</v>
      </c>
      <c r="W36" t="s">
        <v>12</v>
      </c>
      <c r="X36" t="s">
        <v>1295</v>
      </c>
      <c r="Y36" t="s">
        <v>195</v>
      </c>
      <c r="Z36">
        <v>27</v>
      </c>
      <c r="AA3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7" spans="1:27" x14ac:dyDescent="0.3">
      <c r="A37" t="s">
        <v>324</v>
      </c>
      <c r="B37">
        <v>2122</v>
      </c>
      <c r="C37">
        <v>36</v>
      </c>
      <c r="D37">
        <f>IFERROR(tinder[[#This Row],[Tinder Opened]]/tinder[[#This Row],[Days on Tinder]],0)</f>
        <v>58.944444444444443</v>
      </c>
      <c r="E37">
        <f>tinder[[#This Row],[Engagement]]/MAX(tinder[Engagement])</f>
        <v>0.29620323841429369</v>
      </c>
      <c r="F3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37">
        <v>24</v>
      </c>
      <c r="H37">
        <f>IFERROR(tinder[[#This Row],[Conversations]]/tinder[[#This Row],[Tinder Opened]],0)</f>
        <v>1.1310084825636193E-2</v>
      </c>
      <c r="I37">
        <f>tinder[[#This Row],[Conversations]]/MAX(tinder[Conversations])</f>
        <v>1.8984337921214998E-3</v>
      </c>
      <c r="J37">
        <f>(tinder[[#This Row],[Norm Engagement]]*2)+(tinder[[#This Row],[Norm Swipes]]*1)+(tinder[[#This Row],[Norm Conversations]]*2)</f>
        <v>0.60028196687046553</v>
      </c>
      <c r="K3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7">
        <v>8</v>
      </c>
      <c r="M37">
        <v>2</v>
      </c>
      <c r="N37">
        <v>35</v>
      </c>
      <c r="O37">
        <v>152</v>
      </c>
      <c r="P37">
        <v>158</v>
      </c>
      <c r="Q37">
        <f>tinder[[#This Row],[All Swipes]]/MAX(tinder[All Swipes])</f>
        <v>4.0786224576351057E-3</v>
      </c>
      <c r="R37">
        <f>tinder[[#This Row],[Swipe Right (LIKE)]]+tinder[[#This Row],[Swipe Left (PASS)]]</f>
        <v>3462</v>
      </c>
      <c r="S37">
        <v>1474</v>
      </c>
      <c r="T37">
        <v>1988</v>
      </c>
      <c r="U37" t="s">
        <v>8</v>
      </c>
      <c r="V37" s="1">
        <v>44148</v>
      </c>
      <c r="W37" t="s">
        <v>12</v>
      </c>
      <c r="X37" t="s">
        <v>1295</v>
      </c>
      <c r="Y37" t="s">
        <v>8</v>
      </c>
      <c r="Z37">
        <v>21</v>
      </c>
      <c r="AA3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8" spans="1:27" x14ac:dyDescent="0.3">
      <c r="A38" t="s">
        <v>1277</v>
      </c>
      <c r="B38">
        <v>15651</v>
      </c>
      <c r="C38">
        <v>269</v>
      </c>
      <c r="D38">
        <f>IFERROR(tinder[[#This Row],[Tinder Opened]]/tinder[[#This Row],[Days on Tinder]],0)</f>
        <v>58.182156133828997</v>
      </c>
      <c r="E38">
        <f>tinder[[#This Row],[Engagement]]/MAX(tinder[Engagement])</f>
        <v>0.29237264388858791</v>
      </c>
      <c r="F3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38">
        <v>570</v>
      </c>
      <c r="H38">
        <f>IFERROR(tinder[[#This Row],[Conversations]]/tinder[[#This Row],[Tinder Opened]],0)</f>
        <v>3.6419398121525781E-2</v>
      </c>
      <c r="I38">
        <f>tinder[[#This Row],[Conversations]]/MAX(tinder[Conversations])</f>
        <v>4.5087802562885616E-2</v>
      </c>
      <c r="J38">
        <f>(tinder[[#This Row],[Norm Engagement]]*2)+(tinder[[#This Row],[Norm Swipes]]*1)+(tinder[[#This Row],[Norm Conversations]]*2)</f>
        <v>0.72710888181927291</v>
      </c>
      <c r="K3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8">
        <v>221</v>
      </c>
      <c r="M38">
        <v>2</v>
      </c>
      <c r="N38">
        <v>408</v>
      </c>
      <c r="O38">
        <v>9385</v>
      </c>
      <c r="P38">
        <v>8799</v>
      </c>
      <c r="Q38">
        <f>tinder[[#This Row],[All Swipes]]/MAX(tinder[All Swipes])</f>
        <v>5.2187988916325798E-2</v>
      </c>
      <c r="R38">
        <f>tinder[[#This Row],[Swipe Right (LIKE)]]+tinder[[#This Row],[Swipe Left (PASS)]]</f>
        <v>44298</v>
      </c>
      <c r="S38">
        <v>10186</v>
      </c>
      <c r="T38">
        <v>34112</v>
      </c>
      <c r="U38" t="s">
        <v>61</v>
      </c>
      <c r="V38" s="1">
        <v>44027</v>
      </c>
      <c r="W38" t="s">
        <v>12</v>
      </c>
      <c r="X38" t="s">
        <v>1295</v>
      </c>
      <c r="Y38" t="s">
        <v>8</v>
      </c>
      <c r="Z38">
        <v>21</v>
      </c>
      <c r="AA3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9" spans="1:27" x14ac:dyDescent="0.3">
      <c r="A39" t="s">
        <v>208</v>
      </c>
      <c r="B39">
        <v>1509</v>
      </c>
      <c r="C39">
        <v>26</v>
      </c>
      <c r="D39">
        <f>IFERROR(tinder[[#This Row],[Tinder Opened]]/tinder[[#This Row],[Days on Tinder]],0)</f>
        <v>58.03846153846154</v>
      </c>
      <c r="E39">
        <f>tinder[[#This Row],[Engagement]]/MAX(tinder[Engagement])</f>
        <v>0.29165056049478161</v>
      </c>
      <c r="F3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39">
        <v>34</v>
      </c>
      <c r="H39">
        <f>IFERROR(tinder[[#This Row],[Conversations]]/tinder[[#This Row],[Tinder Opened]],0)</f>
        <v>2.2531477799867462E-2</v>
      </c>
      <c r="I39">
        <f>tinder[[#This Row],[Conversations]]/MAX(tinder[Conversations])</f>
        <v>2.6894478721721246E-3</v>
      </c>
      <c r="J39">
        <f>(tinder[[#This Row],[Norm Engagement]]*2)+(tinder[[#This Row],[Norm Swipes]]*1)+(tinder[[#This Row],[Norm Conversations]]*2)</f>
        <v>0.61154716344179227</v>
      </c>
      <c r="K3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9">
        <v>6</v>
      </c>
      <c r="M39">
        <v>11</v>
      </c>
      <c r="N39">
        <v>149</v>
      </c>
      <c r="O39">
        <v>65</v>
      </c>
      <c r="P39">
        <v>111</v>
      </c>
      <c r="Q39">
        <f>tinder[[#This Row],[All Swipes]]/MAX(tinder[All Swipes])</f>
        <v>2.2867146707884867E-2</v>
      </c>
      <c r="R39">
        <f>tinder[[#This Row],[Swipe Right (LIKE)]]+tinder[[#This Row],[Swipe Left (PASS)]]</f>
        <v>19410</v>
      </c>
      <c r="S39">
        <v>719</v>
      </c>
      <c r="T39">
        <v>18691</v>
      </c>
      <c r="U39" t="s">
        <v>8</v>
      </c>
      <c r="V39" s="1">
        <v>44089</v>
      </c>
      <c r="W39" t="s">
        <v>12</v>
      </c>
      <c r="X39" t="s">
        <v>1296</v>
      </c>
      <c r="Y39" t="s">
        <v>209</v>
      </c>
      <c r="Z39">
        <v>33</v>
      </c>
      <c r="AA39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40" spans="1:27" x14ac:dyDescent="0.3">
      <c r="A40" t="s">
        <v>457</v>
      </c>
      <c r="B40">
        <v>1354</v>
      </c>
      <c r="C40">
        <v>24</v>
      </c>
      <c r="D40">
        <f>IFERROR(tinder[[#This Row],[Tinder Opened]]/tinder[[#This Row],[Days on Tinder]],0)</f>
        <v>56.416666666666664</v>
      </c>
      <c r="E40">
        <f>tinder[[#This Row],[Engagement]]/MAX(tinder[Engagement])</f>
        <v>0.28350083752093802</v>
      </c>
      <c r="F4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40">
        <v>13</v>
      </c>
      <c r="H40">
        <f>IFERROR(tinder[[#This Row],[Conversations]]/tinder[[#This Row],[Tinder Opened]],0)</f>
        <v>9.6011816838995571E-3</v>
      </c>
      <c r="I40">
        <f>tinder[[#This Row],[Conversations]]/MAX(tinder[Conversations])</f>
        <v>1.0283183040658123E-3</v>
      </c>
      <c r="J40">
        <f>(tinder[[#This Row],[Norm Engagement]]*2)+(tinder[[#This Row],[Norm Swipes]]*1)+(tinder[[#This Row],[Norm Conversations]]*2)</f>
        <v>0.58975891107320422</v>
      </c>
      <c r="K4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0">
        <v>0</v>
      </c>
      <c r="M40">
        <v>5</v>
      </c>
      <c r="N40">
        <v>33</v>
      </c>
      <c r="O40">
        <v>83</v>
      </c>
      <c r="P40">
        <v>51</v>
      </c>
      <c r="Q40">
        <f>tinder[[#This Row],[All Swipes]]/MAX(tinder[All Swipes])</f>
        <v>2.0700599423196547E-2</v>
      </c>
      <c r="R40">
        <f>tinder[[#This Row],[Swipe Right (LIKE)]]+tinder[[#This Row],[Swipe Left (PASS)]]</f>
        <v>17571</v>
      </c>
      <c r="S40">
        <v>3146</v>
      </c>
      <c r="T40">
        <v>14425</v>
      </c>
      <c r="U40" t="s">
        <v>10</v>
      </c>
      <c r="V40" s="1">
        <v>44239</v>
      </c>
      <c r="W40" t="s">
        <v>12</v>
      </c>
      <c r="X40" t="s">
        <v>1295</v>
      </c>
      <c r="Y40" t="s">
        <v>458</v>
      </c>
      <c r="Z40">
        <v>25</v>
      </c>
      <c r="AA4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1" spans="1:27" x14ac:dyDescent="0.3">
      <c r="A41" t="s">
        <v>365</v>
      </c>
      <c r="B41">
        <v>3888</v>
      </c>
      <c r="C41">
        <v>69</v>
      </c>
      <c r="D41">
        <f>IFERROR(tinder[[#This Row],[Tinder Opened]]/tinder[[#This Row],[Days on Tinder]],0)</f>
        <v>56.347826086956523</v>
      </c>
      <c r="E41">
        <f>tinder[[#This Row],[Engagement]]/MAX(tinder[Engagement])</f>
        <v>0.28315490495958051</v>
      </c>
      <c r="F4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41">
        <v>86</v>
      </c>
      <c r="H41">
        <f>IFERROR(tinder[[#This Row],[Conversations]]/tinder[[#This Row],[Tinder Opened]],0)</f>
        <v>2.2119341563786008E-2</v>
      </c>
      <c r="I41">
        <f>tinder[[#This Row],[Conversations]]/MAX(tinder[Conversations])</f>
        <v>6.8027210884353739E-3</v>
      </c>
      <c r="J41">
        <f>(tinder[[#This Row],[Norm Engagement]]*2)+(tinder[[#This Row],[Norm Swipes]]*1)+(tinder[[#This Row],[Norm Conversations]]*2)</f>
        <v>0.62735662926140101</v>
      </c>
      <c r="K4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1">
        <v>26</v>
      </c>
      <c r="M41">
        <v>0</v>
      </c>
      <c r="N41">
        <v>93</v>
      </c>
      <c r="O41">
        <v>827</v>
      </c>
      <c r="P41">
        <v>512</v>
      </c>
      <c r="Q41">
        <f>tinder[[#This Row],[All Swipes]]/MAX(tinder[All Swipes])</f>
        <v>4.744137716536917E-2</v>
      </c>
      <c r="R41">
        <f>tinder[[#This Row],[Swipe Right (LIKE)]]+tinder[[#This Row],[Swipe Left (PASS)]]</f>
        <v>40269</v>
      </c>
      <c r="S41">
        <v>3243</v>
      </c>
      <c r="T41">
        <v>37026</v>
      </c>
      <c r="U41" t="s">
        <v>8</v>
      </c>
      <c r="V41" s="1">
        <v>44153</v>
      </c>
      <c r="W41" t="s">
        <v>12</v>
      </c>
      <c r="X41" t="s">
        <v>1295</v>
      </c>
      <c r="Y41" t="s">
        <v>19</v>
      </c>
      <c r="Z41">
        <v>24</v>
      </c>
      <c r="AA4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2" spans="1:27" x14ac:dyDescent="0.3">
      <c r="A42" t="s">
        <v>450</v>
      </c>
      <c r="B42">
        <v>55</v>
      </c>
      <c r="C42">
        <v>1</v>
      </c>
      <c r="D42">
        <f>IFERROR(tinder[[#This Row],[Tinder Opened]]/tinder[[#This Row],[Days on Tinder]],0)</f>
        <v>55</v>
      </c>
      <c r="E42">
        <f>tinder[[#This Row],[Engagement]]/MAX(tinder[Engagement])</f>
        <v>0.27638190954773867</v>
      </c>
      <c r="F4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42">
        <v>0</v>
      </c>
      <c r="H42">
        <f>IFERROR(tinder[[#This Row],[Conversations]]/tinder[[#This Row],[Tinder Opened]],0)</f>
        <v>0</v>
      </c>
      <c r="I42">
        <f>tinder[[#This Row],[Conversations]]/MAX(tinder[Conversations])</f>
        <v>0</v>
      </c>
      <c r="J42">
        <f>(tinder[[#This Row],[Norm Engagement]]*2)+(tinder[[#This Row],[Norm Swipes]]*1)+(tinder[[#This Row],[Norm Conversations]]*2)</f>
        <v>0.55672109605538389</v>
      </c>
      <c r="K4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2">
        <v>0</v>
      </c>
      <c r="M42">
        <v>0</v>
      </c>
      <c r="N42">
        <v>2</v>
      </c>
      <c r="O42">
        <v>0</v>
      </c>
      <c r="P42">
        <v>0</v>
      </c>
      <c r="Q42">
        <f>tinder[[#This Row],[All Swipes]]/MAX(tinder[All Swipes])</f>
        <v>3.957276959906505E-3</v>
      </c>
      <c r="R42">
        <f>tinder[[#This Row],[Swipe Right (LIKE)]]+tinder[[#This Row],[Swipe Left (PASS)]]</f>
        <v>3359</v>
      </c>
      <c r="S42">
        <v>30</v>
      </c>
      <c r="T42">
        <v>3329</v>
      </c>
      <c r="U42" t="s">
        <v>8</v>
      </c>
      <c r="V42" s="1">
        <v>44256</v>
      </c>
      <c r="W42" t="s">
        <v>12</v>
      </c>
      <c r="X42" t="s">
        <v>1295</v>
      </c>
      <c r="Y42" t="s">
        <v>8</v>
      </c>
      <c r="Z42">
        <v>21</v>
      </c>
      <c r="AA4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3" spans="1:27" x14ac:dyDescent="0.3">
      <c r="A43" t="s">
        <v>832</v>
      </c>
      <c r="B43">
        <v>4429</v>
      </c>
      <c r="C43">
        <v>82</v>
      </c>
      <c r="D43">
        <f>IFERROR(tinder[[#This Row],[Tinder Opened]]/tinder[[#This Row],[Days on Tinder]],0)</f>
        <v>54.012195121951223</v>
      </c>
      <c r="E43">
        <f>tinder[[#This Row],[Engagement]]/MAX(tinder[Engagement])</f>
        <v>0.27141806593945339</v>
      </c>
      <c r="F4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43">
        <v>169</v>
      </c>
      <c r="H43">
        <f>IFERROR(tinder[[#This Row],[Conversations]]/tinder[[#This Row],[Tinder Opened]],0)</f>
        <v>3.8157597651840146E-2</v>
      </c>
      <c r="I43">
        <f>tinder[[#This Row],[Conversations]]/MAX(tinder[Conversations])</f>
        <v>1.3368137952855561E-2</v>
      </c>
      <c r="J43">
        <f>(tinder[[#This Row],[Norm Engagement]]*2)+(tinder[[#This Row],[Norm Swipes]]*1)+(tinder[[#This Row],[Norm Conversations]]*2)</f>
        <v>0.6021907844410429</v>
      </c>
      <c r="K4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3">
        <v>69</v>
      </c>
      <c r="M43">
        <v>3</v>
      </c>
      <c r="N43">
        <v>322</v>
      </c>
      <c r="O43">
        <v>909</v>
      </c>
      <c r="P43">
        <v>691</v>
      </c>
      <c r="Q43">
        <f>tinder[[#This Row],[All Swipes]]/MAX(tinder[All Swipes])</f>
        <v>3.2618376656424947E-2</v>
      </c>
      <c r="R43">
        <f>tinder[[#This Row],[Swipe Right (LIKE)]]+tinder[[#This Row],[Swipe Left (PASS)]]</f>
        <v>27687</v>
      </c>
      <c r="S43">
        <v>7170</v>
      </c>
      <c r="T43">
        <v>20517</v>
      </c>
      <c r="U43" t="s">
        <v>8</v>
      </c>
      <c r="V43" s="1">
        <v>44217</v>
      </c>
      <c r="W43" t="s">
        <v>12</v>
      </c>
      <c r="X43" t="s">
        <v>1295</v>
      </c>
      <c r="Y43" t="s">
        <v>8</v>
      </c>
      <c r="Z43">
        <v>19</v>
      </c>
      <c r="AA4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4" spans="1:27" x14ac:dyDescent="0.3">
      <c r="A44" t="s">
        <v>834</v>
      </c>
      <c r="B44">
        <v>2456</v>
      </c>
      <c r="C44">
        <v>46</v>
      </c>
      <c r="D44">
        <f>IFERROR(tinder[[#This Row],[Tinder Opened]]/tinder[[#This Row],[Days on Tinder]],0)</f>
        <v>53.391304347826086</v>
      </c>
      <c r="E44">
        <f>tinder[[#This Row],[Engagement]]/MAX(tinder[Engagement])</f>
        <v>0.26829801179812102</v>
      </c>
      <c r="F4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44">
        <v>26</v>
      </c>
      <c r="H44">
        <f>IFERROR(tinder[[#This Row],[Conversations]]/tinder[[#This Row],[Tinder Opened]],0)</f>
        <v>1.0586319218241042E-2</v>
      </c>
      <c r="I44">
        <f>tinder[[#This Row],[Conversations]]/MAX(tinder[Conversations])</f>
        <v>2.0566366081316246E-3</v>
      </c>
      <c r="J44">
        <f>(tinder[[#This Row],[Norm Engagement]]*2)+(tinder[[#This Row],[Norm Swipes]]*1)+(tinder[[#This Row],[Norm Conversations]]*2)</f>
        <v>0.55315015560875791</v>
      </c>
      <c r="K4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4">
        <v>7</v>
      </c>
      <c r="M44">
        <v>0</v>
      </c>
      <c r="N44">
        <v>124</v>
      </c>
      <c r="O44">
        <v>404</v>
      </c>
      <c r="P44">
        <v>404</v>
      </c>
      <c r="Q44">
        <f>tinder[[#This Row],[All Swipes]]/MAX(tinder[All Swipes])</f>
        <v>1.2440858796252662E-2</v>
      </c>
      <c r="R44">
        <f>tinder[[#This Row],[Swipe Right (LIKE)]]+tinder[[#This Row],[Swipe Left (PASS)]]</f>
        <v>10560</v>
      </c>
      <c r="S44">
        <v>7188</v>
      </c>
      <c r="T44">
        <v>3372</v>
      </c>
      <c r="U44" t="s">
        <v>293</v>
      </c>
      <c r="V44" s="1">
        <v>44208</v>
      </c>
      <c r="W44" t="s">
        <v>12</v>
      </c>
      <c r="X44" t="s">
        <v>1295</v>
      </c>
      <c r="Y44" t="s">
        <v>835</v>
      </c>
      <c r="Z44">
        <v>19</v>
      </c>
      <c r="AA4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5" spans="1:27" x14ac:dyDescent="0.3">
      <c r="A45" t="s">
        <v>210</v>
      </c>
      <c r="B45">
        <v>5631</v>
      </c>
      <c r="C45">
        <v>107</v>
      </c>
      <c r="D45">
        <f>IFERROR(tinder[[#This Row],[Tinder Opened]]/tinder[[#This Row],[Days on Tinder]],0)</f>
        <v>52.626168224299064</v>
      </c>
      <c r="E45">
        <f>tinder[[#This Row],[Engagement]]/MAX(tinder[Engagement])</f>
        <v>0.26445310665476918</v>
      </c>
      <c r="F4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45">
        <v>216</v>
      </c>
      <c r="H45">
        <f>IFERROR(tinder[[#This Row],[Conversations]]/tinder[[#This Row],[Tinder Opened]],0)</f>
        <v>3.8359083644112946E-2</v>
      </c>
      <c r="I45">
        <f>tinder[[#This Row],[Conversations]]/MAX(tinder[Conversations])</f>
        <v>1.7085904129093499E-2</v>
      </c>
      <c r="J45">
        <f>(tinder[[#This Row],[Norm Engagement]]*2)+(tinder[[#This Row],[Norm Swipes]]*1)+(tinder[[#This Row],[Norm Conversations]]*2)</f>
        <v>0.60366278905561432</v>
      </c>
      <c r="K4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5">
        <v>81</v>
      </c>
      <c r="M45">
        <v>38</v>
      </c>
      <c r="N45">
        <v>489</v>
      </c>
      <c r="O45">
        <v>812</v>
      </c>
      <c r="P45">
        <v>719</v>
      </c>
      <c r="Q45">
        <f>tinder[[#This Row],[All Swipes]]/MAX(tinder[All Swipes])</f>
        <v>4.0584767487889015E-2</v>
      </c>
      <c r="R45">
        <f>tinder[[#This Row],[Swipe Right (LIKE)]]+tinder[[#This Row],[Swipe Left (PASS)]]</f>
        <v>34449</v>
      </c>
      <c r="S45">
        <v>18039</v>
      </c>
      <c r="T45">
        <v>16410</v>
      </c>
      <c r="U45" t="s">
        <v>27</v>
      </c>
      <c r="V45" s="1">
        <v>44141</v>
      </c>
      <c r="W45" t="s">
        <v>12</v>
      </c>
      <c r="X45" t="s">
        <v>1295</v>
      </c>
      <c r="Y45" t="s">
        <v>8</v>
      </c>
      <c r="Z45">
        <v>26</v>
      </c>
      <c r="AA4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6" spans="1:27" x14ac:dyDescent="0.3">
      <c r="A46" t="s">
        <v>392</v>
      </c>
      <c r="B46">
        <v>2000</v>
      </c>
      <c r="C46">
        <v>39</v>
      </c>
      <c r="D46">
        <f>IFERROR(tinder[[#This Row],[Tinder Opened]]/tinder[[#This Row],[Days on Tinder]],0)</f>
        <v>51.282051282051285</v>
      </c>
      <c r="E46">
        <f>tinder[[#This Row],[Engagement]]/MAX(tinder[Engagement])</f>
        <v>0.25769875016106175</v>
      </c>
      <c r="F4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46">
        <v>8</v>
      </c>
      <c r="H46">
        <f>IFERROR(tinder[[#This Row],[Conversations]]/tinder[[#This Row],[Tinder Opened]],0)</f>
        <v>4.0000000000000001E-3</v>
      </c>
      <c r="I46">
        <f>tinder[[#This Row],[Conversations]]/MAX(tinder[Conversations])</f>
        <v>6.3281126404049991E-4</v>
      </c>
      <c r="J46">
        <f>(tinder[[#This Row],[Norm Engagement]]*2)+(tinder[[#This Row],[Norm Swipes]]*1)+(tinder[[#This Row],[Norm Conversations]]*2)</f>
        <v>0.52080300711251815</v>
      </c>
      <c r="K4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6">
        <v>1</v>
      </c>
      <c r="M46">
        <v>0</v>
      </c>
      <c r="N46">
        <v>28</v>
      </c>
      <c r="O46">
        <v>171</v>
      </c>
      <c r="P46">
        <v>185</v>
      </c>
      <c r="Q46">
        <f>tinder[[#This Row],[All Swipes]]/MAX(tinder[All Swipes])</f>
        <v>4.139884262313623E-3</v>
      </c>
      <c r="R46">
        <f>tinder[[#This Row],[Swipe Right (LIKE)]]+tinder[[#This Row],[Swipe Left (PASS)]]</f>
        <v>3514</v>
      </c>
      <c r="S46">
        <v>477</v>
      </c>
      <c r="T46">
        <v>3037</v>
      </c>
      <c r="U46" t="s">
        <v>122</v>
      </c>
      <c r="V46" s="1">
        <v>44188</v>
      </c>
      <c r="W46" t="s">
        <v>12</v>
      </c>
      <c r="X46" t="s">
        <v>1295</v>
      </c>
      <c r="Y46" t="s">
        <v>8</v>
      </c>
      <c r="Z46">
        <v>22</v>
      </c>
      <c r="AA4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7" spans="1:27" x14ac:dyDescent="0.3">
      <c r="A47" t="s">
        <v>586</v>
      </c>
      <c r="B47">
        <v>553</v>
      </c>
      <c r="C47">
        <v>11</v>
      </c>
      <c r="D47">
        <f>IFERROR(tinder[[#This Row],[Tinder Opened]]/tinder[[#This Row],[Days on Tinder]],0)</f>
        <v>50.272727272727273</v>
      </c>
      <c r="E47">
        <f>tinder[[#This Row],[Engagement]]/MAX(tinder[Engagement])</f>
        <v>0.25262677021470992</v>
      </c>
      <c r="F4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47">
        <v>14</v>
      </c>
      <c r="H47">
        <f>IFERROR(tinder[[#This Row],[Conversations]]/tinder[[#This Row],[Tinder Opened]],0)</f>
        <v>2.5316455696202531E-2</v>
      </c>
      <c r="I47">
        <f>tinder[[#This Row],[Conversations]]/MAX(tinder[Conversations])</f>
        <v>1.1074197120708748E-3</v>
      </c>
      <c r="J47">
        <f>(tinder[[#This Row],[Norm Engagement]]*2)+(tinder[[#This Row],[Norm Swipes]]*1)+(tinder[[#This Row],[Norm Conversations]]*2)</f>
        <v>0.50874074041226924</v>
      </c>
      <c r="K4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7">
        <v>4</v>
      </c>
      <c r="M47">
        <v>0</v>
      </c>
      <c r="N47">
        <v>16</v>
      </c>
      <c r="O47">
        <v>116</v>
      </c>
      <c r="P47">
        <v>108</v>
      </c>
      <c r="Q47">
        <f>tinder[[#This Row],[All Swipes]]/MAX(tinder[All Swipes])</f>
        <v>1.2723605587076586E-3</v>
      </c>
      <c r="R47">
        <f>tinder[[#This Row],[Swipe Right (LIKE)]]+tinder[[#This Row],[Swipe Left (PASS)]]</f>
        <v>1080</v>
      </c>
      <c r="S47">
        <v>257</v>
      </c>
      <c r="T47">
        <v>823</v>
      </c>
      <c r="U47" t="s">
        <v>10</v>
      </c>
      <c r="V47" s="1">
        <v>44261</v>
      </c>
      <c r="W47" t="s">
        <v>12</v>
      </c>
      <c r="X47" t="s">
        <v>1295</v>
      </c>
      <c r="Y47" t="s">
        <v>587</v>
      </c>
      <c r="Z47">
        <v>25</v>
      </c>
      <c r="AA4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8" spans="1:27" x14ac:dyDescent="0.3">
      <c r="A48" t="s">
        <v>59</v>
      </c>
      <c r="B48">
        <v>450</v>
      </c>
      <c r="C48">
        <v>9</v>
      </c>
      <c r="D48">
        <f>IFERROR(tinder[[#This Row],[Tinder Opened]]/tinder[[#This Row],[Days on Tinder]],0)</f>
        <v>50</v>
      </c>
      <c r="E48">
        <f>tinder[[#This Row],[Engagement]]/MAX(tinder[Engagement])</f>
        <v>0.25125628140703515</v>
      </c>
      <c r="F4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48">
        <v>15</v>
      </c>
      <c r="H48">
        <f>IFERROR(tinder[[#This Row],[Conversations]]/tinder[[#This Row],[Tinder Opened]],0)</f>
        <v>3.3333333333333333E-2</v>
      </c>
      <c r="I48">
        <f>tinder[[#This Row],[Conversations]]/MAX(tinder[Conversations])</f>
        <v>1.1865211200759373E-3</v>
      </c>
      <c r="J48">
        <f>(tinder[[#This Row],[Norm Engagement]]*2)+(tinder[[#This Row],[Norm Swipes]]*1)+(tinder[[#This Row],[Norm Conversations]]*2)</f>
        <v>0.51652770416639726</v>
      </c>
      <c r="K4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8">
        <v>1</v>
      </c>
      <c r="M48">
        <v>7</v>
      </c>
      <c r="N48">
        <v>54</v>
      </c>
      <c r="O48">
        <v>91</v>
      </c>
      <c r="P48">
        <v>139</v>
      </c>
      <c r="Q48">
        <f>tinder[[#This Row],[All Swipes]]/MAX(tinder[All Swipes])</f>
        <v>1.1642099112175076E-2</v>
      </c>
      <c r="R48">
        <f>tinder[[#This Row],[Swipe Right (LIKE)]]+tinder[[#This Row],[Swipe Left (PASS)]]</f>
        <v>9882</v>
      </c>
      <c r="S48">
        <v>147</v>
      </c>
      <c r="T48">
        <v>9735</v>
      </c>
      <c r="U48" t="s">
        <v>8</v>
      </c>
      <c r="V48" s="1">
        <v>44007</v>
      </c>
      <c r="W48" t="s">
        <v>12</v>
      </c>
      <c r="X48" t="s">
        <v>1296</v>
      </c>
      <c r="Y48" t="s">
        <v>8</v>
      </c>
      <c r="Z48">
        <v>28</v>
      </c>
      <c r="AA4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9" spans="1:27" x14ac:dyDescent="0.3">
      <c r="A49" t="s">
        <v>310</v>
      </c>
      <c r="B49">
        <v>2570</v>
      </c>
      <c r="C49">
        <v>52</v>
      </c>
      <c r="D49">
        <f>IFERROR(tinder[[#This Row],[Tinder Opened]]/tinder[[#This Row],[Days on Tinder]],0)</f>
        <v>49.42307692307692</v>
      </c>
      <c r="E49">
        <f>tinder[[#This Row],[Engagement]]/MAX(tinder[Engagement])</f>
        <v>0.24835717046772321</v>
      </c>
      <c r="F4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49">
        <v>87</v>
      </c>
      <c r="H49">
        <f>IFERROR(tinder[[#This Row],[Conversations]]/tinder[[#This Row],[Tinder Opened]],0)</f>
        <v>3.3852140077821009E-2</v>
      </c>
      <c r="I49">
        <f>tinder[[#This Row],[Conversations]]/MAX(tinder[Conversations])</f>
        <v>6.8818224964404366E-3</v>
      </c>
      <c r="J49">
        <f>(tinder[[#This Row],[Norm Engagement]]*2)+(tinder[[#This Row],[Norm Swipes]]*1)+(tinder[[#This Row],[Norm Conversations]]*2)</f>
        <v>0.51924549266712583</v>
      </c>
      <c r="K4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9">
        <v>13</v>
      </c>
      <c r="M49">
        <v>22</v>
      </c>
      <c r="N49">
        <v>374</v>
      </c>
      <c r="O49">
        <v>978</v>
      </c>
      <c r="P49">
        <v>1070</v>
      </c>
      <c r="Q49">
        <f>tinder[[#This Row],[All Swipes]]/MAX(tinder[All Swipes])</f>
        <v>8.767506738798515E-3</v>
      </c>
      <c r="R49">
        <f>tinder[[#This Row],[Swipe Right (LIKE)]]+tinder[[#This Row],[Swipe Left (PASS)]]</f>
        <v>7442</v>
      </c>
      <c r="S49">
        <v>1629</v>
      </c>
      <c r="T49">
        <v>5813</v>
      </c>
      <c r="U49" t="s">
        <v>311</v>
      </c>
      <c r="V49" s="1">
        <v>44138</v>
      </c>
      <c r="W49" t="s">
        <v>12</v>
      </c>
      <c r="X49" t="s">
        <v>1295</v>
      </c>
      <c r="Y49" t="s">
        <v>8</v>
      </c>
      <c r="Z49">
        <v>22</v>
      </c>
      <c r="AA4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0" spans="1:27" x14ac:dyDescent="0.3">
      <c r="A50" t="s">
        <v>304</v>
      </c>
      <c r="B50">
        <v>3845</v>
      </c>
      <c r="C50">
        <v>78</v>
      </c>
      <c r="D50">
        <f>IFERROR(tinder[[#This Row],[Tinder Opened]]/tinder[[#This Row],[Days on Tinder]],0)</f>
        <v>49.294871794871796</v>
      </c>
      <c r="E50">
        <f>tinder[[#This Row],[Engagement]]/MAX(tinder[Engagement])</f>
        <v>0.24771292359232058</v>
      </c>
      <c r="F5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50">
        <v>66</v>
      </c>
      <c r="H50">
        <f>IFERROR(tinder[[#This Row],[Conversations]]/tinder[[#This Row],[Tinder Opened]],0)</f>
        <v>1.7165149544863458E-2</v>
      </c>
      <c r="I50">
        <f>tinder[[#This Row],[Conversations]]/MAX(tinder[Conversations])</f>
        <v>5.2206929283341247E-3</v>
      </c>
      <c r="J50">
        <f>(tinder[[#This Row],[Norm Engagement]]*2)+(tinder[[#This Row],[Norm Swipes]]*1)+(tinder[[#This Row],[Norm Conversations]]*2)</f>
        <v>0.52473233454740731</v>
      </c>
      <c r="K5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0">
        <v>34</v>
      </c>
      <c r="M50">
        <v>1</v>
      </c>
      <c r="N50">
        <v>56</v>
      </c>
      <c r="O50">
        <v>352</v>
      </c>
      <c r="P50">
        <v>272</v>
      </c>
      <c r="Q50">
        <f>tinder[[#This Row],[All Swipes]]/MAX(tinder[All Swipes])</f>
        <v>1.8865101506097905E-2</v>
      </c>
      <c r="R50">
        <f>tinder[[#This Row],[Swipe Right (LIKE)]]+tinder[[#This Row],[Swipe Left (PASS)]]</f>
        <v>16013</v>
      </c>
      <c r="S50">
        <v>3604</v>
      </c>
      <c r="T50">
        <v>12409</v>
      </c>
      <c r="U50" t="s">
        <v>10</v>
      </c>
      <c r="V50" s="1">
        <v>44109</v>
      </c>
      <c r="W50" t="s">
        <v>12</v>
      </c>
      <c r="X50" t="s">
        <v>1295</v>
      </c>
      <c r="Y50" t="s">
        <v>19</v>
      </c>
      <c r="Z50">
        <v>23</v>
      </c>
      <c r="AA5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1" spans="1:27" x14ac:dyDescent="0.3">
      <c r="A51" t="s">
        <v>569</v>
      </c>
      <c r="B51">
        <v>831</v>
      </c>
      <c r="C51">
        <v>17</v>
      </c>
      <c r="D51">
        <f>IFERROR(tinder[[#This Row],[Tinder Opened]]/tinder[[#This Row],[Days on Tinder]],0)</f>
        <v>48.882352941176471</v>
      </c>
      <c r="E51">
        <f>tinder[[#This Row],[Engagement]]/MAX(tinder[Engagement])</f>
        <v>0.24563996452852499</v>
      </c>
      <c r="F5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51">
        <v>2</v>
      </c>
      <c r="H51">
        <f>IFERROR(tinder[[#This Row],[Conversations]]/tinder[[#This Row],[Tinder Opened]],0)</f>
        <v>2.4067388688327317E-3</v>
      </c>
      <c r="I51">
        <f>tinder[[#This Row],[Conversations]]/MAX(tinder[Conversations])</f>
        <v>1.5820281601012498E-4</v>
      </c>
      <c r="J51">
        <f>(tinder[[#This Row],[Norm Engagement]]*2)+(tinder[[#This Row],[Norm Swipes]]*1)+(tinder[[#This Row],[Norm Conversations]]*2)</f>
        <v>0.49436843135077313</v>
      </c>
      <c r="K5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1">
        <v>0</v>
      </c>
      <c r="M51">
        <v>0</v>
      </c>
      <c r="N51">
        <v>2</v>
      </c>
      <c r="O51">
        <v>98</v>
      </c>
      <c r="P51">
        <v>59</v>
      </c>
      <c r="Q51">
        <f>tinder[[#This Row],[All Swipes]]/MAX(tinder[All Swipes])</f>
        <v>2.7720966617028895E-3</v>
      </c>
      <c r="R51">
        <f>tinder[[#This Row],[Swipe Right (LIKE)]]+tinder[[#This Row],[Swipe Left (PASS)]]</f>
        <v>2353</v>
      </c>
      <c r="S51">
        <v>592</v>
      </c>
      <c r="T51">
        <v>1761</v>
      </c>
      <c r="U51" t="s">
        <v>197</v>
      </c>
      <c r="V51" s="1">
        <v>44264</v>
      </c>
      <c r="W51" t="s">
        <v>12</v>
      </c>
      <c r="X51" t="s">
        <v>1295</v>
      </c>
      <c r="Y51" t="s">
        <v>570</v>
      </c>
      <c r="Z51">
        <v>19</v>
      </c>
      <c r="AA5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2" spans="1:27" x14ac:dyDescent="0.3">
      <c r="A52" t="s">
        <v>606</v>
      </c>
      <c r="B52">
        <v>1106</v>
      </c>
      <c r="C52">
        <v>23</v>
      </c>
      <c r="D52">
        <f>IFERROR(tinder[[#This Row],[Tinder Opened]]/tinder[[#This Row],[Days on Tinder]],0)</f>
        <v>48.086956521739133</v>
      </c>
      <c r="E52">
        <f>tinder[[#This Row],[Engagement]]/MAX(tinder[Engagement])</f>
        <v>0.24164299759667907</v>
      </c>
      <c r="F5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52">
        <v>10</v>
      </c>
      <c r="H52">
        <f>IFERROR(tinder[[#This Row],[Conversations]]/tinder[[#This Row],[Tinder Opened]],0)</f>
        <v>9.0415913200723331E-3</v>
      </c>
      <c r="I52">
        <f>tinder[[#This Row],[Conversations]]/MAX(tinder[Conversations])</f>
        <v>7.9101408005062491E-4</v>
      </c>
      <c r="J52">
        <f>(tinder[[#This Row],[Norm Engagement]]*2)+(tinder[[#This Row],[Norm Swipes]]*1)+(tinder[[#This Row],[Norm Conversations]]*2)</f>
        <v>0.48935662865778917</v>
      </c>
      <c r="K5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2">
        <v>5</v>
      </c>
      <c r="M52">
        <v>0</v>
      </c>
      <c r="N52">
        <v>18</v>
      </c>
      <c r="O52">
        <v>36</v>
      </c>
      <c r="P52">
        <v>20</v>
      </c>
      <c r="Q52">
        <f>tinder[[#This Row],[All Swipes]]/MAX(tinder[All Swipes])</f>
        <v>4.4886053043297963E-3</v>
      </c>
      <c r="R52">
        <f>tinder[[#This Row],[Swipe Right (LIKE)]]+tinder[[#This Row],[Swipe Left (PASS)]]</f>
        <v>3810</v>
      </c>
      <c r="S52">
        <v>2347</v>
      </c>
      <c r="T52">
        <v>1463</v>
      </c>
      <c r="U52" t="s">
        <v>311</v>
      </c>
      <c r="V52" s="1">
        <v>44220</v>
      </c>
      <c r="W52" t="s">
        <v>12</v>
      </c>
      <c r="X52" t="s">
        <v>1295</v>
      </c>
      <c r="Y52" t="s">
        <v>19</v>
      </c>
      <c r="Z52">
        <v>20</v>
      </c>
      <c r="AA5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3" spans="1:27" x14ac:dyDescent="0.3">
      <c r="A53" t="s">
        <v>642</v>
      </c>
      <c r="B53">
        <v>2252</v>
      </c>
      <c r="C53">
        <v>47</v>
      </c>
      <c r="D53">
        <f>IFERROR(tinder[[#This Row],[Tinder Opened]]/tinder[[#This Row],[Days on Tinder]],0)</f>
        <v>47.914893617021278</v>
      </c>
      <c r="E53">
        <f>tinder[[#This Row],[Engagement]]/MAX(tinder[Engagement])</f>
        <v>0.24077835988452903</v>
      </c>
      <c r="F5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53">
        <v>52</v>
      </c>
      <c r="H53">
        <f>IFERROR(tinder[[#This Row],[Conversations]]/tinder[[#This Row],[Tinder Opened]],0)</f>
        <v>2.3090586145648313E-2</v>
      </c>
      <c r="I53">
        <f>tinder[[#This Row],[Conversations]]/MAX(tinder[Conversations])</f>
        <v>4.1132732162632493E-3</v>
      </c>
      <c r="J53">
        <f>(tinder[[#This Row],[Norm Engagement]]*2)+(tinder[[#This Row],[Norm Swipes]]*1)+(tinder[[#This Row],[Norm Conversations]]*2)</f>
        <v>0.50581972168781475</v>
      </c>
      <c r="K5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3">
        <v>15</v>
      </c>
      <c r="M53">
        <v>1</v>
      </c>
      <c r="N53">
        <v>75</v>
      </c>
      <c r="O53">
        <v>555</v>
      </c>
      <c r="P53">
        <v>640</v>
      </c>
      <c r="Q53">
        <f>tinder[[#This Row],[All Swipes]]/MAX(tinder[All Swipes])</f>
        <v>1.6036455486230231E-2</v>
      </c>
      <c r="R53">
        <f>tinder[[#This Row],[Swipe Right (LIKE)]]+tinder[[#This Row],[Swipe Left (PASS)]]</f>
        <v>13612</v>
      </c>
      <c r="S53">
        <v>1946</v>
      </c>
      <c r="T53">
        <v>11666</v>
      </c>
      <c r="U53" t="s">
        <v>61</v>
      </c>
      <c r="V53" s="1">
        <v>44247</v>
      </c>
      <c r="W53" t="s">
        <v>12</v>
      </c>
      <c r="X53" t="s">
        <v>1295</v>
      </c>
      <c r="Y53" t="s">
        <v>643</v>
      </c>
      <c r="Z53">
        <v>28</v>
      </c>
      <c r="AA5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4" spans="1:27" x14ac:dyDescent="0.3">
      <c r="A54" t="s">
        <v>308</v>
      </c>
      <c r="B54">
        <v>1101</v>
      </c>
      <c r="C54">
        <v>23</v>
      </c>
      <c r="D54">
        <f>IFERROR(tinder[[#This Row],[Tinder Opened]]/tinder[[#This Row],[Days on Tinder]],0)</f>
        <v>47.869565217391305</v>
      </c>
      <c r="E54">
        <f>tinder[[#This Row],[Engagement]]/MAX(tinder[Engagement])</f>
        <v>0.24055057898186585</v>
      </c>
      <c r="F5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54">
        <v>34</v>
      </c>
      <c r="H54">
        <f>IFERROR(tinder[[#This Row],[Conversations]]/tinder[[#This Row],[Tinder Opened]],0)</f>
        <v>3.0881017257039057E-2</v>
      </c>
      <c r="I54">
        <f>tinder[[#This Row],[Conversations]]/MAX(tinder[Conversations])</f>
        <v>2.6894478721721246E-3</v>
      </c>
      <c r="J54">
        <f>(tinder[[#This Row],[Norm Engagement]]*2)+(tinder[[#This Row],[Norm Swipes]]*1)+(tinder[[#This Row],[Norm Conversations]]*2)</f>
        <v>0.501112200133214</v>
      </c>
      <c r="K5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4">
        <v>12</v>
      </c>
      <c r="M54">
        <v>0</v>
      </c>
      <c r="N54">
        <v>40</v>
      </c>
      <c r="O54">
        <v>507</v>
      </c>
      <c r="P54">
        <v>646</v>
      </c>
      <c r="Q54">
        <f>tinder[[#This Row],[All Swipes]]/MAX(tinder[All Swipes])</f>
        <v>1.4632146425138074E-2</v>
      </c>
      <c r="R54">
        <f>tinder[[#This Row],[Swipe Right (LIKE)]]+tinder[[#This Row],[Swipe Left (PASS)]]</f>
        <v>12420</v>
      </c>
      <c r="S54">
        <v>2837</v>
      </c>
      <c r="T54">
        <v>9583</v>
      </c>
      <c r="U54" t="s">
        <v>262</v>
      </c>
      <c r="V54" s="1">
        <v>44165</v>
      </c>
      <c r="W54" t="s">
        <v>12</v>
      </c>
      <c r="X54" t="s">
        <v>1295</v>
      </c>
      <c r="Y54" t="s">
        <v>8</v>
      </c>
      <c r="Z54">
        <v>27</v>
      </c>
      <c r="AA5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5" spans="1:27" x14ac:dyDescent="0.3">
      <c r="A55" t="s">
        <v>694</v>
      </c>
      <c r="B55">
        <v>12873</v>
      </c>
      <c r="C55">
        <v>270</v>
      </c>
      <c r="D55">
        <f>IFERROR(tinder[[#This Row],[Tinder Opened]]/tinder[[#This Row],[Days on Tinder]],0)</f>
        <v>47.677777777777777</v>
      </c>
      <c r="E55">
        <f>tinder[[#This Row],[Engagement]]/MAX(tinder[Engagement])</f>
        <v>0.23958682300390843</v>
      </c>
      <c r="F5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55">
        <v>378</v>
      </c>
      <c r="H55">
        <f>IFERROR(tinder[[#This Row],[Conversations]]/tinder[[#This Row],[Tinder Opened]],0)</f>
        <v>2.936378466557912E-2</v>
      </c>
      <c r="I55">
        <f>tinder[[#This Row],[Conversations]]/MAX(tinder[Conversations])</f>
        <v>2.9900332225913623E-2</v>
      </c>
      <c r="J55">
        <f>(tinder[[#This Row],[Norm Engagement]]*2)+(tinder[[#This Row],[Norm Swipes]]*1)+(tinder[[#This Row],[Norm Conversations]]*2)</f>
        <v>0.58552150089903265</v>
      </c>
      <c r="K5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55">
        <v>136</v>
      </c>
      <c r="M55">
        <v>12</v>
      </c>
      <c r="N55">
        <v>442</v>
      </c>
      <c r="O55">
        <v>1364</v>
      </c>
      <c r="P55">
        <v>975</v>
      </c>
      <c r="Q55">
        <f>tinder[[#This Row],[All Swipes]]/MAX(tinder[All Swipes])</f>
        <v>4.6547190439388514E-2</v>
      </c>
      <c r="R55">
        <f>tinder[[#This Row],[Swipe Right (LIKE)]]+tinder[[#This Row],[Swipe Left (PASS)]]</f>
        <v>39510</v>
      </c>
      <c r="S55">
        <v>20042</v>
      </c>
      <c r="T55">
        <v>19468</v>
      </c>
      <c r="U55" t="s">
        <v>10</v>
      </c>
      <c r="V55" s="1">
        <v>44024</v>
      </c>
      <c r="W55" t="s">
        <v>12</v>
      </c>
      <c r="X55" t="s">
        <v>1295</v>
      </c>
      <c r="Y55" t="s">
        <v>695</v>
      </c>
      <c r="Z55">
        <v>18</v>
      </c>
      <c r="AA5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6" spans="1:27" x14ac:dyDescent="0.3">
      <c r="A56" t="s">
        <v>110</v>
      </c>
      <c r="B56">
        <v>4420</v>
      </c>
      <c r="C56">
        <v>94</v>
      </c>
      <c r="D56">
        <f>IFERROR(tinder[[#This Row],[Tinder Opened]]/tinder[[#This Row],[Days on Tinder]],0)</f>
        <v>47.021276595744681</v>
      </c>
      <c r="E56">
        <f>tinder[[#This Row],[Engagement]]/MAX(tinder[Engagement])</f>
        <v>0.23628782208916924</v>
      </c>
      <c r="F5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56">
        <v>267</v>
      </c>
      <c r="H56">
        <f>IFERROR(tinder[[#This Row],[Conversations]]/tinder[[#This Row],[Tinder Opened]],0)</f>
        <v>6.0407239819004525E-2</v>
      </c>
      <c r="I56">
        <f>tinder[[#This Row],[Conversations]]/MAX(tinder[Conversations])</f>
        <v>2.1120075937351684E-2</v>
      </c>
      <c r="J56">
        <f>(tinder[[#This Row],[Norm Engagement]]*2)+(tinder[[#This Row],[Norm Swipes]]*1)+(tinder[[#This Row],[Norm Conversations]]*2)</f>
        <v>0.57199544393903823</v>
      </c>
      <c r="K5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56">
        <v>66</v>
      </c>
      <c r="M56">
        <v>84</v>
      </c>
      <c r="N56">
        <v>1172</v>
      </c>
      <c r="O56">
        <v>1488</v>
      </c>
      <c r="P56">
        <v>1523</v>
      </c>
      <c r="Q56">
        <f>tinder[[#This Row],[All Swipes]]/MAX(tinder[All Swipes])</f>
        <v>5.7179647885996492E-2</v>
      </c>
      <c r="R56">
        <f>tinder[[#This Row],[Swipe Right (LIKE)]]+tinder[[#This Row],[Swipe Left (PASS)]]</f>
        <v>48535</v>
      </c>
      <c r="S56">
        <v>5977</v>
      </c>
      <c r="T56">
        <v>42558</v>
      </c>
      <c r="U56" t="s">
        <v>8</v>
      </c>
      <c r="V56" s="1">
        <v>43884</v>
      </c>
      <c r="W56" t="s">
        <v>12</v>
      </c>
      <c r="X56" t="s">
        <v>1296</v>
      </c>
      <c r="Y56" t="s">
        <v>8</v>
      </c>
      <c r="Z56">
        <v>19</v>
      </c>
      <c r="AA5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7" spans="1:27" x14ac:dyDescent="0.3">
      <c r="A57" t="s">
        <v>538</v>
      </c>
      <c r="B57">
        <v>93</v>
      </c>
      <c r="C57">
        <v>2</v>
      </c>
      <c r="D57">
        <f>IFERROR(tinder[[#This Row],[Tinder Opened]]/tinder[[#This Row],[Days on Tinder]],0)</f>
        <v>46.5</v>
      </c>
      <c r="E57">
        <f>tinder[[#This Row],[Engagement]]/MAX(tinder[Engagement])</f>
        <v>0.23366834170854273</v>
      </c>
      <c r="F5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57">
        <v>4</v>
      </c>
      <c r="H57">
        <f>IFERROR(tinder[[#This Row],[Conversations]]/tinder[[#This Row],[Tinder Opened]],0)</f>
        <v>4.3010752688172046E-2</v>
      </c>
      <c r="I57">
        <f>tinder[[#This Row],[Conversations]]/MAX(tinder[Conversations])</f>
        <v>3.1640563202024995E-4</v>
      </c>
      <c r="J57">
        <f>(tinder[[#This Row],[Norm Engagement]]*2)+(tinder[[#This Row],[Norm Swipes]]*1)+(tinder[[#This Row],[Norm Conversations]]*2)</f>
        <v>0.46847961701623747</v>
      </c>
      <c r="K5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7">
        <v>1</v>
      </c>
      <c r="M57">
        <v>0</v>
      </c>
      <c r="N57">
        <v>4</v>
      </c>
      <c r="O57">
        <v>71</v>
      </c>
      <c r="P57">
        <v>55</v>
      </c>
      <c r="Q57">
        <f>tinder[[#This Row],[All Swipes]]/MAX(tinder[All Swipes])</f>
        <v>5.101223351114965E-4</v>
      </c>
      <c r="R57">
        <f>tinder[[#This Row],[Swipe Right (LIKE)]]+tinder[[#This Row],[Swipe Left (PASS)]]</f>
        <v>433</v>
      </c>
      <c r="S57">
        <v>182</v>
      </c>
      <c r="T57">
        <v>251</v>
      </c>
      <c r="U57" t="s">
        <v>440</v>
      </c>
      <c r="V57" s="1">
        <v>44278</v>
      </c>
      <c r="W57" t="s">
        <v>12</v>
      </c>
      <c r="X57" t="s">
        <v>1295</v>
      </c>
      <c r="Y57" t="s">
        <v>539</v>
      </c>
      <c r="Z57">
        <v>28</v>
      </c>
      <c r="AA5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8" spans="1:27" x14ac:dyDescent="0.3">
      <c r="A58" t="s">
        <v>133</v>
      </c>
      <c r="B58">
        <v>9975</v>
      </c>
      <c r="C58">
        <v>216</v>
      </c>
      <c r="D58">
        <f>IFERROR(tinder[[#This Row],[Tinder Opened]]/tinder[[#This Row],[Days on Tinder]],0)</f>
        <v>46.180555555555557</v>
      </c>
      <c r="E58">
        <f>tinder[[#This Row],[Engagement]]/MAX(tinder[Engagement])</f>
        <v>0.23206309324399776</v>
      </c>
      <c r="F5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58">
        <v>307</v>
      </c>
      <c r="H58">
        <f>IFERROR(tinder[[#This Row],[Conversations]]/tinder[[#This Row],[Tinder Opened]],0)</f>
        <v>3.0776942355889726E-2</v>
      </c>
      <c r="I58">
        <f>tinder[[#This Row],[Conversations]]/MAX(tinder[Conversations])</f>
        <v>2.4284132257554183E-2</v>
      </c>
      <c r="J58">
        <f>(tinder[[#This Row],[Norm Engagement]]*2)+(tinder[[#This Row],[Norm Swipes]]*1)+(tinder[[#This Row],[Norm Conversations]]*2)</f>
        <v>0.53111776064853944</v>
      </c>
      <c r="K5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8">
        <v>124</v>
      </c>
      <c r="M58">
        <v>8</v>
      </c>
      <c r="N58">
        <v>478</v>
      </c>
      <c r="O58">
        <v>1196</v>
      </c>
      <c r="P58">
        <v>1224</v>
      </c>
      <c r="Q58">
        <f>tinder[[#This Row],[All Swipes]]/MAX(tinder[All Swipes])</f>
        <v>1.8423309645435523E-2</v>
      </c>
      <c r="R58">
        <f>tinder[[#This Row],[Swipe Right (LIKE)]]+tinder[[#This Row],[Swipe Left (PASS)]]</f>
        <v>15638</v>
      </c>
      <c r="S58">
        <v>8972</v>
      </c>
      <c r="T58">
        <v>6666</v>
      </c>
      <c r="U58" t="s">
        <v>10</v>
      </c>
      <c r="V58" s="1">
        <v>43440</v>
      </c>
      <c r="W58" t="s">
        <v>12</v>
      </c>
      <c r="X58" t="s">
        <v>1295</v>
      </c>
      <c r="Y58" t="s">
        <v>134</v>
      </c>
      <c r="Z58">
        <v>24</v>
      </c>
      <c r="AA5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9" spans="1:27" x14ac:dyDescent="0.3">
      <c r="A59" t="s">
        <v>802</v>
      </c>
      <c r="B59">
        <v>5844</v>
      </c>
      <c r="C59">
        <v>127</v>
      </c>
      <c r="D59">
        <f>IFERROR(tinder[[#This Row],[Tinder Opened]]/tinder[[#This Row],[Days on Tinder]],0)</f>
        <v>46.015748031496067</v>
      </c>
      <c r="E59">
        <f>tinder[[#This Row],[Engagement]]/MAX(tinder[Engagement])</f>
        <v>0.23123491473113603</v>
      </c>
      <c r="F5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59">
        <v>125</v>
      </c>
      <c r="H59">
        <f>IFERROR(tinder[[#This Row],[Conversations]]/tinder[[#This Row],[Tinder Opened]],0)</f>
        <v>2.138945927446954E-2</v>
      </c>
      <c r="I59">
        <f>tinder[[#This Row],[Conversations]]/MAX(tinder[Conversations])</f>
        <v>9.8876760006328113E-3</v>
      </c>
      <c r="J59">
        <f>(tinder[[#This Row],[Norm Engagement]]*2)+(tinder[[#This Row],[Norm Swipes]]*1)+(tinder[[#This Row],[Norm Conversations]]*2)</f>
        <v>0.91612484442936304</v>
      </c>
      <c r="K5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59">
        <v>2</v>
      </c>
      <c r="M59">
        <v>112</v>
      </c>
      <c r="N59">
        <v>1012</v>
      </c>
      <c r="O59">
        <v>1132</v>
      </c>
      <c r="P59">
        <v>2544</v>
      </c>
      <c r="Q59">
        <f>tinder[[#This Row],[All Swipes]]/MAX(tinder[All Swipes])</f>
        <v>0.43387966296582536</v>
      </c>
      <c r="R59">
        <f>tinder[[#This Row],[Swipe Right (LIKE)]]+tinder[[#This Row],[Swipe Left (PASS)]]</f>
        <v>368284</v>
      </c>
      <c r="S59">
        <v>1984</v>
      </c>
      <c r="T59">
        <v>366300</v>
      </c>
      <c r="U59" t="s">
        <v>803</v>
      </c>
      <c r="V59" s="1">
        <v>44071</v>
      </c>
      <c r="W59" t="s">
        <v>12</v>
      </c>
      <c r="X59" t="s">
        <v>1296</v>
      </c>
      <c r="Y59" t="s">
        <v>8</v>
      </c>
      <c r="Z59">
        <v>21</v>
      </c>
      <c r="AA5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0" spans="1:27" x14ac:dyDescent="0.3">
      <c r="A60" t="s">
        <v>810</v>
      </c>
      <c r="B60">
        <v>3388</v>
      </c>
      <c r="C60">
        <v>74</v>
      </c>
      <c r="D60">
        <f>IFERROR(tinder[[#This Row],[Tinder Opened]]/tinder[[#This Row],[Days on Tinder]],0)</f>
        <v>45.783783783783782</v>
      </c>
      <c r="E60">
        <f>tinder[[#This Row],[Engagement]]/MAX(tinder[Engagement])</f>
        <v>0.23006926524514462</v>
      </c>
      <c r="F6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60">
        <v>9</v>
      </c>
      <c r="H60">
        <f>IFERROR(tinder[[#This Row],[Conversations]]/tinder[[#This Row],[Tinder Opened]],0)</f>
        <v>2.6564344746162929E-3</v>
      </c>
      <c r="I60">
        <f>tinder[[#This Row],[Conversations]]/MAX(tinder[Conversations])</f>
        <v>7.1191267204556241E-4</v>
      </c>
      <c r="J60">
        <f>(tinder[[#This Row],[Norm Engagement]]*2)+(tinder[[#This Row],[Norm Swipes]]*1)+(tinder[[#This Row],[Norm Conversations]]*2)</f>
        <v>0.517060838426603</v>
      </c>
      <c r="K6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0">
        <v>3</v>
      </c>
      <c r="M60">
        <v>0</v>
      </c>
      <c r="N60">
        <v>52</v>
      </c>
      <c r="O60">
        <v>400</v>
      </c>
      <c r="P60">
        <v>428</v>
      </c>
      <c r="Q60">
        <f>tinder[[#This Row],[All Swipes]]/MAX(tinder[All Swipes])</f>
        <v>5.5498482592222578E-2</v>
      </c>
      <c r="R60">
        <f>tinder[[#This Row],[Swipe Right (LIKE)]]+tinder[[#This Row],[Swipe Left (PASS)]]</f>
        <v>47108</v>
      </c>
      <c r="S60">
        <v>1952</v>
      </c>
      <c r="T60">
        <v>45156</v>
      </c>
      <c r="U60" t="s">
        <v>8</v>
      </c>
      <c r="V60" s="1">
        <v>43904</v>
      </c>
      <c r="W60" t="s">
        <v>12</v>
      </c>
      <c r="X60" t="s">
        <v>1295</v>
      </c>
      <c r="Y60" t="s">
        <v>8</v>
      </c>
      <c r="Z60">
        <v>25</v>
      </c>
      <c r="AA6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1" spans="1:27" x14ac:dyDescent="0.3">
      <c r="A61" t="s">
        <v>373</v>
      </c>
      <c r="B61">
        <v>2119</v>
      </c>
      <c r="C61">
        <v>47</v>
      </c>
      <c r="D61">
        <f>IFERROR(tinder[[#This Row],[Tinder Opened]]/tinder[[#This Row],[Days on Tinder]],0)</f>
        <v>45.085106382978722</v>
      </c>
      <c r="E61">
        <f>tinder[[#This Row],[Engagement]]/MAX(tinder[Engagement])</f>
        <v>0.22655832353255639</v>
      </c>
      <c r="F6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61">
        <v>19</v>
      </c>
      <c r="H61">
        <f>IFERROR(tinder[[#This Row],[Conversations]]/tinder[[#This Row],[Tinder Opened]],0)</f>
        <v>8.9664936290703157E-3</v>
      </c>
      <c r="I61">
        <f>tinder[[#This Row],[Conversations]]/MAX(tinder[Conversations])</f>
        <v>1.5029267520961873E-3</v>
      </c>
      <c r="J61">
        <f>(tinder[[#This Row],[Norm Engagement]]*2)+(tinder[[#This Row],[Norm Swipes]]*1)+(tinder[[#This Row],[Norm Conversations]]*2)</f>
        <v>0.46215561021851065</v>
      </c>
      <c r="K6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1">
        <v>2</v>
      </c>
      <c r="M61">
        <v>9</v>
      </c>
      <c r="N61">
        <v>59</v>
      </c>
      <c r="O61">
        <v>221</v>
      </c>
      <c r="P61">
        <v>186</v>
      </c>
      <c r="Q61">
        <f>tinder[[#This Row],[All Swipes]]/MAX(tinder[All Swipes])</f>
        <v>6.0331096492054819E-3</v>
      </c>
      <c r="R61">
        <f>tinder[[#This Row],[Swipe Right (LIKE)]]+tinder[[#This Row],[Swipe Left (PASS)]]</f>
        <v>5121</v>
      </c>
      <c r="S61">
        <v>251</v>
      </c>
      <c r="T61">
        <v>4870</v>
      </c>
      <c r="U61" t="s">
        <v>8</v>
      </c>
      <c r="V61" s="1">
        <v>44151</v>
      </c>
      <c r="W61" t="s">
        <v>12</v>
      </c>
      <c r="X61" t="s">
        <v>1296</v>
      </c>
      <c r="Y61" t="s">
        <v>8</v>
      </c>
      <c r="Z61">
        <v>21</v>
      </c>
      <c r="AA6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2" spans="1:27" x14ac:dyDescent="0.3">
      <c r="A62" t="s">
        <v>105</v>
      </c>
      <c r="B62">
        <v>2042</v>
      </c>
      <c r="C62">
        <v>46</v>
      </c>
      <c r="D62">
        <f>IFERROR(tinder[[#This Row],[Tinder Opened]]/tinder[[#This Row],[Days on Tinder]],0)</f>
        <v>44.391304347826086</v>
      </c>
      <c r="E62">
        <f>tinder[[#This Row],[Engagement]]/MAX(tinder[Engagement])</f>
        <v>0.22307188114485471</v>
      </c>
      <c r="F6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62">
        <v>284</v>
      </c>
      <c r="H62">
        <f>IFERROR(tinder[[#This Row],[Conversations]]/tinder[[#This Row],[Tinder Opened]],0)</f>
        <v>0.13907933398628794</v>
      </c>
      <c r="I62">
        <f>tinder[[#This Row],[Conversations]]/MAX(tinder[Conversations])</f>
        <v>2.2464799873437746E-2</v>
      </c>
      <c r="J62">
        <f>(tinder[[#This Row],[Norm Engagement]]*2)+(tinder[[#This Row],[Norm Swipes]]*1)+(tinder[[#This Row],[Norm Conversations]]*2)</f>
        <v>0.5618578430077259</v>
      </c>
      <c r="K6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62">
        <v>19</v>
      </c>
      <c r="M62">
        <v>207</v>
      </c>
      <c r="N62">
        <v>974</v>
      </c>
      <c r="O62">
        <v>2875</v>
      </c>
      <c r="P62">
        <v>2740</v>
      </c>
      <c r="Q62">
        <f>tinder[[#This Row],[All Swipes]]/MAX(tinder[All Swipes])</f>
        <v>7.0784480971140984E-2</v>
      </c>
      <c r="R62">
        <f>tinder[[#This Row],[Swipe Right (LIKE)]]+tinder[[#This Row],[Swipe Left (PASS)]]</f>
        <v>60083</v>
      </c>
      <c r="S62">
        <v>7311</v>
      </c>
      <c r="T62">
        <v>52772</v>
      </c>
      <c r="U62" t="s">
        <v>8</v>
      </c>
      <c r="V62" s="1">
        <v>43926</v>
      </c>
      <c r="W62" t="s">
        <v>12</v>
      </c>
      <c r="X62" t="s">
        <v>1295</v>
      </c>
      <c r="Y62" t="s">
        <v>8</v>
      </c>
      <c r="Z62">
        <v>23</v>
      </c>
      <c r="AA6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3" spans="1:27" x14ac:dyDescent="0.3">
      <c r="A63" t="s">
        <v>431</v>
      </c>
      <c r="B63">
        <v>219</v>
      </c>
      <c r="C63">
        <v>5</v>
      </c>
      <c r="D63">
        <f>IFERROR(tinder[[#This Row],[Tinder Opened]]/tinder[[#This Row],[Days on Tinder]],0)</f>
        <v>43.8</v>
      </c>
      <c r="E63">
        <f>tinder[[#This Row],[Engagement]]/MAX(tinder[Engagement])</f>
        <v>0.2201005025125628</v>
      </c>
      <c r="F6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63">
        <v>18</v>
      </c>
      <c r="H63">
        <f>IFERROR(tinder[[#This Row],[Conversations]]/tinder[[#This Row],[Tinder Opened]],0)</f>
        <v>8.2191780821917804E-2</v>
      </c>
      <c r="I63">
        <f>tinder[[#This Row],[Conversations]]/MAX(tinder[Conversations])</f>
        <v>1.4238253440911248E-3</v>
      </c>
      <c r="J63">
        <f>(tinder[[#This Row],[Norm Engagement]]*2)+(tinder[[#This Row],[Norm Swipes]]*1)+(tinder[[#This Row],[Norm Conversations]]*2)</f>
        <v>0.44680211936149544</v>
      </c>
      <c r="K6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3">
        <v>6</v>
      </c>
      <c r="M63">
        <v>0</v>
      </c>
      <c r="N63">
        <v>23</v>
      </c>
      <c r="O63">
        <v>94</v>
      </c>
      <c r="P63">
        <v>50</v>
      </c>
      <c r="Q63">
        <f>tinder[[#This Row],[All Swipes]]/MAX(tinder[All Swipes])</f>
        <v>3.7534636481875929E-3</v>
      </c>
      <c r="R63">
        <f>tinder[[#This Row],[Swipe Right (LIKE)]]+tinder[[#This Row],[Swipe Left (PASS)]]</f>
        <v>3186</v>
      </c>
      <c r="S63">
        <v>1915</v>
      </c>
      <c r="T63">
        <v>1271</v>
      </c>
      <c r="U63" t="s">
        <v>10</v>
      </c>
      <c r="V63" s="1">
        <v>44241</v>
      </c>
      <c r="W63" t="s">
        <v>12</v>
      </c>
      <c r="X63" t="s">
        <v>1295</v>
      </c>
      <c r="Y63" t="s">
        <v>432</v>
      </c>
      <c r="Z63">
        <v>21</v>
      </c>
      <c r="AA6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4" spans="1:27" x14ac:dyDescent="0.3">
      <c r="A64" t="s">
        <v>493</v>
      </c>
      <c r="B64">
        <v>2033</v>
      </c>
      <c r="C64">
        <v>47</v>
      </c>
      <c r="D64">
        <f>IFERROR(tinder[[#This Row],[Tinder Opened]]/tinder[[#This Row],[Days on Tinder]],0)</f>
        <v>43.255319148936174</v>
      </c>
      <c r="E64">
        <f>tinder[[#This Row],[Engagement]]/MAX(tinder[Engagement])</f>
        <v>0.21736341280872448</v>
      </c>
      <c r="F6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64">
        <v>51</v>
      </c>
      <c r="H64">
        <f>IFERROR(tinder[[#This Row],[Conversations]]/tinder[[#This Row],[Tinder Opened]],0)</f>
        <v>2.5086079685194294E-2</v>
      </c>
      <c r="I64">
        <f>tinder[[#This Row],[Conversations]]/MAX(tinder[Conversations])</f>
        <v>4.0341718082581874E-3</v>
      </c>
      <c r="J64">
        <f>(tinder[[#This Row],[Norm Engagement]]*2)+(tinder[[#This Row],[Norm Swipes]]*1)+(tinder[[#This Row],[Norm Conversations]]*2)</f>
        <v>0.46436403692731704</v>
      </c>
      <c r="K6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4">
        <v>9</v>
      </c>
      <c r="M64">
        <v>0</v>
      </c>
      <c r="N64">
        <v>50</v>
      </c>
      <c r="O64">
        <v>861</v>
      </c>
      <c r="P64">
        <v>833</v>
      </c>
      <c r="Q64">
        <f>tinder[[#This Row],[All Swipes]]/MAX(tinder[All Swipes])</f>
        <v>2.156886769335168E-2</v>
      </c>
      <c r="R64">
        <f>tinder[[#This Row],[Swipe Right (LIKE)]]+tinder[[#This Row],[Swipe Left (PASS)]]</f>
        <v>18308</v>
      </c>
      <c r="S64">
        <v>2519</v>
      </c>
      <c r="T64">
        <v>15789</v>
      </c>
      <c r="U64" t="s">
        <v>65</v>
      </c>
      <c r="V64" s="1">
        <v>44226</v>
      </c>
      <c r="W64" t="s">
        <v>12</v>
      </c>
      <c r="X64" t="s">
        <v>1295</v>
      </c>
      <c r="Y64" t="s">
        <v>8</v>
      </c>
      <c r="Z64">
        <v>19</v>
      </c>
      <c r="AA6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5" spans="1:27" x14ac:dyDescent="0.3">
      <c r="A65" t="s">
        <v>813</v>
      </c>
      <c r="B65">
        <v>48824</v>
      </c>
      <c r="C65">
        <v>1133</v>
      </c>
      <c r="D65">
        <f>IFERROR(tinder[[#This Row],[Tinder Opened]]/tinder[[#This Row],[Days on Tinder]],0)</f>
        <v>43.092674315975287</v>
      </c>
      <c r="E65">
        <f>tinder[[#This Row],[Engagement]]/MAX(tinder[Engagement])</f>
        <v>0.21654610209032807</v>
      </c>
      <c r="F6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65">
        <v>473</v>
      </c>
      <c r="H65">
        <f>IFERROR(tinder[[#This Row],[Conversations]]/tinder[[#This Row],[Tinder Opened]],0)</f>
        <v>9.6878584302801905E-3</v>
      </c>
      <c r="I65">
        <f>tinder[[#This Row],[Conversations]]/MAX(tinder[Conversations])</f>
        <v>3.7414965986394558E-2</v>
      </c>
      <c r="J65">
        <f>(tinder[[#This Row],[Norm Engagement]]*2)+(tinder[[#This Row],[Norm Swipes]]*1)+(tinder[[#This Row],[Norm Conversations]]*2)</f>
        <v>0.9841337061521257</v>
      </c>
      <c r="K6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65">
        <v>104</v>
      </c>
      <c r="M65">
        <v>4</v>
      </c>
      <c r="N65">
        <v>13104</v>
      </c>
      <c r="O65">
        <v>39360</v>
      </c>
      <c r="P65">
        <v>41552</v>
      </c>
      <c r="Q65">
        <f>tinder[[#This Row],[All Swipes]]/MAX(tinder[All Swipes])</f>
        <v>0.47621156999868053</v>
      </c>
      <c r="R65">
        <f>tinder[[#This Row],[Swipe Right (LIKE)]]+tinder[[#This Row],[Swipe Left (PASS)]]</f>
        <v>404216</v>
      </c>
      <c r="S65">
        <v>208304</v>
      </c>
      <c r="T65">
        <v>195912</v>
      </c>
      <c r="U65" t="s">
        <v>65</v>
      </c>
      <c r="V65" s="1">
        <v>42970</v>
      </c>
      <c r="W65" t="s">
        <v>12</v>
      </c>
      <c r="X65" t="s">
        <v>1295</v>
      </c>
      <c r="Y65" t="s">
        <v>58</v>
      </c>
      <c r="Z65">
        <v>19</v>
      </c>
      <c r="AA6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6" spans="1:27" x14ac:dyDescent="0.3">
      <c r="A66" t="s">
        <v>62</v>
      </c>
      <c r="B66">
        <v>8344</v>
      </c>
      <c r="C66">
        <v>194</v>
      </c>
      <c r="D66">
        <f>IFERROR(tinder[[#This Row],[Tinder Opened]]/tinder[[#This Row],[Days on Tinder]],0)</f>
        <v>43.010309278350519</v>
      </c>
      <c r="E66">
        <f>tinder[[#This Row],[Engagement]]/MAX(tinder[Engagement])</f>
        <v>0.21613220742889708</v>
      </c>
      <c r="F6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66">
        <v>540</v>
      </c>
      <c r="H66">
        <f>IFERROR(tinder[[#This Row],[Conversations]]/tinder[[#This Row],[Tinder Opened]],0)</f>
        <v>6.471716203259828E-2</v>
      </c>
      <c r="I66">
        <f>tinder[[#This Row],[Conversations]]/MAX(tinder[Conversations])</f>
        <v>4.2714760322733747E-2</v>
      </c>
      <c r="J66">
        <f>(tinder[[#This Row],[Norm Engagement]]*2)+(tinder[[#This Row],[Norm Swipes]]*1)+(tinder[[#This Row],[Norm Conversations]]*2)</f>
        <v>0.62691313024040141</v>
      </c>
      <c r="K6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66">
        <v>93</v>
      </c>
      <c r="M66">
        <v>325</v>
      </c>
      <c r="N66">
        <v>1374</v>
      </c>
      <c r="O66">
        <v>694</v>
      </c>
      <c r="P66">
        <v>1568</v>
      </c>
      <c r="Q66">
        <f>tinder[[#This Row],[All Swipes]]/MAX(tinder[All Swipes])</f>
        <v>0.10921919473713973</v>
      </c>
      <c r="R66">
        <f>tinder[[#This Row],[Swipe Right (LIKE)]]+tinder[[#This Row],[Swipe Left (PASS)]]</f>
        <v>92707</v>
      </c>
      <c r="S66">
        <v>2989</v>
      </c>
      <c r="T66">
        <v>89718</v>
      </c>
      <c r="U66" t="s">
        <v>10</v>
      </c>
      <c r="V66" s="1">
        <v>43584</v>
      </c>
      <c r="W66" t="s">
        <v>12</v>
      </c>
      <c r="X66" t="s">
        <v>1296</v>
      </c>
      <c r="Y66" t="s">
        <v>8</v>
      </c>
      <c r="Z66">
        <v>22</v>
      </c>
      <c r="AA6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7" spans="1:27" x14ac:dyDescent="0.3">
      <c r="A67" t="s">
        <v>502</v>
      </c>
      <c r="B67">
        <v>16144</v>
      </c>
      <c r="C67">
        <v>376</v>
      </c>
      <c r="D67">
        <f>IFERROR(tinder[[#This Row],[Tinder Opened]]/tinder[[#This Row],[Days on Tinder]],0)</f>
        <v>42.936170212765958</v>
      </c>
      <c r="E67">
        <f>tinder[[#This Row],[Engagement]]/MAX(tinder[Engagement])</f>
        <v>0.21575964931038169</v>
      </c>
      <c r="F6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67">
        <v>1933</v>
      </c>
      <c r="H67">
        <f>IFERROR(tinder[[#This Row],[Conversations]]/tinder[[#This Row],[Tinder Opened]],0)</f>
        <v>0.11973488602576808</v>
      </c>
      <c r="I67">
        <f>tinder[[#This Row],[Conversations]]/MAX(tinder[Conversations])</f>
        <v>0.15290302167378581</v>
      </c>
      <c r="J67">
        <f>(tinder[[#This Row],[Norm Engagement]]*2)+(tinder[[#This Row],[Norm Swipes]]*1)+(tinder[[#This Row],[Norm Conversations]]*2)</f>
        <v>0.82460574196079506</v>
      </c>
      <c r="K6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67">
        <v>412</v>
      </c>
      <c r="M67">
        <v>50</v>
      </c>
      <c r="N67">
        <v>1833</v>
      </c>
      <c r="O67">
        <v>51989</v>
      </c>
      <c r="P67">
        <v>56173</v>
      </c>
      <c r="Q67">
        <f>tinder[[#This Row],[All Swipes]]/MAX(tinder[All Swipes])</f>
        <v>8.7280399992460081E-2</v>
      </c>
      <c r="R67">
        <f>tinder[[#This Row],[Swipe Right (LIKE)]]+tinder[[#This Row],[Swipe Left (PASS)]]</f>
        <v>74085</v>
      </c>
      <c r="S67">
        <v>70969</v>
      </c>
      <c r="T67">
        <v>3116</v>
      </c>
      <c r="U67" t="s">
        <v>8</v>
      </c>
      <c r="V67" s="1">
        <v>43911</v>
      </c>
      <c r="W67" t="s">
        <v>12</v>
      </c>
      <c r="X67" t="s">
        <v>1295</v>
      </c>
      <c r="Y67" t="s">
        <v>8</v>
      </c>
      <c r="Z67">
        <v>34</v>
      </c>
      <c r="AA67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68" spans="1:27" x14ac:dyDescent="0.3">
      <c r="A68" t="s">
        <v>225</v>
      </c>
      <c r="B68">
        <v>10753</v>
      </c>
      <c r="C68">
        <v>251</v>
      </c>
      <c r="D68">
        <f>IFERROR(tinder[[#This Row],[Tinder Opened]]/tinder[[#This Row],[Days on Tinder]],0)</f>
        <v>42.840637450199203</v>
      </c>
      <c r="E68">
        <f>tinder[[#This Row],[Engagement]]/MAX(tinder[Engagement])</f>
        <v>0.21527958517688042</v>
      </c>
      <c r="F6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68">
        <v>662</v>
      </c>
      <c r="H68">
        <f>IFERROR(tinder[[#This Row],[Conversations]]/tinder[[#This Row],[Tinder Opened]],0)</f>
        <v>6.1564214637775505E-2</v>
      </c>
      <c r="I68">
        <f>tinder[[#This Row],[Conversations]]/MAX(tinder[Conversations])</f>
        <v>5.2365132099351369E-2</v>
      </c>
      <c r="J68">
        <f>(tinder[[#This Row],[Norm Engagement]]*2)+(tinder[[#This Row],[Norm Swipes]]*1)+(tinder[[#This Row],[Norm Conversations]]*2)</f>
        <v>0.61121048222357244</v>
      </c>
      <c r="K6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68">
        <v>239</v>
      </c>
      <c r="M68">
        <v>38</v>
      </c>
      <c r="N68">
        <v>1673</v>
      </c>
      <c r="O68">
        <v>2220</v>
      </c>
      <c r="P68">
        <v>2465</v>
      </c>
      <c r="Q68">
        <f>tinder[[#This Row],[All Swipes]]/MAX(tinder[All Swipes])</f>
        <v>7.5921047671108938E-2</v>
      </c>
      <c r="R68">
        <f>tinder[[#This Row],[Swipe Right (LIKE)]]+tinder[[#This Row],[Swipe Left (PASS)]]</f>
        <v>64443</v>
      </c>
      <c r="S68">
        <v>16877</v>
      </c>
      <c r="T68">
        <v>47566</v>
      </c>
      <c r="U68" t="s">
        <v>8</v>
      </c>
      <c r="V68" s="1">
        <v>43908</v>
      </c>
      <c r="W68" t="s">
        <v>12</v>
      </c>
      <c r="X68" t="s">
        <v>1295</v>
      </c>
      <c r="Y68" t="s">
        <v>8</v>
      </c>
      <c r="Z68">
        <v>18</v>
      </c>
      <c r="AA6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9" spans="1:27" x14ac:dyDescent="0.3">
      <c r="A69" t="s">
        <v>109</v>
      </c>
      <c r="B69">
        <v>90517</v>
      </c>
      <c r="C69">
        <v>2123</v>
      </c>
      <c r="D69">
        <f>IFERROR(tinder[[#This Row],[Tinder Opened]]/tinder[[#This Row],[Days on Tinder]],0)</f>
        <v>42.636363636363633</v>
      </c>
      <c r="E69">
        <f>tinder[[#This Row],[Engagement]]/MAX(tinder[Engagement])</f>
        <v>0.21425308359981726</v>
      </c>
      <c r="F6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69">
        <v>3715</v>
      </c>
      <c r="H69">
        <f>IFERROR(tinder[[#This Row],[Conversations]]/tinder[[#This Row],[Tinder Opened]],0)</f>
        <v>4.1042014207275983E-2</v>
      </c>
      <c r="I69">
        <f>tinder[[#This Row],[Conversations]]/MAX(tinder[Conversations])</f>
        <v>0.29386173073880717</v>
      </c>
      <c r="J69">
        <f>(tinder[[#This Row],[Norm Engagement]]*2)+(tinder[[#This Row],[Norm Swipes]]*1)+(tinder[[#This Row],[Norm Conversations]]*2)</f>
        <v>1.7148698522357115</v>
      </c>
      <c r="K6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69">
        <v>760</v>
      </c>
      <c r="M69">
        <v>1295</v>
      </c>
      <c r="N69">
        <v>22120</v>
      </c>
      <c r="O69">
        <v>22066</v>
      </c>
      <c r="P69">
        <v>24472</v>
      </c>
      <c r="Q69">
        <f>tinder[[#This Row],[All Swipes]]/MAX(tinder[All Swipes])</f>
        <v>0.69864022355846256</v>
      </c>
      <c r="R69">
        <f>tinder[[#This Row],[Swipe Right (LIKE)]]+tinder[[#This Row],[Swipe Left (PASS)]]</f>
        <v>593017</v>
      </c>
      <c r="S69">
        <v>229162</v>
      </c>
      <c r="T69">
        <v>363855</v>
      </c>
      <c r="U69" t="s">
        <v>8</v>
      </c>
      <c r="V69" s="1">
        <v>41765</v>
      </c>
      <c r="W69" t="s">
        <v>12</v>
      </c>
      <c r="X69" t="s">
        <v>1295</v>
      </c>
      <c r="Y69" t="s">
        <v>8</v>
      </c>
      <c r="Z69">
        <v>26</v>
      </c>
      <c r="AA6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0" spans="1:27" x14ac:dyDescent="0.3">
      <c r="A70" t="s">
        <v>524</v>
      </c>
      <c r="B70">
        <v>92628</v>
      </c>
      <c r="C70">
        <v>2176</v>
      </c>
      <c r="D70">
        <f>IFERROR(tinder[[#This Row],[Tinder Opened]]/tinder[[#This Row],[Days on Tinder]],0)</f>
        <v>42.568014705882355</v>
      </c>
      <c r="E70">
        <f>tinder[[#This Row],[Engagement]]/MAX(tinder[Engagement])</f>
        <v>0.21390962163759977</v>
      </c>
      <c r="F7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70">
        <v>1569</v>
      </c>
      <c r="H70">
        <f>IFERROR(tinder[[#This Row],[Conversations]]/tinder[[#This Row],[Tinder Opened]],0)</f>
        <v>1.6938722632465344E-2</v>
      </c>
      <c r="I70">
        <f>tinder[[#This Row],[Conversations]]/MAX(tinder[Conversations])</f>
        <v>0.12411010915994304</v>
      </c>
      <c r="J70">
        <f>(tinder[[#This Row],[Norm Engagement]]*2)+(tinder[[#This Row],[Norm Swipes]]*1)+(tinder[[#This Row],[Norm Conversations]]*2)</f>
        <v>1.1200249661096093</v>
      </c>
      <c r="K7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70">
        <v>675</v>
      </c>
      <c r="M70">
        <v>107</v>
      </c>
      <c r="N70">
        <v>2322</v>
      </c>
      <c r="O70">
        <v>4020</v>
      </c>
      <c r="P70">
        <v>3548</v>
      </c>
      <c r="Q70">
        <f>tinder[[#This Row],[All Swipes]]/MAX(tinder[All Swipes])</f>
        <v>0.44398550451452379</v>
      </c>
      <c r="R70">
        <f>tinder[[#This Row],[Swipe Right (LIKE)]]+tinder[[#This Row],[Swipe Left (PASS)]]</f>
        <v>376862</v>
      </c>
      <c r="S70">
        <v>138244</v>
      </c>
      <c r="T70">
        <v>238618</v>
      </c>
      <c r="U70" t="s">
        <v>8</v>
      </c>
      <c r="V70" s="1">
        <v>41348</v>
      </c>
      <c r="W70" t="s">
        <v>7</v>
      </c>
      <c r="X70" t="s">
        <v>1295</v>
      </c>
      <c r="Y70" t="s">
        <v>19</v>
      </c>
      <c r="Z70">
        <v>20</v>
      </c>
      <c r="AA7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1" spans="1:27" x14ac:dyDescent="0.3">
      <c r="A71" t="s">
        <v>676</v>
      </c>
      <c r="B71">
        <v>24155</v>
      </c>
      <c r="C71">
        <v>570</v>
      </c>
      <c r="D71">
        <f>IFERROR(tinder[[#This Row],[Tinder Opened]]/tinder[[#This Row],[Days on Tinder]],0)</f>
        <v>42.377192982456137</v>
      </c>
      <c r="E71">
        <f>tinder[[#This Row],[Engagement]]/MAX(tinder[Engagement])</f>
        <v>0.21295071850480471</v>
      </c>
      <c r="F7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71">
        <v>540</v>
      </c>
      <c r="H71">
        <f>IFERROR(tinder[[#This Row],[Conversations]]/tinder[[#This Row],[Tinder Opened]],0)</f>
        <v>2.2355619954460774E-2</v>
      </c>
      <c r="I71">
        <f>tinder[[#This Row],[Conversations]]/MAX(tinder[Conversations])</f>
        <v>4.2714760322733747E-2</v>
      </c>
      <c r="J71">
        <f>(tinder[[#This Row],[Norm Engagement]]*2)+(tinder[[#This Row],[Norm Swipes]]*1)+(tinder[[#This Row],[Norm Conversations]]*2)</f>
        <v>0.58061099007670891</v>
      </c>
      <c r="K7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71">
        <v>225</v>
      </c>
      <c r="M71">
        <v>3</v>
      </c>
      <c r="N71">
        <v>925</v>
      </c>
      <c r="O71">
        <v>2417</v>
      </c>
      <c r="P71">
        <v>1886</v>
      </c>
      <c r="Q71">
        <f>tinder[[#This Row],[All Swipes]]/MAX(tinder[All Swipes])</f>
        <v>6.9280032421632012E-2</v>
      </c>
      <c r="R71">
        <f>tinder[[#This Row],[Swipe Right (LIKE)]]+tinder[[#This Row],[Swipe Left (PASS)]]</f>
        <v>58806</v>
      </c>
      <c r="S71">
        <v>37295</v>
      </c>
      <c r="T71">
        <v>21511</v>
      </c>
      <c r="U71" t="s">
        <v>61</v>
      </c>
      <c r="V71" s="1">
        <v>43714</v>
      </c>
      <c r="W71" t="s">
        <v>12</v>
      </c>
      <c r="X71" t="s">
        <v>1295</v>
      </c>
      <c r="Y71" t="s">
        <v>8</v>
      </c>
      <c r="Z71">
        <v>19</v>
      </c>
      <c r="AA7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2" spans="1:27" x14ac:dyDescent="0.3">
      <c r="A72" t="s">
        <v>954</v>
      </c>
      <c r="B72">
        <v>31353</v>
      </c>
      <c r="C72">
        <v>742</v>
      </c>
      <c r="D72">
        <f>IFERROR(tinder[[#This Row],[Tinder Opened]]/tinder[[#This Row],[Days on Tinder]],0)</f>
        <v>42.254716981132077</v>
      </c>
      <c r="E72">
        <f>tinder[[#This Row],[Engagement]]/MAX(tinder[Engagement])</f>
        <v>0.21233526121171897</v>
      </c>
      <c r="F7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72">
        <v>161</v>
      </c>
      <c r="H72">
        <f>IFERROR(tinder[[#This Row],[Conversations]]/tinder[[#This Row],[Tinder Opened]],0)</f>
        <v>5.1350747934806873E-3</v>
      </c>
      <c r="I72">
        <f>tinder[[#This Row],[Conversations]]/MAX(tinder[Conversations])</f>
        <v>1.273532668881506E-2</v>
      </c>
      <c r="J72">
        <f>(tinder[[#This Row],[Norm Engagement]]*2)+(tinder[[#This Row],[Norm Swipes]]*1)+(tinder[[#This Row],[Norm Conversations]]*2)</f>
        <v>0.6158272608890023</v>
      </c>
      <c r="K7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72">
        <v>20</v>
      </c>
      <c r="M72">
        <v>1</v>
      </c>
      <c r="N72">
        <v>165</v>
      </c>
      <c r="O72">
        <v>1453</v>
      </c>
      <c r="P72">
        <v>1370</v>
      </c>
      <c r="Q72">
        <f>tinder[[#This Row],[All Swipes]]/MAX(tinder[All Swipes])</f>
        <v>0.16568608508793425</v>
      </c>
      <c r="R72">
        <f>tinder[[#This Row],[Swipe Right (LIKE)]]+tinder[[#This Row],[Swipe Left (PASS)]]</f>
        <v>140637</v>
      </c>
      <c r="S72">
        <v>2714</v>
      </c>
      <c r="T72">
        <v>137923</v>
      </c>
      <c r="U72" t="s">
        <v>8</v>
      </c>
      <c r="V72" s="1">
        <v>43457</v>
      </c>
      <c r="W72" t="s">
        <v>12</v>
      </c>
      <c r="X72" t="s">
        <v>1295</v>
      </c>
      <c r="Y72" t="s">
        <v>8</v>
      </c>
      <c r="Z72">
        <v>23</v>
      </c>
      <c r="AA7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3" spans="1:27" x14ac:dyDescent="0.3">
      <c r="A73" t="s">
        <v>1130</v>
      </c>
      <c r="B73">
        <v>42</v>
      </c>
      <c r="C73">
        <v>1</v>
      </c>
      <c r="D73">
        <f>IFERROR(tinder[[#This Row],[Tinder Opened]]/tinder[[#This Row],[Days on Tinder]],0)</f>
        <v>42</v>
      </c>
      <c r="E73">
        <f>tinder[[#This Row],[Engagement]]/MAX(tinder[Engagement])</f>
        <v>0.21105527638190955</v>
      </c>
      <c r="F7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73">
        <v>176</v>
      </c>
      <c r="H73">
        <f>IFERROR(tinder[[#This Row],[Conversations]]/tinder[[#This Row],[Tinder Opened]],0)</f>
        <v>4.1904761904761907</v>
      </c>
      <c r="I73">
        <f>tinder[[#This Row],[Conversations]]/MAX(tinder[Conversations])</f>
        <v>1.3921847808890999E-2</v>
      </c>
      <c r="J73">
        <f>(tinder[[#This Row],[Norm Engagement]]*2)+(tinder[[#This Row],[Norm Swipes]]*1)+(tinder[[#This Row],[Norm Conversations]]*2)</f>
        <v>0.45134088576826675</v>
      </c>
      <c r="K7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3">
        <v>27</v>
      </c>
      <c r="M73">
        <v>12</v>
      </c>
      <c r="N73">
        <v>3</v>
      </c>
      <c r="O73">
        <v>3912</v>
      </c>
      <c r="P73">
        <v>2406</v>
      </c>
      <c r="Q73">
        <f>tinder[[#This Row],[All Swipes]]/MAX(tinder[All Swipes])</f>
        <v>1.3866373866656613E-3</v>
      </c>
      <c r="R73">
        <f>tinder[[#This Row],[Swipe Right (LIKE)]]+tinder[[#This Row],[Swipe Left (PASS)]]</f>
        <v>1177</v>
      </c>
      <c r="S73">
        <v>115</v>
      </c>
      <c r="T73">
        <v>1062</v>
      </c>
      <c r="U73" t="s">
        <v>149</v>
      </c>
      <c r="V73" s="1">
        <v>44300</v>
      </c>
      <c r="W73" t="s">
        <v>12</v>
      </c>
      <c r="X73" t="s">
        <v>1295</v>
      </c>
      <c r="Y73" t="s">
        <v>134</v>
      </c>
      <c r="Z73">
        <v>29</v>
      </c>
      <c r="AA7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4" spans="1:27" x14ac:dyDescent="0.3">
      <c r="A74" t="s">
        <v>71</v>
      </c>
      <c r="B74">
        <v>42</v>
      </c>
      <c r="C74">
        <v>1</v>
      </c>
      <c r="D74">
        <f>IFERROR(tinder[[#This Row],[Tinder Opened]]/tinder[[#This Row],[Days on Tinder]],0)</f>
        <v>42</v>
      </c>
      <c r="E74">
        <f>tinder[[#This Row],[Engagement]]/MAX(tinder[Engagement])</f>
        <v>0.21105527638190955</v>
      </c>
      <c r="F7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74">
        <v>0</v>
      </c>
      <c r="H74">
        <f>IFERROR(tinder[[#This Row],[Conversations]]/tinder[[#This Row],[Tinder Opened]],0)</f>
        <v>0</v>
      </c>
      <c r="I74">
        <f>tinder[[#This Row],[Conversations]]/MAX(tinder[Conversations])</f>
        <v>0</v>
      </c>
      <c r="J74">
        <f>(tinder[[#This Row],[Norm Engagement]]*2)+(tinder[[#This Row],[Norm Swipes]]*1)+(tinder[[#This Row],[Norm Conversations]]*2)</f>
        <v>0.42222365148014868</v>
      </c>
      <c r="K7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4">
        <v>0</v>
      </c>
      <c r="M74">
        <v>0</v>
      </c>
      <c r="N74">
        <v>1</v>
      </c>
      <c r="O74">
        <v>0</v>
      </c>
      <c r="P74">
        <v>0</v>
      </c>
      <c r="Q74">
        <f>tinder[[#This Row],[All Swipes]]/MAX(tinder[All Swipes])</f>
        <v>1.1309871632956966E-4</v>
      </c>
      <c r="R74">
        <f>tinder[[#This Row],[Swipe Right (LIKE)]]+tinder[[#This Row],[Swipe Left (PASS)]]</f>
        <v>96</v>
      </c>
      <c r="S74">
        <v>31</v>
      </c>
      <c r="T74">
        <v>65</v>
      </c>
      <c r="U74" t="s">
        <v>8</v>
      </c>
      <c r="V74" s="1">
        <v>43979</v>
      </c>
      <c r="W74" t="s">
        <v>12</v>
      </c>
      <c r="X74" t="s">
        <v>1295</v>
      </c>
      <c r="Y74" t="s">
        <v>8</v>
      </c>
      <c r="Z74">
        <v>23</v>
      </c>
      <c r="AA7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5" spans="1:27" x14ac:dyDescent="0.3">
      <c r="A75" t="s">
        <v>895</v>
      </c>
      <c r="B75">
        <v>6262</v>
      </c>
      <c r="C75">
        <v>151</v>
      </c>
      <c r="D75">
        <f>IFERROR(tinder[[#This Row],[Tinder Opened]]/tinder[[#This Row],[Days on Tinder]],0)</f>
        <v>41.47019867549669</v>
      </c>
      <c r="E75">
        <f>tinder[[#This Row],[Engagement]]/MAX(tinder[Engagement])</f>
        <v>0.20839295816832507</v>
      </c>
      <c r="F7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75">
        <v>92</v>
      </c>
      <c r="H75">
        <f>IFERROR(tinder[[#This Row],[Conversations]]/tinder[[#This Row],[Tinder Opened]],0)</f>
        <v>1.4691791759821143E-2</v>
      </c>
      <c r="I75">
        <f>tinder[[#This Row],[Conversations]]/MAX(tinder[Conversations])</f>
        <v>7.2773295364657493E-3</v>
      </c>
      <c r="J75">
        <f>(tinder[[#This Row],[Norm Engagement]]*2)+(tinder[[#This Row],[Norm Swipes]]*1)+(tinder[[#This Row],[Norm Conversations]]*2)</f>
        <v>0.4548450805084488</v>
      </c>
      <c r="K7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5">
        <v>24</v>
      </c>
      <c r="M75">
        <v>13</v>
      </c>
      <c r="N75">
        <v>243</v>
      </c>
      <c r="O75">
        <v>884</v>
      </c>
      <c r="P75">
        <v>854</v>
      </c>
      <c r="Q75">
        <f>tinder[[#This Row],[All Swipes]]/MAX(tinder[All Swipes])</f>
        <v>2.3504505098867128E-2</v>
      </c>
      <c r="R75">
        <f>tinder[[#This Row],[Swipe Right (LIKE)]]+tinder[[#This Row],[Swipe Left (PASS)]]</f>
        <v>19951</v>
      </c>
      <c r="S75">
        <v>15364</v>
      </c>
      <c r="T75">
        <v>4587</v>
      </c>
      <c r="U75" t="s">
        <v>8</v>
      </c>
      <c r="V75" s="1">
        <v>44148</v>
      </c>
      <c r="W75" t="s">
        <v>12</v>
      </c>
      <c r="X75" t="s">
        <v>1295</v>
      </c>
      <c r="Y75" t="s">
        <v>896</v>
      </c>
      <c r="Z75">
        <v>28</v>
      </c>
      <c r="AA7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6" spans="1:27" x14ac:dyDescent="0.3">
      <c r="A76" t="s">
        <v>234</v>
      </c>
      <c r="B76">
        <v>1718</v>
      </c>
      <c r="C76">
        <v>42</v>
      </c>
      <c r="D76">
        <f>IFERROR(tinder[[#This Row],[Tinder Opened]]/tinder[[#This Row],[Days on Tinder]],0)</f>
        <v>40.904761904761905</v>
      </c>
      <c r="E76">
        <f>tinder[[#This Row],[Engagement]]/MAX(tinder[Engagement])</f>
        <v>0.20555156736061259</v>
      </c>
      <c r="F7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76">
        <v>97</v>
      </c>
      <c r="H76">
        <f>IFERROR(tinder[[#This Row],[Conversations]]/tinder[[#This Row],[Tinder Opened]],0)</f>
        <v>5.6461001164144355E-2</v>
      </c>
      <c r="I76">
        <f>tinder[[#This Row],[Conversations]]/MAX(tinder[Conversations])</f>
        <v>7.6728365764910612E-3</v>
      </c>
      <c r="J76">
        <f>(tinder[[#This Row],[Norm Engagement]]*2)+(tinder[[#This Row],[Norm Swipes]]*1)+(tinder[[#This Row],[Norm Conversations]]*2)</f>
        <v>0.43102694966229799</v>
      </c>
      <c r="K7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6">
        <v>52</v>
      </c>
      <c r="M76">
        <v>7</v>
      </c>
      <c r="N76">
        <v>141</v>
      </c>
      <c r="O76">
        <v>264</v>
      </c>
      <c r="P76">
        <v>263</v>
      </c>
      <c r="Q76">
        <f>tinder[[#This Row],[All Swipes]]/MAX(tinder[All Swipes])</f>
        <v>4.5781417880907055E-3</v>
      </c>
      <c r="R76">
        <f>tinder[[#This Row],[Swipe Right (LIKE)]]+tinder[[#This Row],[Swipe Left (PASS)]]</f>
        <v>3886</v>
      </c>
      <c r="S76">
        <v>2856</v>
      </c>
      <c r="T76">
        <v>1030</v>
      </c>
      <c r="U76" t="s">
        <v>10</v>
      </c>
      <c r="V76" s="1">
        <v>44122</v>
      </c>
      <c r="W76" t="s">
        <v>12</v>
      </c>
      <c r="X76" t="s">
        <v>1295</v>
      </c>
      <c r="Y76" t="s">
        <v>8</v>
      </c>
      <c r="Z76">
        <v>24</v>
      </c>
      <c r="AA7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7" spans="1:27" x14ac:dyDescent="0.3">
      <c r="A77" t="s">
        <v>940</v>
      </c>
      <c r="B77">
        <v>2821</v>
      </c>
      <c r="C77">
        <v>69</v>
      </c>
      <c r="D77">
        <f>IFERROR(tinder[[#This Row],[Tinder Opened]]/tinder[[#This Row],[Days on Tinder]],0)</f>
        <v>40.884057971014492</v>
      </c>
      <c r="E77">
        <f>tinder[[#This Row],[Engagement]]/MAX(tinder[Engagement])</f>
        <v>0.20544752749253514</v>
      </c>
      <c r="F7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77">
        <v>138</v>
      </c>
      <c r="H77">
        <f>IFERROR(tinder[[#This Row],[Conversations]]/tinder[[#This Row],[Tinder Opened]],0)</f>
        <v>4.8918823112371501E-2</v>
      </c>
      <c r="I77">
        <f>tinder[[#This Row],[Conversations]]/MAX(tinder[Conversations])</f>
        <v>1.0915994304698624E-2</v>
      </c>
      <c r="J77">
        <f>(tinder[[#This Row],[Norm Engagement]]*2)+(tinder[[#This Row],[Norm Swipes]]*1)+(tinder[[#This Row],[Norm Conversations]]*2)</f>
        <v>0.4511161880026785</v>
      </c>
      <c r="K7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7">
        <v>59</v>
      </c>
      <c r="M77">
        <v>0</v>
      </c>
      <c r="N77">
        <v>171</v>
      </c>
      <c r="O77">
        <v>1890</v>
      </c>
      <c r="P77">
        <v>1568</v>
      </c>
      <c r="Q77">
        <f>tinder[[#This Row],[All Swipes]]/MAX(tinder[All Swipes])</f>
        <v>1.8389144408210968E-2</v>
      </c>
      <c r="R77">
        <f>tinder[[#This Row],[Swipe Right (LIKE)]]+tinder[[#This Row],[Swipe Left (PASS)]]</f>
        <v>15609</v>
      </c>
      <c r="S77">
        <v>3570</v>
      </c>
      <c r="T77">
        <v>12039</v>
      </c>
      <c r="U77" t="s">
        <v>311</v>
      </c>
      <c r="V77" s="1">
        <v>43728</v>
      </c>
      <c r="W77" t="s">
        <v>12</v>
      </c>
      <c r="X77" t="s">
        <v>1295</v>
      </c>
      <c r="Y77" t="s">
        <v>941</v>
      </c>
      <c r="Z77">
        <v>33</v>
      </c>
      <c r="AA77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8" spans="1:27" x14ac:dyDescent="0.3">
      <c r="A78" t="s">
        <v>845</v>
      </c>
      <c r="B78">
        <v>13751</v>
      </c>
      <c r="C78">
        <v>337</v>
      </c>
      <c r="D78">
        <f>IFERROR(tinder[[#This Row],[Tinder Opened]]/tinder[[#This Row],[Days on Tinder]],0)</f>
        <v>40.804154302670625</v>
      </c>
      <c r="E78">
        <f>tinder[[#This Row],[Engagement]]/MAX(tinder[Engagement])</f>
        <v>0.20504600152095792</v>
      </c>
      <c r="F7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78">
        <v>378</v>
      </c>
      <c r="H78">
        <f>IFERROR(tinder[[#This Row],[Conversations]]/tinder[[#This Row],[Tinder Opened]],0)</f>
        <v>2.7488909897462003E-2</v>
      </c>
      <c r="I78">
        <f>tinder[[#This Row],[Conversations]]/MAX(tinder[Conversations])</f>
        <v>2.9900332225913623E-2</v>
      </c>
      <c r="J78">
        <f>(tinder[[#This Row],[Norm Engagement]]*2)+(tinder[[#This Row],[Norm Swipes]]*1)+(tinder[[#This Row],[Norm Conversations]]*2)</f>
        <v>0.56049769850164122</v>
      </c>
      <c r="K7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78">
        <v>51</v>
      </c>
      <c r="M78">
        <v>25</v>
      </c>
      <c r="N78">
        <v>1211</v>
      </c>
      <c r="O78">
        <v>5522</v>
      </c>
      <c r="P78">
        <v>5981</v>
      </c>
      <c r="Q78">
        <f>tinder[[#This Row],[All Swipes]]/MAX(tinder[All Swipes])</f>
        <v>9.060503100789806E-2</v>
      </c>
      <c r="R78">
        <f>tinder[[#This Row],[Swipe Right (LIKE)]]+tinder[[#This Row],[Swipe Left (PASS)]]</f>
        <v>76907</v>
      </c>
      <c r="S78">
        <v>61889</v>
      </c>
      <c r="T78">
        <v>15018</v>
      </c>
      <c r="U78" t="s">
        <v>65</v>
      </c>
      <c r="V78" s="1">
        <v>43825</v>
      </c>
      <c r="W78" t="s">
        <v>12</v>
      </c>
      <c r="X78" t="s">
        <v>1295</v>
      </c>
      <c r="Y78" t="s">
        <v>8</v>
      </c>
      <c r="Z78">
        <v>20</v>
      </c>
      <c r="AA7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9" spans="1:27" x14ac:dyDescent="0.3">
      <c r="A79" t="s">
        <v>824</v>
      </c>
      <c r="B79">
        <v>9964</v>
      </c>
      <c r="C79">
        <v>249</v>
      </c>
      <c r="D79">
        <f>IFERROR(tinder[[#This Row],[Tinder Opened]]/tinder[[#This Row],[Days on Tinder]],0)</f>
        <v>40.016064257028113</v>
      </c>
      <c r="E79">
        <f>tinder[[#This Row],[Engagement]]/MAX(tinder[Engagement])</f>
        <v>0.20108575003531715</v>
      </c>
      <c r="F7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79">
        <v>147</v>
      </c>
      <c r="H79">
        <f>IFERROR(tinder[[#This Row],[Conversations]]/tinder[[#This Row],[Tinder Opened]],0)</f>
        <v>1.4753111200321157E-2</v>
      </c>
      <c r="I79">
        <f>tinder[[#This Row],[Conversations]]/MAX(tinder[Conversations])</f>
        <v>1.1627906976744186E-2</v>
      </c>
      <c r="J79">
        <f>(tinder[[#This Row],[Norm Engagement]]*2)+(tinder[[#This Row],[Norm Swipes]]*1)+(tinder[[#This Row],[Norm Conversations]]*2)</f>
        <v>0.46513085401394377</v>
      </c>
      <c r="K7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9">
        <v>24</v>
      </c>
      <c r="M79">
        <v>1</v>
      </c>
      <c r="N79">
        <v>125</v>
      </c>
      <c r="O79">
        <v>5497</v>
      </c>
      <c r="P79">
        <v>5458</v>
      </c>
      <c r="Q79">
        <f>tinder[[#This Row],[All Swipes]]/MAX(tinder[All Swipes])</f>
        <v>3.9703539989821117E-2</v>
      </c>
      <c r="R79">
        <f>tinder[[#This Row],[Swipe Right (LIKE)]]+tinder[[#This Row],[Swipe Left (PASS)]]</f>
        <v>33701</v>
      </c>
      <c r="S79">
        <v>19463</v>
      </c>
      <c r="T79">
        <v>14238</v>
      </c>
      <c r="U79" t="s">
        <v>197</v>
      </c>
      <c r="V79" s="1">
        <v>44042</v>
      </c>
      <c r="W79" t="s">
        <v>12</v>
      </c>
      <c r="X79" t="s">
        <v>1295</v>
      </c>
      <c r="Y79" t="s">
        <v>458</v>
      </c>
      <c r="Z79">
        <v>25</v>
      </c>
      <c r="AA7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0" spans="1:27" x14ac:dyDescent="0.3">
      <c r="A80" t="s">
        <v>422</v>
      </c>
      <c r="B80">
        <v>12937</v>
      </c>
      <c r="C80">
        <v>325</v>
      </c>
      <c r="D80">
        <f>IFERROR(tinder[[#This Row],[Tinder Opened]]/tinder[[#This Row],[Days on Tinder]],0)</f>
        <v>39.806153846153848</v>
      </c>
      <c r="E80">
        <f>tinder[[#This Row],[Engagement]]/MAX(tinder[Engagement])</f>
        <v>0.20003092385001933</v>
      </c>
      <c r="F8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80">
        <v>118</v>
      </c>
      <c r="H80">
        <f>IFERROR(tinder[[#This Row],[Conversations]]/tinder[[#This Row],[Tinder Opened]],0)</f>
        <v>9.1211254541238313E-3</v>
      </c>
      <c r="I80">
        <f>tinder[[#This Row],[Conversations]]/MAX(tinder[Conversations])</f>
        <v>9.3339661445973731E-3</v>
      </c>
      <c r="J80">
        <f>(tinder[[#This Row],[Norm Engagement]]*2)+(tinder[[#This Row],[Norm Swipes]]*1)+(tinder[[#This Row],[Norm Conversations]]*2)</f>
        <v>0.50138609184009386</v>
      </c>
      <c r="K8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0">
        <v>69</v>
      </c>
      <c r="M80">
        <v>2</v>
      </c>
      <c r="N80">
        <v>288</v>
      </c>
      <c r="O80">
        <v>406</v>
      </c>
      <c r="P80">
        <v>346</v>
      </c>
      <c r="Q80">
        <f>tinder[[#This Row],[All Swipes]]/MAX(tinder[All Swipes])</f>
        <v>8.2656311850860489E-2</v>
      </c>
      <c r="R80">
        <f>tinder[[#This Row],[Swipe Right (LIKE)]]+tinder[[#This Row],[Swipe Left (PASS)]]</f>
        <v>70160</v>
      </c>
      <c r="S80">
        <v>11808</v>
      </c>
      <c r="T80">
        <v>58352</v>
      </c>
      <c r="U80" t="s">
        <v>8</v>
      </c>
      <c r="V80" s="1">
        <v>43888</v>
      </c>
      <c r="W80" t="s">
        <v>12</v>
      </c>
      <c r="X80" t="s">
        <v>1295</v>
      </c>
      <c r="Y80" t="s">
        <v>423</v>
      </c>
      <c r="Z80">
        <v>21</v>
      </c>
      <c r="AA8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1" spans="1:27" x14ac:dyDescent="0.3">
      <c r="A81" t="s">
        <v>1255</v>
      </c>
      <c r="B81">
        <v>16042</v>
      </c>
      <c r="C81">
        <v>404</v>
      </c>
      <c r="D81">
        <f>IFERROR(tinder[[#This Row],[Tinder Opened]]/tinder[[#This Row],[Days on Tinder]],0)</f>
        <v>39.707920792079207</v>
      </c>
      <c r="E81">
        <f>tinder[[#This Row],[Engagement]]/MAX(tinder[Engagement])</f>
        <v>0.19953729041245832</v>
      </c>
      <c r="F8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81">
        <v>347</v>
      </c>
      <c r="H81">
        <f>IFERROR(tinder[[#This Row],[Conversations]]/tinder[[#This Row],[Tinder Opened]],0)</f>
        <v>2.1630719361675602E-2</v>
      </c>
      <c r="I81">
        <f>tinder[[#This Row],[Conversations]]/MAX(tinder[Conversations])</f>
        <v>2.7448188577756685E-2</v>
      </c>
      <c r="J81">
        <f>(tinder[[#This Row],[Norm Engagement]]*2)+(tinder[[#This Row],[Norm Swipes]]*1)+(tinder[[#This Row],[Norm Conversations]]*2)</f>
        <v>0.4946158091613691</v>
      </c>
      <c r="K8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1">
        <v>87</v>
      </c>
      <c r="M81">
        <v>70</v>
      </c>
      <c r="N81">
        <v>1776</v>
      </c>
      <c r="O81">
        <v>4557</v>
      </c>
      <c r="P81">
        <v>4540</v>
      </c>
      <c r="Q81">
        <f>tinder[[#This Row],[All Swipes]]/MAX(tinder[All Swipes])</f>
        <v>4.06448511809391E-2</v>
      </c>
      <c r="R81">
        <f>tinder[[#This Row],[Swipe Right (LIKE)]]+tinder[[#This Row],[Swipe Left (PASS)]]</f>
        <v>34500</v>
      </c>
      <c r="S81">
        <v>32096</v>
      </c>
      <c r="T81">
        <v>2404</v>
      </c>
      <c r="U81" t="s">
        <v>25</v>
      </c>
      <c r="V81" s="1">
        <v>43884</v>
      </c>
      <c r="W81" t="s">
        <v>12</v>
      </c>
      <c r="X81" t="s">
        <v>1295</v>
      </c>
      <c r="Y81" t="s">
        <v>8</v>
      </c>
      <c r="Z81">
        <v>22</v>
      </c>
      <c r="AA8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2" spans="1:27" x14ac:dyDescent="0.3">
      <c r="A82" t="s">
        <v>67</v>
      </c>
      <c r="B82">
        <v>44167</v>
      </c>
      <c r="C82">
        <v>1123</v>
      </c>
      <c r="D82">
        <f>IFERROR(tinder[[#This Row],[Tinder Opened]]/tinder[[#This Row],[Days on Tinder]],0)</f>
        <v>39.329474621549423</v>
      </c>
      <c r="E82">
        <f>tinder[[#This Row],[Engagement]]/MAX(tinder[Engagement])</f>
        <v>0.19763555086205739</v>
      </c>
      <c r="F8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82">
        <v>917</v>
      </c>
      <c r="H82">
        <f>IFERROR(tinder[[#This Row],[Conversations]]/tinder[[#This Row],[Tinder Opened]],0)</f>
        <v>2.0762107455792787E-2</v>
      </c>
      <c r="I82">
        <f>tinder[[#This Row],[Conversations]]/MAX(tinder[Conversations])</f>
        <v>7.2535991140642297E-2</v>
      </c>
      <c r="J82">
        <f>(tinder[[#This Row],[Norm Engagement]]*2)+(tinder[[#This Row],[Norm Swipes]]*1)+(tinder[[#This Row],[Norm Conversations]]*2)</f>
        <v>0.66098053664531187</v>
      </c>
      <c r="K8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82">
        <v>429</v>
      </c>
      <c r="M82">
        <v>33</v>
      </c>
      <c r="N82">
        <v>1500</v>
      </c>
      <c r="O82">
        <v>5872</v>
      </c>
      <c r="P82">
        <v>5602</v>
      </c>
      <c r="Q82">
        <f>tinder[[#This Row],[All Swipes]]/MAX(tinder[All Swipes])</f>
        <v>0.12063745263991253</v>
      </c>
      <c r="R82">
        <f>tinder[[#This Row],[Swipe Right (LIKE)]]+tinder[[#This Row],[Swipe Left (PASS)]]</f>
        <v>102399</v>
      </c>
      <c r="S82">
        <v>36215</v>
      </c>
      <c r="T82">
        <v>66184</v>
      </c>
      <c r="U82" t="s">
        <v>8</v>
      </c>
      <c r="V82" s="1">
        <v>41897</v>
      </c>
      <c r="W82" t="s">
        <v>7</v>
      </c>
      <c r="X82" t="s">
        <v>1295</v>
      </c>
      <c r="Y82" t="s">
        <v>8</v>
      </c>
      <c r="Z82">
        <v>20</v>
      </c>
      <c r="AA8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3" spans="1:27" x14ac:dyDescent="0.3">
      <c r="A83" t="s">
        <v>72</v>
      </c>
      <c r="B83">
        <v>7693</v>
      </c>
      <c r="C83">
        <v>196</v>
      </c>
      <c r="D83">
        <f>IFERROR(tinder[[#This Row],[Tinder Opened]]/tinder[[#This Row],[Days on Tinder]],0)</f>
        <v>39.25</v>
      </c>
      <c r="E83">
        <f>tinder[[#This Row],[Engagement]]/MAX(tinder[Engagement])</f>
        <v>0.19723618090452261</v>
      </c>
      <c r="F8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83">
        <v>419</v>
      </c>
      <c r="H83">
        <f>IFERROR(tinder[[#This Row],[Conversations]]/tinder[[#This Row],[Tinder Opened]],0)</f>
        <v>5.4465098141167297E-2</v>
      </c>
      <c r="I83">
        <f>tinder[[#This Row],[Conversations]]/MAX(tinder[Conversations])</f>
        <v>3.3143489954121183E-2</v>
      </c>
      <c r="J83">
        <f>(tinder[[#This Row],[Norm Engagement]]*2)+(tinder[[#This Row],[Norm Swipes]]*1)+(tinder[[#This Row],[Norm Conversations]]*2)</f>
        <v>0.57491718040081852</v>
      </c>
      <c r="K8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83">
        <v>75</v>
      </c>
      <c r="M83">
        <v>101</v>
      </c>
      <c r="N83">
        <v>965</v>
      </c>
      <c r="O83">
        <v>3295</v>
      </c>
      <c r="P83">
        <v>3748</v>
      </c>
      <c r="Q83">
        <f>tinder[[#This Row],[All Swipes]]/MAX(tinder[All Swipes])</f>
        <v>0.11415783868353094</v>
      </c>
      <c r="R83">
        <f>tinder[[#This Row],[Swipe Right (LIKE)]]+tinder[[#This Row],[Swipe Left (PASS)]]</f>
        <v>96899</v>
      </c>
      <c r="S83">
        <v>1837</v>
      </c>
      <c r="T83">
        <v>95062</v>
      </c>
      <c r="U83" t="s">
        <v>10</v>
      </c>
      <c r="V83" s="1">
        <v>43757</v>
      </c>
      <c r="W83" t="s">
        <v>12</v>
      </c>
      <c r="X83" t="s">
        <v>1296</v>
      </c>
      <c r="Y83" t="s">
        <v>73</v>
      </c>
      <c r="Z83">
        <v>18</v>
      </c>
      <c r="AA8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4" spans="1:27" x14ac:dyDescent="0.3">
      <c r="A84" t="s">
        <v>818</v>
      </c>
      <c r="B84">
        <v>13272</v>
      </c>
      <c r="C84">
        <v>340</v>
      </c>
      <c r="D84">
        <f>IFERROR(tinder[[#This Row],[Tinder Opened]]/tinder[[#This Row],[Days on Tinder]],0)</f>
        <v>39.035294117647062</v>
      </c>
      <c r="E84">
        <f>tinder[[#This Row],[Engagement]]/MAX(tinder[Engagement])</f>
        <v>0.1961572568725983</v>
      </c>
      <c r="F8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84">
        <v>232</v>
      </c>
      <c r="H84">
        <f>IFERROR(tinder[[#This Row],[Conversations]]/tinder[[#This Row],[Tinder Opened]],0)</f>
        <v>1.7480409885473176E-2</v>
      </c>
      <c r="I84">
        <f>tinder[[#This Row],[Conversations]]/MAX(tinder[Conversations])</f>
        <v>1.8351526657174499E-2</v>
      </c>
      <c r="J84">
        <f>(tinder[[#This Row],[Norm Engagement]]*2)+(tinder[[#This Row],[Norm Swipes]]*1)+(tinder[[#This Row],[Norm Conversations]]*2)</f>
        <v>0.67744360992395902</v>
      </c>
      <c r="K8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84">
        <v>100</v>
      </c>
      <c r="M84">
        <v>5</v>
      </c>
      <c r="N84">
        <v>932</v>
      </c>
      <c r="O84">
        <v>4684</v>
      </c>
      <c r="P84">
        <v>3752</v>
      </c>
      <c r="Q84">
        <f>tinder[[#This Row],[All Swipes]]/MAX(tinder[All Swipes])</f>
        <v>0.2484260428644135</v>
      </c>
      <c r="R84">
        <f>tinder[[#This Row],[Swipe Right (LIKE)]]+tinder[[#This Row],[Swipe Left (PASS)]]</f>
        <v>210868</v>
      </c>
      <c r="S84">
        <v>34256</v>
      </c>
      <c r="T84">
        <v>176612</v>
      </c>
      <c r="U84" t="s">
        <v>10</v>
      </c>
      <c r="V84" s="1">
        <v>43374</v>
      </c>
      <c r="W84" t="s">
        <v>12</v>
      </c>
      <c r="X84" t="s">
        <v>1295</v>
      </c>
      <c r="Y84" t="s">
        <v>819</v>
      </c>
      <c r="Z84">
        <v>18</v>
      </c>
      <c r="AA8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5" spans="1:27" x14ac:dyDescent="0.3">
      <c r="A85" t="s">
        <v>1123</v>
      </c>
      <c r="B85">
        <v>7235</v>
      </c>
      <c r="C85">
        <v>188</v>
      </c>
      <c r="D85">
        <f>IFERROR(tinder[[#This Row],[Tinder Opened]]/tinder[[#This Row],[Days on Tinder]],0)</f>
        <v>38.484042553191486</v>
      </c>
      <c r="E85">
        <f>tinder[[#This Row],[Engagement]]/MAX(tinder[Engagement])</f>
        <v>0.19338714850849992</v>
      </c>
      <c r="F8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85">
        <v>350</v>
      </c>
      <c r="H85">
        <f>IFERROR(tinder[[#This Row],[Conversations]]/tinder[[#This Row],[Tinder Opened]],0)</f>
        <v>4.8375950241879753E-2</v>
      </c>
      <c r="I85">
        <f>tinder[[#This Row],[Conversations]]/MAX(tinder[Conversations])</f>
        <v>2.768549280177187E-2</v>
      </c>
      <c r="J85">
        <f>(tinder[[#This Row],[Norm Engagement]]*2)+(tinder[[#This Row],[Norm Swipes]]*1)+(tinder[[#This Row],[Norm Conversations]]*2)</f>
        <v>0.49763551843136716</v>
      </c>
      <c r="K8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5">
        <v>113</v>
      </c>
      <c r="M85">
        <v>60</v>
      </c>
      <c r="N85">
        <v>216</v>
      </c>
      <c r="O85">
        <v>1464</v>
      </c>
      <c r="P85">
        <v>1298</v>
      </c>
      <c r="Q85">
        <f>tinder[[#This Row],[All Swipes]]/MAX(tinder[All Swipes])</f>
        <v>5.5490235810823546E-2</v>
      </c>
      <c r="R85">
        <f>tinder[[#This Row],[Swipe Right (LIKE)]]+tinder[[#This Row],[Swipe Left (PASS)]]</f>
        <v>47101</v>
      </c>
      <c r="S85">
        <v>8659</v>
      </c>
      <c r="T85">
        <v>38442</v>
      </c>
      <c r="U85" t="s">
        <v>10</v>
      </c>
      <c r="V85" s="1">
        <v>44107</v>
      </c>
      <c r="W85" t="s">
        <v>12</v>
      </c>
      <c r="X85" t="s">
        <v>1295</v>
      </c>
      <c r="Y85" t="s">
        <v>8</v>
      </c>
      <c r="Z85">
        <v>24</v>
      </c>
      <c r="AA8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6" spans="1:27" x14ac:dyDescent="0.3">
      <c r="A86" t="s">
        <v>798</v>
      </c>
      <c r="B86">
        <v>21476</v>
      </c>
      <c r="C86">
        <v>561</v>
      </c>
      <c r="D86">
        <f>IFERROR(tinder[[#This Row],[Tinder Opened]]/tinder[[#This Row],[Days on Tinder]],0)</f>
        <v>38.281639928698752</v>
      </c>
      <c r="E86">
        <f>tinder[[#This Row],[Engagement]]/MAX(tinder[Engagement])</f>
        <v>0.19237004989295856</v>
      </c>
      <c r="F8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86">
        <v>109</v>
      </c>
      <c r="H86">
        <f>IFERROR(tinder[[#This Row],[Conversations]]/tinder[[#This Row],[Tinder Opened]],0)</f>
        <v>5.0754330415347364E-3</v>
      </c>
      <c r="I86">
        <f>tinder[[#This Row],[Conversations]]/MAX(tinder[Conversations])</f>
        <v>8.6220534725518112E-3</v>
      </c>
      <c r="J86">
        <f>(tinder[[#This Row],[Norm Engagement]]*2)+(tinder[[#This Row],[Norm Swipes]]*1)+(tinder[[#This Row],[Norm Conversations]]*2)</f>
        <v>0.51967755841147911</v>
      </c>
      <c r="K8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6">
        <v>42</v>
      </c>
      <c r="M86">
        <v>0</v>
      </c>
      <c r="N86">
        <v>712</v>
      </c>
      <c r="O86">
        <v>5200</v>
      </c>
      <c r="P86">
        <v>4868</v>
      </c>
      <c r="Q86">
        <f>tinder[[#This Row],[All Swipes]]/MAX(tinder[All Swipes])</f>
        <v>0.11769335168045843</v>
      </c>
      <c r="R86">
        <f>tinder[[#This Row],[Swipe Right (LIKE)]]+tinder[[#This Row],[Swipe Left (PASS)]]</f>
        <v>99900</v>
      </c>
      <c r="S86">
        <v>35476</v>
      </c>
      <c r="T86">
        <v>64424</v>
      </c>
      <c r="U86" t="s">
        <v>262</v>
      </c>
      <c r="V86" s="1">
        <v>42753</v>
      </c>
      <c r="W86" t="s">
        <v>7</v>
      </c>
      <c r="X86" t="s">
        <v>1295</v>
      </c>
      <c r="Y86" t="s">
        <v>8</v>
      </c>
      <c r="Z86">
        <v>23</v>
      </c>
      <c r="AA8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7" spans="1:27" x14ac:dyDescent="0.3">
      <c r="A87" t="s">
        <v>156</v>
      </c>
      <c r="B87">
        <v>8913</v>
      </c>
      <c r="C87">
        <v>233</v>
      </c>
      <c r="D87">
        <f>IFERROR(tinder[[#This Row],[Tinder Opened]]/tinder[[#This Row],[Days on Tinder]],0)</f>
        <v>38.253218884120173</v>
      </c>
      <c r="E87">
        <f>tinder[[#This Row],[Engagement]]/MAX(tinder[Engagement])</f>
        <v>0.19222723057346822</v>
      </c>
      <c r="F8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87">
        <v>269</v>
      </c>
      <c r="H87">
        <f>IFERROR(tinder[[#This Row],[Conversations]]/tinder[[#This Row],[Tinder Opened]],0)</f>
        <v>3.018063502748794E-2</v>
      </c>
      <c r="I87">
        <f>tinder[[#This Row],[Conversations]]/MAX(tinder[Conversations])</f>
        <v>2.1278278753361808E-2</v>
      </c>
      <c r="J87">
        <f>(tinder[[#This Row],[Norm Engagement]]*2)+(tinder[[#This Row],[Norm Swipes]]*1)+(tinder[[#This Row],[Norm Conversations]]*2)</f>
        <v>0.47136692146416315</v>
      </c>
      <c r="K8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7">
        <v>51</v>
      </c>
      <c r="M87">
        <v>1</v>
      </c>
      <c r="N87">
        <v>276</v>
      </c>
      <c r="O87">
        <v>3718</v>
      </c>
      <c r="P87">
        <v>3252</v>
      </c>
      <c r="Q87">
        <f>tinder[[#This Row],[All Swipes]]/MAX(tinder[All Swipes])</f>
        <v>4.4355902810503098E-2</v>
      </c>
      <c r="R87">
        <f>tinder[[#This Row],[Swipe Right (LIKE)]]+tinder[[#This Row],[Swipe Left (PASS)]]</f>
        <v>37650</v>
      </c>
      <c r="S87">
        <v>24024</v>
      </c>
      <c r="T87">
        <v>13626</v>
      </c>
      <c r="U87" t="s">
        <v>8</v>
      </c>
      <c r="V87" s="1">
        <v>43869</v>
      </c>
      <c r="W87" t="s">
        <v>12</v>
      </c>
      <c r="X87" t="s">
        <v>1295</v>
      </c>
      <c r="Y87" t="s">
        <v>8</v>
      </c>
      <c r="Z87">
        <v>22</v>
      </c>
      <c r="AA8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8" spans="1:27" x14ac:dyDescent="0.3">
      <c r="A88" t="s">
        <v>1101</v>
      </c>
      <c r="B88">
        <v>28099</v>
      </c>
      <c r="C88">
        <v>745</v>
      </c>
      <c r="D88">
        <f>IFERROR(tinder[[#This Row],[Tinder Opened]]/tinder[[#This Row],[Days on Tinder]],0)</f>
        <v>37.716778523489936</v>
      </c>
      <c r="E88">
        <f>tinder[[#This Row],[Engagement]]/MAX(tinder[Engagement])</f>
        <v>0.18953155036929617</v>
      </c>
      <c r="F8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88">
        <v>1705</v>
      </c>
      <c r="H88">
        <f>IFERROR(tinder[[#This Row],[Conversations]]/tinder[[#This Row],[Tinder Opened]],0)</f>
        <v>6.0678315954304424E-2</v>
      </c>
      <c r="I88">
        <f>tinder[[#This Row],[Conversations]]/MAX(tinder[Conversations])</f>
        <v>0.13486790064863155</v>
      </c>
      <c r="J88">
        <f>(tinder[[#This Row],[Norm Engagement]]*2)+(tinder[[#This Row],[Norm Swipes]]*1)+(tinder[[#This Row],[Norm Conversations]]*2)</f>
        <v>0.72180765776147804</v>
      </c>
      <c r="K8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88">
        <v>1012</v>
      </c>
      <c r="M88">
        <v>15</v>
      </c>
      <c r="N88">
        <v>1684</v>
      </c>
      <c r="O88">
        <v>5970</v>
      </c>
      <c r="P88">
        <v>5279</v>
      </c>
      <c r="Q88">
        <f>tinder[[#This Row],[All Swipes]]/MAX(tinder[All Swipes])</f>
        <v>7.3008755725622515E-2</v>
      </c>
      <c r="R88">
        <f>tinder[[#This Row],[Swipe Right (LIKE)]]+tinder[[#This Row],[Swipe Left (PASS)]]</f>
        <v>61971</v>
      </c>
      <c r="S88">
        <v>31714</v>
      </c>
      <c r="T88">
        <v>30257</v>
      </c>
      <c r="U88" t="s">
        <v>10</v>
      </c>
      <c r="V88" s="1">
        <v>43392</v>
      </c>
      <c r="W88" t="s">
        <v>12</v>
      </c>
      <c r="X88" t="s">
        <v>1295</v>
      </c>
      <c r="Y88" t="s">
        <v>8</v>
      </c>
      <c r="Z88">
        <v>28</v>
      </c>
      <c r="AA8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9" spans="1:27" x14ac:dyDescent="0.3">
      <c r="A89" t="s">
        <v>779</v>
      </c>
      <c r="B89">
        <v>87051</v>
      </c>
      <c r="C89">
        <v>2319</v>
      </c>
      <c r="D89">
        <f>IFERROR(tinder[[#This Row],[Tinder Opened]]/tinder[[#This Row],[Days on Tinder]],0)</f>
        <v>37.538163001293661</v>
      </c>
      <c r="E89">
        <f>tinder[[#This Row],[Engagement]]/MAX(tinder[Engagement])</f>
        <v>0.18863398493112393</v>
      </c>
      <c r="F8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89">
        <v>9366</v>
      </c>
      <c r="H89">
        <f>IFERROR(tinder[[#This Row],[Conversations]]/tinder[[#This Row],[Tinder Opened]],0)</f>
        <v>0.10759210118206569</v>
      </c>
      <c r="I89">
        <f>tinder[[#This Row],[Conversations]]/MAX(tinder[Conversations])</f>
        <v>0.74086378737541525</v>
      </c>
      <c r="J89">
        <f>(tinder[[#This Row],[Norm Engagement]]*2)+(tinder[[#This Row],[Norm Swipes]]*1)+(tinder[[#This Row],[Norm Conversations]]*2)</f>
        <v>2.4229387313579087</v>
      </c>
      <c r="K8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89">
        <v>3102</v>
      </c>
      <c r="M89">
        <v>643</v>
      </c>
      <c r="N89">
        <v>16048</v>
      </c>
      <c r="O89">
        <v>43759</v>
      </c>
      <c r="P89">
        <v>46393</v>
      </c>
      <c r="Q89">
        <f>tinder[[#This Row],[All Swipes]]/MAX(tinder[All Swipes])</f>
        <v>0.56394318674483046</v>
      </c>
      <c r="R89">
        <f>tinder[[#This Row],[Swipe Right (LIKE)]]+tinder[[#This Row],[Swipe Left (PASS)]]</f>
        <v>478684</v>
      </c>
      <c r="S89">
        <v>290148</v>
      </c>
      <c r="T89">
        <v>188536</v>
      </c>
      <c r="U89" t="s">
        <v>122</v>
      </c>
      <c r="V89" s="1">
        <v>41698</v>
      </c>
      <c r="W89" t="s">
        <v>12</v>
      </c>
      <c r="X89" t="s">
        <v>1295</v>
      </c>
      <c r="Y89" t="s">
        <v>8</v>
      </c>
      <c r="Z89">
        <v>32</v>
      </c>
      <c r="AA89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90" spans="1:27" x14ac:dyDescent="0.3">
      <c r="A90" t="s">
        <v>135</v>
      </c>
      <c r="B90">
        <v>2093</v>
      </c>
      <c r="C90">
        <v>57</v>
      </c>
      <c r="D90">
        <f>IFERROR(tinder[[#This Row],[Tinder Opened]]/tinder[[#This Row],[Days on Tinder]],0)</f>
        <v>36.719298245614034</v>
      </c>
      <c r="E90">
        <f>tinder[[#This Row],[Engagement]]/MAX(tinder[Engagement])</f>
        <v>0.18451908666137706</v>
      </c>
      <c r="F9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90">
        <v>77</v>
      </c>
      <c r="H90">
        <f>IFERROR(tinder[[#This Row],[Conversations]]/tinder[[#This Row],[Tinder Opened]],0)</f>
        <v>3.678929765886288E-2</v>
      </c>
      <c r="I90">
        <f>tinder[[#This Row],[Conversations]]/MAX(tinder[Conversations])</f>
        <v>6.090808416389812E-3</v>
      </c>
      <c r="J90">
        <f>(tinder[[#This Row],[Norm Engagement]]*2)+(tinder[[#This Row],[Norm Swipes]]*1)+(tinder[[#This Row],[Norm Conversations]]*2)</f>
        <v>0.3917403269974406</v>
      </c>
      <c r="K9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0">
        <v>22</v>
      </c>
      <c r="M90">
        <v>0</v>
      </c>
      <c r="N90">
        <v>99</v>
      </c>
      <c r="O90">
        <v>885</v>
      </c>
      <c r="P90">
        <v>720</v>
      </c>
      <c r="Q90">
        <f>tinder[[#This Row],[All Swipes]]/MAX(tinder[All Swipes])</f>
        <v>1.0520536841906845E-2</v>
      </c>
      <c r="R90">
        <f>tinder[[#This Row],[Swipe Right (LIKE)]]+tinder[[#This Row],[Swipe Left (PASS)]]</f>
        <v>8930</v>
      </c>
      <c r="S90">
        <v>2189</v>
      </c>
      <c r="T90">
        <v>6741</v>
      </c>
      <c r="U90" t="s">
        <v>8</v>
      </c>
      <c r="V90" s="1">
        <v>44019</v>
      </c>
      <c r="W90" t="s">
        <v>12</v>
      </c>
      <c r="X90" t="s">
        <v>1295</v>
      </c>
      <c r="Y90" t="s">
        <v>8</v>
      </c>
      <c r="Z90">
        <v>21</v>
      </c>
      <c r="AA9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1" spans="1:27" x14ac:dyDescent="0.3">
      <c r="A91" t="s">
        <v>178</v>
      </c>
      <c r="B91">
        <v>12849</v>
      </c>
      <c r="C91">
        <v>351</v>
      </c>
      <c r="D91">
        <f>IFERROR(tinder[[#This Row],[Tinder Opened]]/tinder[[#This Row],[Days on Tinder]],0)</f>
        <v>36.606837606837608</v>
      </c>
      <c r="E91">
        <f>tinder[[#This Row],[Engagement]]/MAX(tinder[Engagement])</f>
        <v>0.18395395782330456</v>
      </c>
      <c r="F9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91">
        <v>1068</v>
      </c>
      <c r="H91">
        <f>IFERROR(tinder[[#This Row],[Conversations]]/tinder[[#This Row],[Tinder Opened]],0)</f>
        <v>8.3119308895633903E-2</v>
      </c>
      <c r="I91">
        <f>tinder[[#This Row],[Conversations]]/MAX(tinder[Conversations])</f>
        <v>8.4480303749406738E-2</v>
      </c>
      <c r="J91">
        <f>(tinder[[#This Row],[Norm Engagement]]*2)+(tinder[[#This Row],[Norm Swipes]]*1)+(tinder[[#This Row],[Norm Conversations]]*2)</f>
        <v>0.5748084300274795</v>
      </c>
      <c r="K9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91">
        <v>385</v>
      </c>
      <c r="M91">
        <v>21</v>
      </c>
      <c r="N91">
        <v>2996</v>
      </c>
      <c r="O91">
        <v>9745</v>
      </c>
      <c r="P91">
        <v>10780</v>
      </c>
      <c r="Q91">
        <f>tinder[[#This Row],[All Swipes]]/MAX(tinder[All Swipes])</f>
        <v>3.7939906882056888E-2</v>
      </c>
      <c r="R91">
        <f>tinder[[#This Row],[Swipe Right (LIKE)]]+tinder[[#This Row],[Swipe Left (PASS)]]</f>
        <v>32204</v>
      </c>
      <c r="S91">
        <v>7553</v>
      </c>
      <c r="T91">
        <v>24651</v>
      </c>
      <c r="U91" t="s">
        <v>10</v>
      </c>
      <c r="V91" s="1">
        <v>43606</v>
      </c>
      <c r="W91" t="s">
        <v>12</v>
      </c>
      <c r="X91" t="s">
        <v>1296</v>
      </c>
      <c r="Y91" t="s">
        <v>179</v>
      </c>
      <c r="Z91">
        <v>25</v>
      </c>
      <c r="AA9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2" spans="1:27" x14ac:dyDescent="0.3">
      <c r="A92" t="s">
        <v>239</v>
      </c>
      <c r="B92">
        <v>291</v>
      </c>
      <c r="C92">
        <v>8</v>
      </c>
      <c r="D92">
        <f>IFERROR(tinder[[#This Row],[Tinder Opened]]/tinder[[#This Row],[Days on Tinder]],0)</f>
        <v>36.375</v>
      </c>
      <c r="E92">
        <f>tinder[[#This Row],[Engagement]]/MAX(tinder[Engagement])</f>
        <v>0.18278894472361809</v>
      </c>
      <c r="F9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92">
        <v>11</v>
      </c>
      <c r="H92">
        <f>IFERROR(tinder[[#This Row],[Conversations]]/tinder[[#This Row],[Tinder Opened]],0)</f>
        <v>3.7800687285223365E-2</v>
      </c>
      <c r="I92">
        <f>tinder[[#This Row],[Conversations]]/MAX(tinder[Conversations])</f>
        <v>8.7011548805568742E-4</v>
      </c>
      <c r="J92">
        <f>(tinder[[#This Row],[Norm Engagement]]*2)+(tinder[[#This Row],[Norm Swipes]]*1)+(tinder[[#This Row],[Norm Conversations]]*2)</f>
        <v>0.36848562904712467</v>
      </c>
      <c r="K9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2">
        <v>5</v>
      </c>
      <c r="M92">
        <v>0</v>
      </c>
      <c r="N92">
        <v>26</v>
      </c>
      <c r="O92">
        <v>87</v>
      </c>
      <c r="P92">
        <v>117</v>
      </c>
      <c r="Q92">
        <f>tinder[[#This Row],[All Swipes]]/MAX(tinder[All Swipes])</f>
        <v>1.1675086237771201E-3</v>
      </c>
      <c r="R92">
        <f>tinder[[#This Row],[Swipe Right (LIKE)]]+tinder[[#This Row],[Swipe Left (PASS)]]</f>
        <v>991</v>
      </c>
      <c r="S92">
        <v>366</v>
      </c>
      <c r="T92">
        <v>625</v>
      </c>
      <c r="U92" t="s">
        <v>8</v>
      </c>
      <c r="V92" s="1">
        <v>44157</v>
      </c>
      <c r="W92" t="s">
        <v>12</v>
      </c>
      <c r="X92" t="s">
        <v>1295</v>
      </c>
      <c r="Y92" t="s">
        <v>8</v>
      </c>
      <c r="Z92">
        <v>22</v>
      </c>
      <c r="AA9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3" spans="1:27" x14ac:dyDescent="0.3">
      <c r="A93" t="s">
        <v>588</v>
      </c>
      <c r="B93">
        <v>1270</v>
      </c>
      <c r="C93">
        <v>35</v>
      </c>
      <c r="D93">
        <f>IFERROR(tinder[[#This Row],[Tinder Opened]]/tinder[[#This Row],[Days on Tinder]],0)</f>
        <v>36.285714285714285</v>
      </c>
      <c r="E93">
        <f>tinder[[#This Row],[Engagement]]/MAX(tinder[Engagement])</f>
        <v>0.18234027279253409</v>
      </c>
      <c r="F9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93">
        <v>43</v>
      </c>
      <c r="H93">
        <f>IFERROR(tinder[[#This Row],[Conversations]]/tinder[[#This Row],[Tinder Opened]],0)</f>
        <v>3.3858267716535433E-2</v>
      </c>
      <c r="I93">
        <f>tinder[[#This Row],[Conversations]]/MAX(tinder[Conversations])</f>
        <v>3.4013605442176869E-3</v>
      </c>
      <c r="J93">
        <f>(tinder[[#This Row],[Norm Engagement]]*2)+(tinder[[#This Row],[Norm Swipes]]*1)+(tinder[[#This Row],[Norm Conversations]]*2)</f>
        <v>0.39229460858977283</v>
      </c>
      <c r="K9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3">
        <v>24</v>
      </c>
      <c r="M93">
        <v>3</v>
      </c>
      <c r="N93">
        <v>55</v>
      </c>
      <c r="O93">
        <v>82</v>
      </c>
      <c r="P93">
        <v>55</v>
      </c>
      <c r="Q93">
        <f>tinder[[#This Row],[All Swipes]]/MAX(tinder[All Swipes])</f>
        <v>2.0811341916269252E-2</v>
      </c>
      <c r="R93">
        <f>tinder[[#This Row],[Swipe Right (LIKE)]]+tinder[[#This Row],[Swipe Left (PASS)]]</f>
        <v>17665</v>
      </c>
      <c r="S93">
        <v>3393</v>
      </c>
      <c r="T93">
        <v>14272</v>
      </c>
      <c r="U93" t="s">
        <v>10</v>
      </c>
      <c r="V93" s="1">
        <v>44247</v>
      </c>
      <c r="W93" t="s">
        <v>12</v>
      </c>
      <c r="X93" t="s">
        <v>1295</v>
      </c>
      <c r="Y93" t="s">
        <v>8</v>
      </c>
      <c r="Z93">
        <v>27</v>
      </c>
      <c r="AA9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4" spans="1:27" x14ac:dyDescent="0.3">
      <c r="A94" t="s">
        <v>630</v>
      </c>
      <c r="B94">
        <v>1191</v>
      </c>
      <c r="C94">
        <v>33</v>
      </c>
      <c r="D94">
        <f>IFERROR(tinder[[#This Row],[Tinder Opened]]/tinder[[#This Row],[Days on Tinder]],0)</f>
        <v>36.090909090909093</v>
      </c>
      <c r="E94">
        <f>tinder[[#This Row],[Engagement]]/MAX(tinder[Engagement])</f>
        <v>0.18136135221562358</v>
      </c>
      <c r="F9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94">
        <v>45</v>
      </c>
      <c r="H94">
        <f>IFERROR(tinder[[#This Row],[Conversations]]/tinder[[#This Row],[Tinder Opened]],0)</f>
        <v>3.7783375314861464E-2</v>
      </c>
      <c r="I94">
        <f>tinder[[#This Row],[Conversations]]/MAX(tinder[Conversations])</f>
        <v>3.559563360227812E-3</v>
      </c>
      <c r="J94">
        <f>(tinder[[#This Row],[Norm Engagement]]*2)+(tinder[[#This Row],[Norm Swipes]]*1)+(tinder[[#This Row],[Norm Conversations]]*2)</f>
        <v>0.37430451800020703</v>
      </c>
      <c r="K9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4">
        <v>24</v>
      </c>
      <c r="M94">
        <v>0</v>
      </c>
      <c r="N94">
        <v>92</v>
      </c>
      <c r="O94">
        <v>162</v>
      </c>
      <c r="P94">
        <v>128</v>
      </c>
      <c r="Q94">
        <f>tinder[[#This Row],[All Swipes]]/MAX(tinder[All Swipes])</f>
        <v>4.4626868485042699E-3</v>
      </c>
      <c r="R94">
        <f>tinder[[#This Row],[Swipe Right (LIKE)]]+tinder[[#This Row],[Swipe Left (PASS)]]</f>
        <v>3788</v>
      </c>
      <c r="S94">
        <v>2122</v>
      </c>
      <c r="T94">
        <v>1666</v>
      </c>
      <c r="U94" t="s">
        <v>61</v>
      </c>
      <c r="V94" s="1">
        <v>44187</v>
      </c>
      <c r="W94" t="s">
        <v>12</v>
      </c>
      <c r="X94" t="s">
        <v>1295</v>
      </c>
      <c r="Y94" t="s">
        <v>8</v>
      </c>
      <c r="Z94">
        <v>24</v>
      </c>
      <c r="AA9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5" spans="1:27" x14ac:dyDescent="0.3">
      <c r="A95" t="s">
        <v>395</v>
      </c>
      <c r="B95">
        <v>3185</v>
      </c>
      <c r="C95">
        <v>89</v>
      </c>
      <c r="D95">
        <f>IFERROR(tinder[[#This Row],[Tinder Opened]]/tinder[[#This Row],[Days on Tinder]],0)</f>
        <v>35.786516853932582</v>
      </c>
      <c r="E95">
        <f>tinder[[#This Row],[Engagement]]/MAX(tinder[Engagement])</f>
        <v>0.17983174298458585</v>
      </c>
      <c r="F9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95">
        <v>23</v>
      </c>
      <c r="H95">
        <f>IFERROR(tinder[[#This Row],[Conversations]]/tinder[[#This Row],[Tinder Opened]],0)</f>
        <v>7.2213500784929358E-3</v>
      </c>
      <c r="I95">
        <f>tinder[[#This Row],[Conversations]]/MAX(tinder[Conversations])</f>
        <v>1.8193323841164373E-3</v>
      </c>
      <c r="J95">
        <f>(tinder[[#This Row],[Norm Engagement]]*2)+(tinder[[#This Row],[Norm Swipes]]*1)+(tinder[[#This Row],[Norm Conversations]]*2)</f>
        <v>0.37045917888013513</v>
      </c>
      <c r="K9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5">
        <v>7</v>
      </c>
      <c r="M95">
        <v>0</v>
      </c>
      <c r="N95">
        <v>60</v>
      </c>
      <c r="O95">
        <v>1843</v>
      </c>
      <c r="P95">
        <v>2170</v>
      </c>
      <c r="Q95">
        <f>tinder[[#This Row],[All Swipes]]/MAX(tinder[All Swipes])</f>
        <v>7.1570281427305801E-3</v>
      </c>
      <c r="R95">
        <f>tinder[[#This Row],[Swipe Right (LIKE)]]+tinder[[#This Row],[Swipe Left (PASS)]]</f>
        <v>6075</v>
      </c>
      <c r="S95">
        <v>481</v>
      </c>
      <c r="T95">
        <v>5594</v>
      </c>
      <c r="U95" t="s">
        <v>65</v>
      </c>
      <c r="V95" s="1">
        <v>44139</v>
      </c>
      <c r="W95" t="s">
        <v>12</v>
      </c>
      <c r="X95" t="s">
        <v>1295</v>
      </c>
      <c r="Y95" t="s">
        <v>8</v>
      </c>
      <c r="Z95">
        <v>22</v>
      </c>
      <c r="AA9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6" spans="1:27" x14ac:dyDescent="0.3">
      <c r="A96" t="s">
        <v>1008</v>
      </c>
      <c r="B96">
        <v>27286</v>
      </c>
      <c r="C96">
        <v>764</v>
      </c>
      <c r="D96">
        <f>IFERROR(tinder[[#This Row],[Tinder Opened]]/tinder[[#This Row],[Days on Tinder]],0)</f>
        <v>35.714659685863872</v>
      </c>
      <c r="E96">
        <f>tinder[[#This Row],[Engagement]]/MAX(tinder[Engagement])</f>
        <v>0.17947065168775814</v>
      </c>
      <c r="F9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96">
        <v>831</v>
      </c>
      <c r="H96">
        <f>IFERROR(tinder[[#This Row],[Conversations]]/tinder[[#This Row],[Tinder Opened]],0)</f>
        <v>3.0455178479806493E-2</v>
      </c>
      <c r="I96">
        <f>tinder[[#This Row],[Conversations]]/MAX(tinder[Conversations])</f>
        <v>6.573327005220693E-2</v>
      </c>
      <c r="J96">
        <f>(tinder[[#This Row],[Norm Engagement]]*2)+(tinder[[#This Row],[Norm Swipes]]*1)+(tinder[[#This Row],[Norm Conversations]]*2)</f>
        <v>0.5755087369597891</v>
      </c>
      <c r="K9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96">
        <v>204</v>
      </c>
      <c r="M96">
        <v>50</v>
      </c>
      <c r="N96">
        <v>1341</v>
      </c>
      <c r="O96">
        <v>10943</v>
      </c>
      <c r="P96">
        <v>9089</v>
      </c>
      <c r="Q96">
        <f>tinder[[#This Row],[All Swipes]]/MAX(tinder[All Swipes])</f>
        <v>8.5100893479858997E-2</v>
      </c>
      <c r="R96">
        <f>tinder[[#This Row],[Swipe Right (LIKE)]]+tinder[[#This Row],[Swipe Left (PASS)]]</f>
        <v>72235</v>
      </c>
      <c r="S96">
        <v>35039</v>
      </c>
      <c r="T96">
        <v>37196</v>
      </c>
      <c r="U96" t="s">
        <v>8</v>
      </c>
      <c r="V96" s="1">
        <v>43204</v>
      </c>
      <c r="W96" t="s">
        <v>12</v>
      </c>
      <c r="X96" t="s">
        <v>1295</v>
      </c>
      <c r="Y96" t="s">
        <v>1009</v>
      </c>
      <c r="Z96">
        <v>22</v>
      </c>
      <c r="AA9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7" spans="1:27" x14ac:dyDescent="0.3">
      <c r="A97" t="s">
        <v>299</v>
      </c>
      <c r="B97">
        <v>107</v>
      </c>
      <c r="C97">
        <v>3</v>
      </c>
      <c r="D97">
        <f>IFERROR(tinder[[#This Row],[Tinder Opened]]/tinder[[#This Row],[Days on Tinder]],0)</f>
        <v>35.666666666666664</v>
      </c>
      <c r="E97">
        <f>tinder[[#This Row],[Engagement]]/MAX(tinder[Engagement])</f>
        <v>0.17922948073701842</v>
      </c>
      <c r="F9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97">
        <v>4</v>
      </c>
      <c r="H97">
        <f>IFERROR(tinder[[#This Row],[Conversations]]/tinder[[#This Row],[Tinder Opened]],0)</f>
        <v>3.7383177570093455E-2</v>
      </c>
      <c r="I97">
        <f>tinder[[#This Row],[Conversations]]/MAX(tinder[Conversations])</f>
        <v>3.1640563202024995E-4</v>
      </c>
      <c r="J97">
        <f>(tinder[[#This Row],[Norm Engagement]]*2)+(tinder[[#This Row],[Norm Swipes]]*1)+(tinder[[#This Row],[Norm Conversations]]*2)</f>
        <v>0.35992234143612262</v>
      </c>
      <c r="K9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7">
        <v>2</v>
      </c>
      <c r="M97">
        <v>0</v>
      </c>
      <c r="N97">
        <v>8</v>
      </c>
      <c r="O97">
        <v>19</v>
      </c>
      <c r="P97">
        <v>11</v>
      </c>
      <c r="Q97">
        <f>tinder[[#This Row],[All Swipes]]/MAX(tinder[All Swipes])</f>
        <v>8.3056869804527713E-4</v>
      </c>
      <c r="R97">
        <f>tinder[[#This Row],[Swipe Right (LIKE)]]+tinder[[#This Row],[Swipe Left (PASS)]]</f>
        <v>705</v>
      </c>
      <c r="S97">
        <v>292</v>
      </c>
      <c r="T97">
        <v>413</v>
      </c>
      <c r="U97" t="s">
        <v>8</v>
      </c>
      <c r="V97" s="1">
        <v>44179</v>
      </c>
      <c r="W97" t="s">
        <v>12</v>
      </c>
      <c r="X97" t="s">
        <v>1295</v>
      </c>
      <c r="Y97" t="s">
        <v>8</v>
      </c>
      <c r="Z97">
        <v>30</v>
      </c>
      <c r="AA9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8" spans="1:27" x14ac:dyDescent="0.3">
      <c r="A98" t="s">
        <v>774</v>
      </c>
      <c r="B98">
        <v>2310</v>
      </c>
      <c r="C98">
        <v>65</v>
      </c>
      <c r="D98">
        <f>IFERROR(tinder[[#This Row],[Tinder Opened]]/tinder[[#This Row],[Days on Tinder]],0)</f>
        <v>35.53846153846154</v>
      </c>
      <c r="E98">
        <f>tinder[[#This Row],[Engagement]]/MAX(tinder[Engagement])</f>
        <v>0.17858523386161579</v>
      </c>
      <c r="F9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98">
        <v>87</v>
      </c>
      <c r="H98">
        <f>IFERROR(tinder[[#This Row],[Conversations]]/tinder[[#This Row],[Tinder Opened]],0)</f>
        <v>3.7662337662337661E-2</v>
      </c>
      <c r="I98">
        <f>tinder[[#This Row],[Conversations]]/MAX(tinder[Conversations])</f>
        <v>6.8818224964404366E-3</v>
      </c>
      <c r="J98">
        <f>(tinder[[#This Row],[Norm Engagement]]*2)+(tinder[[#This Row],[Norm Swipes]]*1)+(tinder[[#This Row],[Norm Conversations]]*2)</f>
        <v>0.40143895711112854</v>
      </c>
      <c r="K9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8">
        <v>20</v>
      </c>
      <c r="M98">
        <v>1</v>
      </c>
      <c r="N98">
        <v>52</v>
      </c>
      <c r="O98">
        <v>922</v>
      </c>
      <c r="P98">
        <v>743</v>
      </c>
      <c r="Q98">
        <f>tinder[[#This Row],[All Swipes]]/MAX(tinder[All Swipes])</f>
        <v>3.0504844395016117E-2</v>
      </c>
      <c r="R98">
        <f>tinder[[#This Row],[Swipe Right (LIKE)]]+tinder[[#This Row],[Swipe Left (PASS)]]</f>
        <v>25893</v>
      </c>
      <c r="S98">
        <v>7756</v>
      </c>
      <c r="T98">
        <v>18137</v>
      </c>
      <c r="U98" t="s">
        <v>686</v>
      </c>
      <c r="V98" s="1">
        <v>44200</v>
      </c>
      <c r="W98" t="s">
        <v>12</v>
      </c>
      <c r="X98" t="s">
        <v>1295</v>
      </c>
      <c r="Y98" t="s">
        <v>8</v>
      </c>
      <c r="Z98">
        <v>41</v>
      </c>
      <c r="AA98" t="str">
        <f>_xlfn.IFS(tinder[[#This Row],[Age]]&lt;=20,"Teen",tinder[[#This Row],[Age]]&lt;=30,"Young Adult",tinder[[#This Row],[Age]]&lt;=40,"Adult",tinder[[#This Row],[Age]]&lt;=50,"Middle-Aged",TRUE,"Senior")</f>
        <v>Middle-Aged</v>
      </c>
    </row>
    <row r="99" spans="1:27" x14ac:dyDescent="0.3">
      <c r="A99" t="s">
        <v>610</v>
      </c>
      <c r="B99">
        <v>12789</v>
      </c>
      <c r="C99">
        <v>360</v>
      </c>
      <c r="D99">
        <f>IFERROR(tinder[[#This Row],[Tinder Opened]]/tinder[[#This Row],[Days on Tinder]],0)</f>
        <v>35.524999999999999</v>
      </c>
      <c r="E99">
        <f>tinder[[#This Row],[Engagement]]/MAX(tinder[Engagement])</f>
        <v>0.17851758793969849</v>
      </c>
      <c r="F9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99">
        <v>250</v>
      </c>
      <c r="H99">
        <f>IFERROR(tinder[[#This Row],[Conversations]]/tinder[[#This Row],[Tinder Opened]],0)</f>
        <v>1.9548049104699351E-2</v>
      </c>
      <c r="I99">
        <f>tinder[[#This Row],[Conversations]]/MAX(tinder[Conversations])</f>
        <v>1.9775352001265623E-2</v>
      </c>
      <c r="J99">
        <f>(tinder[[#This Row],[Norm Engagement]]*2)+(tinder[[#This Row],[Norm Swipes]]*1)+(tinder[[#This Row],[Norm Conversations]]*2)</f>
        <v>0.81620921403208568</v>
      </c>
      <c r="K9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99">
        <v>7</v>
      </c>
      <c r="M99">
        <v>23</v>
      </c>
      <c r="N99">
        <v>683</v>
      </c>
      <c r="O99">
        <v>4995</v>
      </c>
      <c r="P99">
        <v>4407</v>
      </c>
      <c r="Q99">
        <f>tinder[[#This Row],[All Swipes]]/MAX(tinder[All Swipes])</f>
        <v>0.4196233341501574</v>
      </c>
      <c r="R99">
        <f>tinder[[#This Row],[Swipe Right (LIKE)]]+tinder[[#This Row],[Swipe Left (PASS)]]</f>
        <v>356183</v>
      </c>
      <c r="S99">
        <v>6348</v>
      </c>
      <c r="T99">
        <v>349835</v>
      </c>
      <c r="U99" t="s">
        <v>8</v>
      </c>
      <c r="V99" s="1">
        <v>43919</v>
      </c>
      <c r="W99" t="s">
        <v>12</v>
      </c>
      <c r="X99" t="s">
        <v>1295</v>
      </c>
      <c r="Y99" t="s">
        <v>8</v>
      </c>
      <c r="Z99">
        <v>21</v>
      </c>
      <c r="AA9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00" spans="1:27" x14ac:dyDescent="0.3">
      <c r="A100" t="s">
        <v>83</v>
      </c>
      <c r="B100">
        <v>1958</v>
      </c>
      <c r="C100">
        <v>56</v>
      </c>
      <c r="D100">
        <f>IFERROR(tinder[[#This Row],[Tinder Opened]]/tinder[[#This Row],[Days on Tinder]],0)</f>
        <v>34.964285714285715</v>
      </c>
      <c r="E100">
        <f>tinder[[#This Row],[Engagement]]/MAX(tinder[Engagement])</f>
        <v>0.17569992821249103</v>
      </c>
      <c r="F10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00">
        <v>59</v>
      </c>
      <c r="H100">
        <f>IFERROR(tinder[[#This Row],[Conversations]]/tinder[[#This Row],[Tinder Opened]],0)</f>
        <v>3.0132788559754851E-2</v>
      </c>
      <c r="I100">
        <f>tinder[[#This Row],[Conversations]]/MAX(tinder[Conversations])</f>
        <v>4.6669830722986866E-3</v>
      </c>
      <c r="J100">
        <f>(tinder[[#This Row],[Norm Engagement]]*2)+(tinder[[#This Row],[Norm Swipes]]*1)+(tinder[[#This Row],[Norm Conversations]]*2)</f>
        <v>0.38902735143802675</v>
      </c>
      <c r="K10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00">
        <v>18</v>
      </c>
      <c r="M100">
        <v>15</v>
      </c>
      <c r="N100">
        <v>205</v>
      </c>
      <c r="O100">
        <v>497</v>
      </c>
      <c r="P100">
        <v>658</v>
      </c>
      <c r="Q100">
        <f>tinder[[#This Row],[All Swipes]]/MAX(tinder[All Swipes])</f>
        <v>2.8293528868447344E-2</v>
      </c>
      <c r="R100">
        <f>tinder[[#This Row],[Swipe Right (LIKE)]]+tinder[[#This Row],[Swipe Left (PASS)]]</f>
        <v>24016</v>
      </c>
      <c r="S100">
        <v>624</v>
      </c>
      <c r="T100">
        <v>23392</v>
      </c>
      <c r="U100" t="s">
        <v>8</v>
      </c>
      <c r="V100" s="1">
        <v>43768</v>
      </c>
      <c r="W100" t="s">
        <v>12</v>
      </c>
      <c r="X100" t="s">
        <v>1296</v>
      </c>
      <c r="Y100" t="s">
        <v>8</v>
      </c>
      <c r="Z100">
        <v>23</v>
      </c>
      <c r="AA10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01" spans="1:27" x14ac:dyDescent="0.3">
      <c r="A101" t="s">
        <v>891</v>
      </c>
      <c r="B101">
        <v>18657</v>
      </c>
      <c r="C101">
        <v>541</v>
      </c>
      <c r="D101">
        <f>IFERROR(tinder[[#This Row],[Tinder Opened]]/tinder[[#This Row],[Days on Tinder]],0)</f>
        <v>34.486136783733826</v>
      </c>
      <c r="E101">
        <f>tinder[[#This Row],[Engagement]]/MAX(tinder[Engagement])</f>
        <v>0.17329716976750667</v>
      </c>
      <c r="F10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01">
        <v>59</v>
      </c>
      <c r="H101">
        <f>IFERROR(tinder[[#This Row],[Conversations]]/tinder[[#This Row],[Tinder Opened]],0)</f>
        <v>3.1623519322506299E-3</v>
      </c>
      <c r="I101">
        <f>tinder[[#This Row],[Conversations]]/MAX(tinder[Conversations])</f>
        <v>4.6669830722986866E-3</v>
      </c>
      <c r="J101">
        <f>(tinder[[#This Row],[Norm Engagement]]*2)+(tinder[[#This Row],[Norm Swipes]]*1)+(tinder[[#This Row],[Norm Conversations]]*2)</f>
        <v>0.50940090751557987</v>
      </c>
      <c r="K10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01">
        <v>21</v>
      </c>
      <c r="M101">
        <v>1</v>
      </c>
      <c r="N101">
        <v>99</v>
      </c>
      <c r="O101">
        <v>18145</v>
      </c>
      <c r="P101">
        <v>18055</v>
      </c>
      <c r="Q101">
        <f>tinder[[#This Row],[All Swipes]]/MAX(tinder[All Swipes])</f>
        <v>0.15347260183596917</v>
      </c>
      <c r="R101">
        <f>tinder[[#This Row],[Swipe Right (LIKE)]]+tinder[[#This Row],[Swipe Left (PASS)]]</f>
        <v>130270</v>
      </c>
      <c r="S101">
        <v>4802</v>
      </c>
      <c r="T101">
        <v>125468</v>
      </c>
      <c r="U101" t="s">
        <v>8</v>
      </c>
      <c r="V101" s="1">
        <v>43743</v>
      </c>
      <c r="W101" t="s">
        <v>12</v>
      </c>
      <c r="X101" t="s">
        <v>1295</v>
      </c>
      <c r="Y101" t="s">
        <v>8</v>
      </c>
      <c r="Z101">
        <v>28</v>
      </c>
      <c r="AA10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02" spans="1:27" x14ac:dyDescent="0.3">
      <c r="A102" t="s">
        <v>348</v>
      </c>
      <c r="B102">
        <v>15961</v>
      </c>
      <c r="C102">
        <v>467</v>
      </c>
      <c r="D102">
        <f>IFERROR(tinder[[#This Row],[Tinder Opened]]/tinder[[#This Row],[Days on Tinder]],0)</f>
        <v>34.177730192719487</v>
      </c>
      <c r="E102">
        <f>tinder[[#This Row],[Engagement]]/MAX(tinder[Engagement])</f>
        <v>0.171747387903113</v>
      </c>
      <c r="F10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02">
        <v>1305</v>
      </c>
      <c r="H102">
        <f>IFERROR(tinder[[#This Row],[Conversations]]/tinder[[#This Row],[Tinder Opened]],0)</f>
        <v>8.1761794373786098E-2</v>
      </c>
      <c r="I102">
        <f>tinder[[#This Row],[Conversations]]/MAX(tinder[Conversations])</f>
        <v>0.10322733744660655</v>
      </c>
      <c r="J102">
        <f>(tinder[[#This Row],[Norm Engagement]]*2)+(tinder[[#This Row],[Norm Swipes]]*1)+(tinder[[#This Row],[Norm Conversations]]*2)</f>
        <v>0.68363213340099049</v>
      </c>
      <c r="K10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02">
        <v>248</v>
      </c>
      <c r="M102">
        <v>6</v>
      </c>
      <c r="N102">
        <v>1496</v>
      </c>
      <c r="O102">
        <v>11650</v>
      </c>
      <c r="P102">
        <v>9030</v>
      </c>
      <c r="Q102">
        <f>tinder[[#This Row],[All Swipes]]/MAX(tinder[All Swipes])</f>
        <v>0.13368268270155134</v>
      </c>
      <c r="R102">
        <f>tinder[[#This Row],[Swipe Right (LIKE)]]+tinder[[#This Row],[Swipe Left (PASS)]]</f>
        <v>113472</v>
      </c>
      <c r="S102">
        <v>25673</v>
      </c>
      <c r="T102">
        <v>87799</v>
      </c>
      <c r="U102" t="s">
        <v>10</v>
      </c>
      <c r="V102" s="1">
        <v>43268</v>
      </c>
      <c r="W102" t="s">
        <v>12</v>
      </c>
      <c r="X102" t="s">
        <v>1295</v>
      </c>
      <c r="Y102" t="s">
        <v>8</v>
      </c>
      <c r="Z102">
        <v>18</v>
      </c>
      <c r="AA10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03" spans="1:27" x14ac:dyDescent="0.3">
      <c r="A103" t="s">
        <v>692</v>
      </c>
      <c r="B103">
        <v>1227</v>
      </c>
      <c r="C103">
        <v>36</v>
      </c>
      <c r="D103">
        <f>IFERROR(tinder[[#This Row],[Tinder Opened]]/tinder[[#This Row],[Days on Tinder]],0)</f>
        <v>34.083333333333336</v>
      </c>
      <c r="E103">
        <f>tinder[[#This Row],[Engagement]]/MAX(tinder[Engagement])</f>
        <v>0.17127303182579565</v>
      </c>
      <c r="F10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03">
        <v>53</v>
      </c>
      <c r="H103">
        <f>IFERROR(tinder[[#This Row],[Conversations]]/tinder[[#This Row],[Tinder Opened]],0)</f>
        <v>4.3194784026079867E-2</v>
      </c>
      <c r="I103">
        <f>tinder[[#This Row],[Conversations]]/MAX(tinder[Conversations])</f>
        <v>4.192374624268312E-3</v>
      </c>
      <c r="J103">
        <f>(tinder[[#This Row],[Norm Engagement]]*2)+(tinder[[#This Row],[Norm Swipes]]*1)+(tinder[[#This Row],[Norm Conversations]]*2)</f>
        <v>0.35871341831755643</v>
      </c>
      <c r="K10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03">
        <v>14</v>
      </c>
      <c r="M103">
        <v>1</v>
      </c>
      <c r="N103">
        <v>49</v>
      </c>
      <c r="O103">
        <v>986</v>
      </c>
      <c r="P103">
        <v>772</v>
      </c>
      <c r="Q103">
        <f>tinder[[#This Row],[All Swipes]]/MAX(tinder[All Swipes])</f>
        <v>7.7826054174285125E-3</v>
      </c>
      <c r="R103">
        <f>tinder[[#This Row],[Swipe Right (LIKE)]]+tinder[[#This Row],[Swipe Left (PASS)]]</f>
        <v>6606</v>
      </c>
      <c r="S103">
        <v>844</v>
      </c>
      <c r="T103">
        <v>5762</v>
      </c>
      <c r="U103" t="s">
        <v>75</v>
      </c>
      <c r="V103" s="1">
        <v>44263</v>
      </c>
      <c r="W103" t="s">
        <v>12</v>
      </c>
      <c r="X103" t="s">
        <v>1295</v>
      </c>
      <c r="Y103" t="s">
        <v>8</v>
      </c>
      <c r="Z103">
        <v>29</v>
      </c>
      <c r="AA10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04" spans="1:27" x14ac:dyDescent="0.3">
      <c r="A104" t="s">
        <v>272</v>
      </c>
      <c r="B104">
        <v>1667</v>
      </c>
      <c r="C104">
        <v>49</v>
      </c>
      <c r="D104">
        <f>IFERROR(tinder[[#This Row],[Tinder Opened]]/tinder[[#This Row],[Days on Tinder]],0)</f>
        <v>34.020408163265309</v>
      </c>
      <c r="E104">
        <f>tinder[[#This Row],[Engagement]]/MAX(tinder[Engagement])</f>
        <v>0.1709568249410317</v>
      </c>
      <c r="F10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04">
        <v>157</v>
      </c>
      <c r="H104">
        <f>IFERROR(tinder[[#This Row],[Conversations]]/tinder[[#This Row],[Tinder Opened]],0)</f>
        <v>9.4181163767246556E-2</v>
      </c>
      <c r="I104">
        <f>tinder[[#This Row],[Conversations]]/MAX(tinder[Conversations])</f>
        <v>1.2418921056794811E-2</v>
      </c>
      <c r="J104">
        <f>(tinder[[#This Row],[Norm Engagement]]*2)+(tinder[[#This Row],[Norm Swipes]]*1)+(tinder[[#This Row],[Norm Conversations]]*2)</f>
        <v>0.3819255697698703</v>
      </c>
      <c r="K10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04">
        <v>95</v>
      </c>
      <c r="M104">
        <v>8</v>
      </c>
      <c r="N104">
        <v>320</v>
      </c>
      <c r="O104">
        <v>381</v>
      </c>
      <c r="P104">
        <v>284</v>
      </c>
      <c r="Q104">
        <f>tinder[[#This Row],[All Swipes]]/MAX(tinder[All Swipes])</f>
        <v>1.5174077774217263E-2</v>
      </c>
      <c r="R104">
        <f>tinder[[#This Row],[Swipe Right (LIKE)]]+tinder[[#This Row],[Swipe Left (PASS)]]</f>
        <v>12880</v>
      </c>
      <c r="S104">
        <v>5085</v>
      </c>
      <c r="T104">
        <v>7795</v>
      </c>
      <c r="U104" t="s">
        <v>8</v>
      </c>
      <c r="V104" s="1">
        <v>43765</v>
      </c>
      <c r="W104" t="s">
        <v>12</v>
      </c>
      <c r="X104" t="s">
        <v>1295</v>
      </c>
      <c r="Y104" t="s">
        <v>8</v>
      </c>
      <c r="Z104">
        <v>19</v>
      </c>
      <c r="AA10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05" spans="1:27" x14ac:dyDescent="0.3">
      <c r="A105" t="s">
        <v>970</v>
      </c>
      <c r="B105">
        <v>3318</v>
      </c>
      <c r="C105">
        <v>98</v>
      </c>
      <c r="D105">
        <f>IFERROR(tinder[[#This Row],[Tinder Opened]]/tinder[[#This Row],[Days on Tinder]],0)</f>
        <v>33.857142857142854</v>
      </c>
      <c r="E105">
        <f>tinder[[#This Row],[Engagement]]/MAX(tinder[Engagement])</f>
        <v>0.17013639626704952</v>
      </c>
      <c r="F10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05">
        <v>144</v>
      </c>
      <c r="H105">
        <f>IFERROR(tinder[[#This Row],[Conversations]]/tinder[[#This Row],[Tinder Opened]],0)</f>
        <v>4.3399638336347197E-2</v>
      </c>
      <c r="I105">
        <f>tinder[[#This Row],[Conversations]]/MAX(tinder[Conversations])</f>
        <v>1.1390602752728999E-2</v>
      </c>
      <c r="J105">
        <f>(tinder[[#This Row],[Norm Engagement]]*2)+(tinder[[#This Row],[Norm Swipes]]*1)+(tinder[[#This Row],[Norm Conversations]]*2)</f>
        <v>0.39289792181102223</v>
      </c>
      <c r="K10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05">
        <v>23</v>
      </c>
      <c r="M105">
        <v>39</v>
      </c>
      <c r="N105">
        <v>498</v>
      </c>
      <c r="O105">
        <v>1356</v>
      </c>
      <c r="P105">
        <v>1142</v>
      </c>
      <c r="Q105">
        <f>tinder[[#This Row],[All Swipes]]/MAX(tinder[All Swipes])</f>
        <v>2.9843923771465195E-2</v>
      </c>
      <c r="R105">
        <f>tinder[[#This Row],[Swipe Right (LIKE)]]+tinder[[#This Row],[Swipe Left (PASS)]]</f>
        <v>25332</v>
      </c>
      <c r="S105">
        <v>24075</v>
      </c>
      <c r="T105">
        <v>1257</v>
      </c>
      <c r="U105" t="s">
        <v>262</v>
      </c>
      <c r="V105" s="1">
        <v>44201</v>
      </c>
      <c r="W105" t="s">
        <v>12</v>
      </c>
      <c r="X105" t="s">
        <v>1295</v>
      </c>
      <c r="Y105" t="s">
        <v>8</v>
      </c>
      <c r="Z105">
        <v>22</v>
      </c>
      <c r="AA10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06" spans="1:27" x14ac:dyDescent="0.3">
      <c r="A106" t="s">
        <v>56</v>
      </c>
      <c r="B106">
        <v>13772</v>
      </c>
      <c r="C106">
        <v>407</v>
      </c>
      <c r="D106">
        <f>IFERROR(tinder[[#This Row],[Tinder Opened]]/tinder[[#This Row],[Days on Tinder]],0)</f>
        <v>33.837837837837839</v>
      </c>
      <c r="E106">
        <f>tinder[[#This Row],[Engagement]]/MAX(tinder[Engagement])</f>
        <v>0.17003938611978814</v>
      </c>
      <c r="F10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06">
        <v>101</v>
      </c>
      <c r="H106">
        <f>IFERROR(tinder[[#This Row],[Conversations]]/tinder[[#This Row],[Tinder Opened]],0)</f>
        <v>7.3337205925065353E-3</v>
      </c>
      <c r="I106">
        <f>tinder[[#This Row],[Conversations]]/MAX(tinder[Conversations])</f>
        <v>7.9892422085113112E-3</v>
      </c>
      <c r="J106">
        <f>(tinder[[#This Row],[Norm Engagement]]*2)+(tinder[[#This Row],[Norm Swipes]]*1)+(tinder[[#This Row],[Norm Conversations]]*2)</f>
        <v>0.41592182094379421</v>
      </c>
      <c r="K10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06">
        <v>26</v>
      </c>
      <c r="M106">
        <v>32</v>
      </c>
      <c r="N106">
        <v>753</v>
      </c>
      <c r="O106">
        <v>305</v>
      </c>
      <c r="P106">
        <v>313</v>
      </c>
      <c r="Q106">
        <f>tinder[[#This Row],[All Swipes]]/MAX(tinder[All Swipes])</f>
        <v>5.9864564287195339E-2</v>
      </c>
      <c r="R106">
        <f>tinder[[#This Row],[Swipe Right (LIKE)]]+tinder[[#This Row],[Swipe Left (PASS)]]</f>
        <v>50814</v>
      </c>
      <c r="S106">
        <v>15205</v>
      </c>
      <c r="T106">
        <v>35609</v>
      </c>
      <c r="U106" t="s">
        <v>10</v>
      </c>
      <c r="V106" s="1">
        <v>43890</v>
      </c>
      <c r="W106" t="s">
        <v>12</v>
      </c>
      <c r="X106" t="s">
        <v>1295</v>
      </c>
      <c r="Y106" t="s">
        <v>8</v>
      </c>
      <c r="Z106">
        <v>22</v>
      </c>
      <c r="AA10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07" spans="1:27" x14ac:dyDescent="0.3">
      <c r="A107" t="s">
        <v>356</v>
      </c>
      <c r="B107">
        <v>1183</v>
      </c>
      <c r="C107">
        <v>35</v>
      </c>
      <c r="D107">
        <f>IFERROR(tinder[[#This Row],[Tinder Opened]]/tinder[[#This Row],[Days on Tinder]],0)</f>
        <v>33.799999999999997</v>
      </c>
      <c r="E107">
        <f>tinder[[#This Row],[Engagement]]/MAX(tinder[Engagement])</f>
        <v>0.16984924623115577</v>
      </c>
      <c r="F10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07">
        <v>20</v>
      </c>
      <c r="H107">
        <f>IFERROR(tinder[[#This Row],[Conversations]]/tinder[[#This Row],[Tinder Opened]],0)</f>
        <v>1.69061707523246E-2</v>
      </c>
      <c r="I107">
        <f>tinder[[#This Row],[Conversations]]/MAX(tinder[Conversations])</f>
        <v>1.5820281601012498E-3</v>
      </c>
      <c r="J107">
        <f>(tinder[[#This Row],[Norm Engagement]]*2)+(tinder[[#This Row],[Norm Swipes]]*1)+(tinder[[#This Row],[Norm Conversations]]*2)</f>
        <v>0.36260887778667983</v>
      </c>
      <c r="K10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07">
        <v>1</v>
      </c>
      <c r="M107">
        <v>0</v>
      </c>
      <c r="N107">
        <v>36</v>
      </c>
      <c r="O107">
        <v>200</v>
      </c>
      <c r="P107">
        <v>157</v>
      </c>
      <c r="Q107">
        <f>tinder[[#This Row],[All Swipes]]/MAX(tinder[All Swipes])</f>
        <v>1.9746329004165803E-2</v>
      </c>
      <c r="R107">
        <f>tinder[[#This Row],[Swipe Right (LIKE)]]+tinder[[#This Row],[Swipe Left (PASS)]]</f>
        <v>16761</v>
      </c>
      <c r="S107">
        <v>399</v>
      </c>
      <c r="T107">
        <v>16362</v>
      </c>
      <c r="U107" t="s">
        <v>8</v>
      </c>
      <c r="V107" s="1">
        <v>44209</v>
      </c>
      <c r="W107" t="s">
        <v>12</v>
      </c>
      <c r="X107" t="s">
        <v>1295</v>
      </c>
      <c r="Y107" t="s">
        <v>8</v>
      </c>
      <c r="Z107">
        <v>18</v>
      </c>
      <c r="AA10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08" spans="1:27" x14ac:dyDescent="0.3">
      <c r="A108" t="s">
        <v>121</v>
      </c>
      <c r="B108">
        <v>4531</v>
      </c>
      <c r="C108">
        <v>135</v>
      </c>
      <c r="D108">
        <f>IFERROR(tinder[[#This Row],[Tinder Opened]]/tinder[[#This Row],[Days on Tinder]],0)</f>
        <v>33.562962962962963</v>
      </c>
      <c r="E108">
        <f>tinder[[#This Row],[Engagement]]/MAX(tinder[Engagement])</f>
        <v>0.16865810534152242</v>
      </c>
      <c r="F10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08">
        <v>91</v>
      </c>
      <c r="H108">
        <f>IFERROR(tinder[[#This Row],[Conversations]]/tinder[[#This Row],[Tinder Opened]],0)</f>
        <v>2.0083866696093577E-2</v>
      </c>
      <c r="I108">
        <f>tinder[[#This Row],[Conversations]]/MAX(tinder[Conversations])</f>
        <v>7.1982281284606866E-3</v>
      </c>
      <c r="J108">
        <f>(tinder[[#This Row],[Norm Engagement]]*2)+(tinder[[#This Row],[Norm Swipes]]*1)+(tinder[[#This Row],[Norm Conversations]]*2)</f>
        <v>0.35942694188294561</v>
      </c>
      <c r="K10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08">
        <v>9</v>
      </c>
      <c r="M108">
        <v>4</v>
      </c>
      <c r="N108">
        <v>132</v>
      </c>
      <c r="O108">
        <v>1750</v>
      </c>
      <c r="P108">
        <v>865</v>
      </c>
      <c r="Q108">
        <f>tinder[[#This Row],[All Swipes]]/MAX(tinder[All Swipes])</f>
        <v>7.714274942979397E-3</v>
      </c>
      <c r="R108">
        <f>tinder[[#This Row],[Swipe Right (LIKE)]]+tinder[[#This Row],[Swipe Left (PASS)]]</f>
        <v>6548</v>
      </c>
      <c r="S108">
        <v>2836</v>
      </c>
      <c r="T108">
        <v>3712</v>
      </c>
      <c r="U108" t="s">
        <v>122</v>
      </c>
      <c r="V108" s="1">
        <v>43793</v>
      </c>
      <c r="W108" t="s">
        <v>12</v>
      </c>
      <c r="X108" t="s">
        <v>1295</v>
      </c>
      <c r="Y108" t="s">
        <v>8</v>
      </c>
      <c r="Z108">
        <v>32</v>
      </c>
      <c r="AA10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109" spans="1:27" x14ac:dyDescent="0.3">
      <c r="A109" t="s">
        <v>168</v>
      </c>
      <c r="B109">
        <v>45085</v>
      </c>
      <c r="C109">
        <v>1370</v>
      </c>
      <c r="D109">
        <f>IFERROR(tinder[[#This Row],[Tinder Opened]]/tinder[[#This Row],[Days on Tinder]],0)</f>
        <v>32.908759124087588</v>
      </c>
      <c r="E109">
        <f>tinder[[#This Row],[Engagement]]/MAX(tinder[Engagement])</f>
        <v>0.16537064886476174</v>
      </c>
      <c r="F10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09">
        <v>121</v>
      </c>
      <c r="H109">
        <f>IFERROR(tinder[[#This Row],[Conversations]]/tinder[[#This Row],[Tinder Opened]],0)</f>
        <v>2.6838194521459466E-3</v>
      </c>
      <c r="I109">
        <f>tinder[[#This Row],[Conversations]]/MAX(tinder[Conversations])</f>
        <v>9.5712703686125621E-3</v>
      </c>
      <c r="J109">
        <f>(tinder[[#This Row],[Norm Engagement]]*2)+(tinder[[#This Row],[Norm Swipes]]*1)+(tinder[[#This Row],[Norm Conversations]]*2)</f>
        <v>0.66562128922168251</v>
      </c>
      <c r="K10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09">
        <v>29</v>
      </c>
      <c r="M109">
        <v>5</v>
      </c>
      <c r="N109">
        <v>1258</v>
      </c>
      <c r="O109">
        <v>1694</v>
      </c>
      <c r="P109">
        <v>1954</v>
      </c>
      <c r="Q109">
        <f>tinder[[#This Row],[All Swipes]]/MAX(tinder[All Swipes])</f>
        <v>0.31573745075493392</v>
      </c>
      <c r="R109">
        <f>tinder[[#This Row],[Swipe Right (LIKE)]]+tinder[[#This Row],[Swipe Left (PASS)]]</f>
        <v>268003</v>
      </c>
      <c r="S109">
        <v>35008</v>
      </c>
      <c r="T109">
        <v>232995</v>
      </c>
      <c r="U109" t="s">
        <v>8</v>
      </c>
      <c r="V109" s="1">
        <v>42748</v>
      </c>
      <c r="W109" t="s">
        <v>7</v>
      </c>
      <c r="X109" t="s">
        <v>1295</v>
      </c>
      <c r="Y109" t="s">
        <v>8</v>
      </c>
      <c r="Z109">
        <v>24</v>
      </c>
      <c r="AA10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10" spans="1:27" x14ac:dyDescent="0.3">
      <c r="A110" t="s">
        <v>506</v>
      </c>
      <c r="B110">
        <v>10801</v>
      </c>
      <c r="C110">
        <v>329</v>
      </c>
      <c r="D110">
        <f>IFERROR(tinder[[#This Row],[Tinder Opened]]/tinder[[#This Row],[Days on Tinder]],0)</f>
        <v>32.829787234042556</v>
      </c>
      <c r="E110">
        <f>tinder[[#This Row],[Engagement]]/MAX(tinder[Engagement])</f>
        <v>0.16497380519619376</v>
      </c>
      <c r="F11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10">
        <v>1105</v>
      </c>
      <c r="H110">
        <f>IFERROR(tinder[[#This Row],[Conversations]]/tinder[[#This Row],[Tinder Opened]],0)</f>
        <v>0.10230534209795389</v>
      </c>
      <c r="I110">
        <f>tinder[[#This Row],[Conversations]]/MAX(tinder[Conversations])</f>
        <v>8.7407055845594051E-2</v>
      </c>
      <c r="J110">
        <f>(tinder[[#This Row],[Norm Engagement]]*2)+(tinder[[#This Row],[Norm Swipes]]*1)+(tinder[[#This Row],[Norm Conversations]]*2)</f>
        <v>0.73302438442735807</v>
      </c>
      <c r="K11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10">
        <v>234</v>
      </c>
      <c r="M110">
        <v>8</v>
      </c>
      <c r="N110">
        <v>744</v>
      </c>
      <c r="O110">
        <v>5214</v>
      </c>
      <c r="P110">
        <v>3711</v>
      </c>
      <c r="Q110">
        <f>tinder[[#This Row],[All Swipes]]/MAX(tinder[All Swipes])</f>
        <v>0.2282626623437824</v>
      </c>
      <c r="R110">
        <f>tinder[[#This Row],[Swipe Right (LIKE)]]+tinder[[#This Row],[Swipe Left (PASS)]]</f>
        <v>193753</v>
      </c>
      <c r="S110">
        <v>8919</v>
      </c>
      <c r="T110">
        <v>184834</v>
      </c>
      <c r="U110" t="s">
        <v>10</v>
      </c>
      <c r="V110" s="1">
        <v>43970</v>
      </c>
      <c r="W110" t="s">
        <v>12</v>
      </c>
      <c r="X110" t="s">
        <v>1295</v>
      </c>
      <c r="Y110" t="s">
        <v>507</v>
      </c>
      <c r="Z110">
        <v>28</v>
      </c>
      <c r="AA11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11" spans="1:27" x14ac:dyDescent="0.3">
      <c r="A111" t="s">
        <v>139</v>
      </c>
      <c r="B111">
        <v>1050</v>
      </c>
      <c r="C111">
        <v>32</v>
      </c>
      <c r="D111">
        <f>IFERROR(tinder[[#This Row],[Tinder Opened]]/tinder[[#This Row],[Days on Tinder]],0)</f>
        <v>32.8125</v>
      </c>
      <c r="E111">
        <f>tinder[[#This Row],[Engagement]]/MAX(tinder[Engagement])</f>
        <v>0.16488693467336685</v>
      </c>
      <c r="F11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11">
        <v>14</v>
      </c>
      <c r="H111">
        <f>IFERROR(tinder[[#This Row],[Conversations]]/tinder[[#This Row],[Tinder Opened]],0)</f>
        <v>1.3333333333333334E-2</v>
      </c>
      <c r="I111">
        <f>tinder[[#This Row],[Conversations]]/MAX(tinder[Conversations])</f>
        <v>1.1074197120708748E-3</v>
      </c>
      <c r="J111">
        <f>(tinder[[#This Row],[Norm Engagement]]*2)+(tinder[[#This Row],[Norm Swipes]]*1)+(tinder[[#This Row],[Norm Conversations]]*2)</f>
        <v>0.3366198655822456</v>
      </c>
      <c r="K11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11">
        <v>0</v>
      </c>
      <c r="M111">
        <v>1</v>
      </c>
      <c r="N111">
        <v>17</v>
      </c>
      <c r="O111">
        <v>557</v>
      </c>
      <c r="P111">
        <v>496</v>
      </c>
      <c r="Q111">
        <f>tinder[[#This Row],[All Swipes]]/MAX(tinder[All Swipes])</f>
        <v>4.6311568113701906E-3</v>
      </c>
      <c r="R111">
        <f>tinder[[#This Row],[Swipe Right (LIKE)]]+tinder[[#This Row],[Swipe Left (PASS)]]</f>
        <v>3931</v>
      </c>
      <c r="S111">
        <v>2485</v>
      </c>
      <c r="T111">
        <v>1446</v>
      </c>
      <c r="U111" t="s">
        <v>140</v>
      </c>
      <c r="V111" s="1">
        <v>44038</v>
      </c>
      <c r="W111" t="s">
        <v>12</v>
      </c>
      <c r="X111" t="s">
        <v>1295</v>
      </c>
      <c r="Y111" t="s">
        <v>8</v>
      </c>
      <c r="Z111">
        <v>27</v>
      </c>
      <c r="AA11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12" spans="1:27" x14ac:dyDescent="0.3">
      <c r="A112" t="s">
        <v>715</v>
      </c>
      <c r="B112">
        <v>3737</v>
      </c>
      <c r="C112">
        <v>114</v>
      </c>
      <c r="D112">
        <f>IFERROR(tinder[[#This Row],[Tinder Opened]]/tinder[[#This Row],[Days on Tinder]],0)</f>
        <v>32.780701754385966</v>
      </c>
      <c r="E112">
        <f>tinder[[#This Row],[Engagement]]/MAX(tinder[Engagement])</f>
        <v>0.16472714449440184</v>
      </c>
      <c r="F11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12">
        <v>163</v>
      </c>
      <c r="H112">
        <f>IFERROR(tinder[[#This Row],[Conversations]]/tinder[[#This Row],[Tinder Opened]],0)</f>
        <v>4.3617875301043621E-2</v>
      </c>
      <c r="I112">
        <f>tinder[[#This Row],[Conversations]]/MAX(tinder[Conversations])</f>
        <v>1.2893529504825186E-2</v>
      </c>
      <c r="J112">
        <f>(tinder[[#This Row],[Norm Engagement]]*2)+(tinder[[#This Row],[Norm Swipes]]*1)+(tinder[[#This Row],[Norm Conversations]]*2)</f>
        <v>0.37242174987589277</v>
      </c>
      <c r="K11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12">
        <v>57</v>
      </c>
      <c r="M112">
        <v>4</v>
      </c>
      <c r="N112">
        <v>109</v>
      </c>
      <c r="O112">
        <v>1233</v>
      </c>
      <c r="P112">
        <v>884</v>
      </c>
      <c r="Q112">
        <f>tinder[[#This Row],[All Swipes]]/MAX(tinder[All Swipes])</f>
        <v>1.7180401877438693E-2</v>
      </c>
      <c r="R112">
        <f>tinder[[#This Row],[Swipe Right (LIKE)]]+tinder[[#This Row],[Swipe Left (PASS)]]</f>
        <v>14583</v>
      </c>
      <c r="S112">
        <v>6407</v>
      </c>
      <c r="T112">
        <v>8176</v>
      </c>
      <c r="U112" t="s">
        <v>10</v>
      </c>
      <c r="V112" s="1">
        <v>44185</v>
      </c>
      <c r="W112" t="s">
        <v>12</v>
      </c>
      <c r="X112" t="s">
        <v>1295</v>
      </c>
      <c r="Y112" t="s">
        <v>108</v>
      </c>
      <c r="Z112">
        <v>22</v>
      </c>
      <c r="AA11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13" spans="1:27" x14ac:dyDescent="0.3">
      <c r="A113" t="s">
        <v>663</v>
      </c>
      <c r="B113">
        <v>1204</v>
      </c>
      <c r="C113">
        <v>37</v>
      </c>
      <c r="D113">
        <f>IFERROR(tinder[[#This Row],[Tinder Opened]]/tinder[[#This Row],[Days on Tinder]],0)</f>
        <v>32.54054054054054</v>
      </c>
      <c r="E113">
        <f>tinder[[#This Row],[Engagement]]/MAX(tinder[Engagement])</f>
        <v>0.1635203042238218</v>
      </c>
      <c r="F11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13">
        <v>167</v>
      </c>
      <c r="H113">
        <f>IFERROR(tinder[[#This Row],[Conversations]]/tinder[[#This Row],[Tinder Opened]],0)</f>
        <v>0.13870431893687707</v>
      </c>
      <c r="I113">
        <f>tinder[[#This Row],[Conversations]]/MAX(tinder[Conversations])</f>
        <v>1.3209935136845435E-2</v>
      </c>
      <c r="J113">
        <f>(tinder[[#This Row],[Norm Engagement]]*2)+(tinder[[#This Row],[Norm Swipes]]*1)+(tinder[[#This Row],[Norm Conversations]]*2)</f>
        <v>0.38205206983177536</v>
      </c>
      <c r="K11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13">
        <v>18</v>
      </c>
      <c r="M113">
        <v>76</v>
      </c>
      <c r="N113">
        <v>235</v>
      </c>
      <c r="O113">
        <v>630</v>
      </c>
      <c r="P113">
        <v>865</v>
      </c>
      <c r="Q113">
        <f>tinder[[#This Row],[All Swipes]]/MAX(tinder[All Swipes])</f>
        <v>2.8591591110440896E-2</v>
      </c>
      <c r="R113">
        <f>tinder[[#This Row],[Swipe Right (LIKE)]]+tinder[[#This Row],[Swipe Left (PASS)]]</f>
        <v>24269</v>
      </c>
      <c r="S113">
        <v>444</v>
      </c>
      <c r="T113">
        <v>23825</v>
      </c>
      <c r="U113" t="s">
        <v>8</v>
      </c>
      <c r="V113" s="1">
        <v>44262</v>
      </c>
      <c r="W113" t="s">
        <v>12</v>
      </c>
      <c r="X113" t="s">
        <v>1296</v>
      </c>
      <c r="Y113" t="s">
        <v>77</v>
      </c>
      <c r="Z113">
        <v>18</v>
      </c>
      <c r="AA11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14" spans="1:27" x14ac:dyDescent="0.3">
      <c r="A114" t="s">
        <v>1016</v>
      </c>
      <c r="B114">
        <v>2405</v>
      </c>
      <c r="C114">
        <v>74</v>
      </c>
      <c r="D114">
        <f>IFERROR(tinder[[#This Row],[Tinder Opened]]/tinder[[#This Row],[Days on Tinder]],0)</f>
        <v>32.5</v>
      </c>
      <c r="E114">
        <f>tinder[[#This Row],[Engagement]]/MAX(tinder[Engagement])</f>
        <v>0.16331658291457288</v>
      </c>
      <c r="F11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14">
        <v>87</v>
      </c>
      <c r="H114">
        <f>IFERROR(tinder[[#This Row],[Conversations]]/tinder[[#This Row],[Tinder Opened]],0)</f>
        <v>3.6174636174636177E-2</v>
      </c>
      <c r="I114">
        <f>tinder[[#This Row],[Conversations]]/MAX(tinder[Conversations])</f>
        <v>6.8818224964404366E-3</v>
      </c>
      <c r="J114">
        <f>(tinder[[#This Row],[Norm Engagement]]*2)+(tinder[[#This Row],[Norm Swipes]]*1)+(tinder[[#This Row],[Norm Conversations]]*2)</f>
        <v>0.36989554788636092</v>
      </c>
      <c r="K11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14">
        <v>18</v>
      </c>
      <c r="M114">
        <v>0</v>
      </c>
      <c r="N114">
        <v>86</v>
      </c>
      <c r="O114">
        <v>816</v>
      </c>
      <c r="P114">
        <v>549</v>
      </c>
      <c r="Q114">
        <f>tinder[[#This Row],[All Swipes]]/MAX(tinder[All Swipes])</f>
        <v>2.949873706433432E-2</v>
      </c>
      <c r="R114">
        <f>tinder[[#This Row],[Swipe Right (LIKE)]]+tinder[[#This Row],[Swipe Left (PASS)]]</f>
        <v>25039</v>
      </c>
      <c r="S114">
        <v>4369</v>
      </c>
      <c r="T114">
        <v>20670</v>
      </c>
      <c r="U114" t="s">
        <v>293</v>
      </c>
      <c r="V114" s="1">
        <v>44225</v>
      </c>
      <c r="W114" t="s">
        <v>12</v>
      </c>
      <c r="X114" t="s">
        <v>1295</v>
      </c>
      <c r="Y114" t="s">
        <v>8</v>
      </c>
      <c r="Z114">
        <v>24</v>
      </c>
      <c r="AA11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15" spans="1:27" x14ac:dyDescent="0.3">
      <c r="A115" t="s">
        <v>396</v>
      </c>
      <c r="B115">
        <v>3079</v>
      </c>
      <c r="C115">
        <v>95</v>
      </c>
      <c r="D115">
        <f>IFERROR(tinder[[#This Row],[Tinder Opened]]/tinder[[#This Row],[Days on Tinder]],0)</f>
        <v>32.410526315789475</v>
      </c>
      <c r="E115">
        <f>tinder[[#This Row],[Engagement]]/MAX(tinder[Engagement])</f>
        <v>0.1628669664110024</v>
      </c>
      <c r="F11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15">
        <v>112</v>
      </c>
      <c r="H115">
        <f>IFERROR(tinder[[#This Row],[Conversations]]/tinder[[#This Row],[Tinder Opened]],0)</f>
        <v>3.6375446573562842E-2</v>
      </c>
      <c r="I115">
        <f>tinder[[#This Row],[Conversations]]/MAX(tinder[Conversations])</f>
        <v>8.8593576965669985E-3</v>
      </c>
      <c r="J115">
        <f>(tinder[[#This Row],[Norm Engagement]]*2)+(tinder[[#This Row],[Norm Swipes]]*1)+(tinder[[#This Row],[Norm Conversations]]*2)</f>
        <v>0.39539912424763585</v>
      </c>
      <c r="K11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15">
        <v>28</v>
      </c>
      <c r="M115">
        <v>6</v>
      </c>
      <c r="N115">
        <v>132</v>
      </c>
      <c r="O115">
        <v>886</v>
      </c>
      <c r="P115">
        <v>720</v>
      </c>
      <c r="Q115">
        <f>tinder[[#This Row],[All Swipes]]/MAX(tinder[All Swipes])</f>
        <v>5.1946476032497031E-2</v>
      </c>
      <c r="R115">
        <f>tinder[[#This Row],[Swipe Right (LIKE)]]+tinder[[#This Row],[Swipe Left (PASS)]]</f>
        <v>44093</v>
      </c>
      <c r="S115">
        <v>1753</v>
      </c>
      <c r="T115">
        <v>42340</v>
      </c>
      <c r="U115" t="s">
        <v>8</v>
      </c>
      <c r="V115" s="1">
        <v>44134</v>
      </c>
      <c r="W115" t="s">
        <v>12</v>
      </c>
      <c r="X115" t="s">
        <v>1295</v>
      </c>
      <c r="Y115" t="s">
        <v>8</v>
      </c>
      <c r="Z115">
        <v>29</v>
      </c>
      <c r="AA11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16" spans="1:27" x14ac:dyDescent="0.3">
      <c r="A116" t="s">
        <v>189</v>
      </c>
      <c r="B116">
        <v>419</v>
      </c>
      <c r="C116">
        <v>13</v>
      </c>
      <c r="D116">
        <f>IFERROR(tinder[[#This Row],[Tinder Opened]]/tinder[[#This Row],[Days on Tinder]],0)</f>
        <v>32.230769230769234</v>
      </c>
      <c r="E116">
        <f>tinder[[#This Row],[Engagement]]/MAX(tinder[Engagement])</f>
        <v>0.16196366447622731</v>
      </c>
      <c r="F11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16">
        <v>2</v>
      </c>
      <c r="H116">
        <f>IFERROR(tinder[[#This Row],[Conversations]]/tinder[[#This Row],[Tinder Opened]],0)</f>
        <v>4.7732696897374704E-3</v>
      </c>
      <c r="I116">
        <f>tinder[[#This Row],[Conversations]]/MAX(tinder[Conversations])</f>
        <v>1.5820281601012498E-4</v>
      </c>
      <c r="J116">
        <f>(tinder[[#This Row],[Norm Engagement]]*2)+(tinder[[#This Row],[Norm Swipes]]*1)+(tinder[[#This Row],[Norm Conversations]]*2)</f>
        <v>0.33321505463499229</v>
      </c>
      <c r="K11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16">
        <v>0</v>
      </c>
      <c r="M116">
        <v>0</v>
      </c>
      <c r="N116">
        <v>2</v>
      </c>
      <c r="O116">
        <v>6</v>
      </c>
      <c r="P116">
        <v>1</v>
      </c>
      <c r="Q116">
        <f>tinder[[#This Row],[All Swipes]]/MAX(tinder[All Swipes])</f>
        <v>8.9713200505174267E-3</v>
      </c>
      <c r="R116">
        <f>tinder[[#This Row],[Swipe Right (LIKE)]]+tinder[[#This Row],[Swipe Left (PASS)]]</f>
        <v>7615</v>
      </c>
      <c r="S116">
        <v>1246</v>
      </c>
      <c r="T116">
        <v>6369</v>
      </c>
      <c r="U116" t="s">
        <v>8</v>
      </c>
      <c r="V116" s="1">
        <v>44123</v>
      </c>
      <c r="W116" t="s">
        <v>12</v>
      </c>
      <c r="X116" t="s">
        <v>1295</v>
      </c>
      <c r="Y116" t="s">
        <v>8</v>
      </c>
      <c r="Z116">
        <v>32</v>
      </c>
      <c r="AA116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117" spans="1:27" x14ac:dyDescent="0.3">
      <c r="A117" t="s">
        <v>112</v>
      </c>
      <c r="B117">
        <v>35392</v>
      </c>
      <c r="C117">
        <v>1111</v>
      </c>
      <c r="D117">
        <f>IFERROR(tinder[[#This Row],[Tinder Opened]]/tinder[[#This Row],[Days on Tinder]],0)</f>
        <v>31.855985598559855</v>
      </c>
      <c r="E117">
        <f>tinder[[#This Row],[Engagement]]/MAX(tinder[Engagement])</f>
        <v>0.1600803296410043</v>
      </c>
      <c r="F11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17">
        <v>1310</v>
      </c>
      <c r="H117">
        <f>IFERROR(tinder[[#This Row],[Conversations]]/tinder[[#This Row],[Tinder Opened]],0)</f>
        <v>3.7014014466546112E-2</v>
      </c>
      <c r="I117">
        <f>tinder[[#This Row],[Conversations]]/MAX(tinder[Conversations])</f>
        <v>0.10362284448663187</v>
      </c>
      <c r="J117">
        <f>(tinder[[#This Row],[Norm Engagement]]*2)+(tinder[[#This Row],[Norm Swipes]]*1)+(tinder[[#This Row],[Norm Conversations]]*2)</f>
        <v>0.68343191799005587</v>
      </c>
      <c r="K11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17">
        <v>579</v>
      </c>
      <c r="M117">
        <v>12</v>
      </c>
      <c r="N117">
        <v>1751</v>
      </c>
      <c r="O117">
        <v>8055</v>
      </c>
      <c r="P117">
        <v>6661</v>
      </c>
      <c r="Q117">
        <f>tinder[[#This Row],[All Swipes]]/MAX(tinder[All Swipes])</f>
        <v>0.15602556973478351</v>
      </c>
      <c r="R117">
        <f>tinder[[#This Row],[Swipe Right (LIKE)]]+tinder[[#This Row],[Swipe Left (PASS)]]</f>
        <v>132437</v>
      </c>
      <c r="S117">
        <v>112992</v>
      </c>
      <c r="T117">
        <v>19445</v>
      </c>
      <c r="U117" t="s">
        <v>10</v>
      </c>
      <c r="V117" s="1">
        <v>42684</v>
      </c>
      <c r="W117" t="s">
        <v>7</v>
      </c>
      <c r="X117" t="s">
        <v>1295</v>
      </c>
      <c r="Y117" t="s">
        <v>8</v>
      </c>
      <c r="Z117">
        <v>18</v>
      </c>
      <c r="AA11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18" spans="1:27" x14ac:dyDescent="0.3">
      <c r="A118" t="s">
        <v>664</v>
      </c>
      <c r="B118">
        <v>987</v>
      </c>
      <c r="C118">
        <v>31</v>
      </c>
      <c r="D118">
        <f>IFERROR(tinder[[#This Row],[Tinder Opened]]/tinder[[#This Row],[Days on Tinder]],0)</f>
        <v>31.838709677419356</v>
      </c>
      <c r="E118">
        <f>tinder[[#This Row],[Engagement]]/MAX(tinder[Engagement])</f>
        <v>0.15999351596693143</v>
      </c>
      <c r="F11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18">
        <v>28</v>
      </c>
      <c r="H118">
        <f>IFERROR(tinder[[#This Row],[Conversations]]/tinder[[#This Row],[Tinder Opened]],0)</f>
        <v>2.8368794326241134E-2</v>
      </c>
      <c r="I118">
        <f>tinder[[#This Row],[Conversations]]/MAX(tinder[Conversations])</f>
        <v>2.2148394241417496E-3</v>
      </c>
      <c r="J118">
        <f>(tinder[[#This Row],[Norm Engagement]]*2)+(tinder[[#This Row],[Norm Swipes]]*1)+(tinder[[#This Row],[Norm Conversations]]*2)</f>
        <v>0.34561447331254164</v>
      </c>
      <c r="K11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18">
        <v>17</v>
      </c>
      <c r="M118">
        <v>2</v>
      </c>
      <c r="N118">
        <v>36</v>
      </c>
      <c r="O118">
        <v>77</v>
      </c>
      <c r="P118">
        <v>61</v>
      </c>
      <c r="Q118">
        <f>tinder[[#This Row],[All Swipes]]/MAX(tinder[All Swipes])</f>
        <v>2.1197762530395282E-2</v>
      </c>
      <c r="R118">
        <f>tinder[[#This Row],[Swipe Right (LIKE)]]+tinder[[#This Row],[Swipe Left (PASS)]]</f>
        <v>17993</v>
      </c>
      <c r="S118">
        <v>3388</v>
      </c>
      <c r="T118">
        <v>14605</v>
      </c>
      <c r="U118" t="s">
        <v>10</v>
      </c>
      <c r="V118" s="1">
        <v>44241</v>
      </c>
      <c r="W118" t="s">
        <v>12</v>
      </c>
      <c r="X118" t="s">
        <v>1295</v>
      </c>
      <c r="Y118" t="s">
        <v>8</v>
      </c>
      <c r="Z118">
        <v>18</v>
      </c>
      <c r="AA11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19" spans="1:27" x14ac:dyDescent="0.3">
      <c r="A119" t="s">
        <v>1005</v>
      </c>
      <c r="B119">
        <v>53960</v>
      </c>
      <c r="C119">
        <v>1701</v>
      </c>
      <c r="D119">
        <f>IFERROR(tinder[[#This Row],[Tinder Opened]]/tinder[[#This Row],[Days on Tinder]],0)</f>
        <v>31.722516166960613</v>
      </c>
      <c r="E119">
        <f>tinder[[#This Row],[Engagement]]/MAX(tinder[Engagement])</f>
        <v>0.15940962897970157</v>
      </c>
      <c r="F11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19">
        <v>3657</v>
      </c>
      <c r="H119">
        <f>IFERROR(tinder[[#This Row],[Conversations]]/tinder[[#This Row],[Tinder Opened]],0)</f>
        <v>6.7772424017790961E-2</v>
      </c>
      <c r="I119">
        <f>tinder[[#This Row],[Conversations]]/MAX(tinder[Conversations])</f>
        <v>0.28927384907451353</v>
      </c>
      <c r="J119">
        <f>(tinder[[#This Row],[Norm Engagement]]*2)+(tinder[[#This Row],[Norm Swipes]]*1)+(tinder[[#This Row],[Norm Conversations]]*2)</f>
        <v>1.4053627997306051</v>
      </c>
      <c r="K11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19">
        <v>1410</v>
      </c>
      <c r="M119">
        <v>187</v>
      </c>
      <c r="N119">
        <v>6451</v>
      </c>
      <c r="O119">
        <v>21635</v>
      </c>
      <c r="P119">
        <v>19434</v>
      </c>
      <c r="Q119">
        <f>tinder[[#This Row],[All Swipes]]/MAX(tinder[All Swipes])</f>
        <v>0.50799584362217487</v>
      </c>
      <c r="R119">
        <f>tinder[[#This Row],[Swipe Right (LIKE)]]+tinder[[#This Row],[Swipe Left (PASS)]]</f>
        <v>431195</v>
      </c>
      <c r="S119">
        <v>142240</v>
      </c>
      <c r="T119">
        <v>288955</v>
      </c>
      <c r="U119" t="s">
        <v>10</v>
      </c>
      <c r="V119" s="1">
        <v>42134</v>
      </c>
      <c r="W119" t="s">
        <v>12</v>
      </c>
      <c r="X119" t="s">
        <v>1295</v>
      </c>
      <c r="Y119" t="s">
        <v>1006</v>
      </c>
      <c r="Z119">
        <v>35</v>
      </c>
      <c r="AA119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120" spans="1:27" x14ac:dyDescent="0.3">
      <c r="A120" t="s">
        <v>1265</v>
      </c>
      <c r="B120">
        <v>34883</v>
      </c>
      <c r="C120">
        <v>1103</v>
      </c>
      <c r="D120">
        <f>IFERROR(tinder[[#This Row],[Tinder Opened]]/tinder[[#This Row],[Days on Tinder]],0)</f>
        <v>31.625566636446056</v>
      </c>
      <c r="E120">
        <f>tinder[[#This Row],[Engagement]]/MAX(tinder[Engagement])</f>
        <v>0.15892244540927666</v>
      </c>
      <c r="F12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20">
        <v>3437</v>
      </c>
      <c r="H120">
        <f>IFERROR(tinder[[#This Row],[Conversations]]/tinder[[#This Row],[Tinder Opened]],0)</f>
        <v>9.8529369606971881E-2</v>
      </c>
      <c r="I120">
        <f>tinder[[#This Row],[Conversations]]/MAX(tinder[Conversations])</f>
        <v>0.2718715393133998</v>
      </c>
      <c r="J120">
        <f>(tinder[[#This Row],[Norm Engagement]]*2)+(tinder[[#This Row],[Norm Swipes]]*1)+(tinder[[#This Row],[Norm Conversations]]*2)</f>
        <v>0.98814072057162761</v>
      </c>
      <c r="K12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20">
        <v>904</v>
      </c>
      <c r="M120">
        <v>102</v>
      </c>
      <c r="N120">
        <v>5393</v>
      </c>
      <c r="O120">
        <v>21258</v>
      </c>
      <c r="P120">
        <v>19447</v>
      </c>
      <c r="Q120">
        <f>tinder[[#This Row],[All Swipes]]/MAX(tinder[All Swipes])</f>
        <v>0.1265527511262747</v>
      </c>
      <c r="R120">
        <f>tinder[[#This Row],[Swipe Right (LIKE)]]+tinder[[#This Row],[Swipe Left (PASS)]]</f>
        <v>107420</v>
      </c>
      <c r="S120">
        <v>89628</v>
      </c>
      <c r="T120">
        <v>17792</v>
      </c>
      <c r="U120" t="s">
        <v>8</v>
      </c>
      <c r="V120" s="1">
        <v>42526</v>
      </c>
      <c r="W120" t="s">
        <v>7</v>
      </c>
      <c r="X120" t="s">
        <v>1295</v>
      </c>
      <c r="Y120" t="s">
        <v>8</v>
      </c>
      <c r="Z120">
        <v>27</v>
      </c>
      <c r="AA12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21" spans="1:27" x14ac:dyDescent="0.3">
      <c r="A121" t="s">
        <v>878</v>
      </c>
      <c r="B121">
        <v>4736</v>
      </c>
      <c r="C121">
        <v>151</v>
      </c>
      <c r="D121">
        <f>IFERROR(tinder[[#This Row],[Tinder Opened]]/tinder[[#This Row],[Days on Tinder]],0)</f>
        <v>31.364238410596027</v>
      </c>
      <c r="E121">
        <f>tinder[[#This Row],[Engagement]]/MAX(tinder[Engagement])</f>
        <v>0.15760923824420114</v>
      </c>
      <c r="F12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21">
        <v>237</v>
      </c>
      <c r="H121">
        <f>IFERROR(tinder[[#This Row],[Conversations]]/tinder[[#This Row],[Tinder Opened]],0)</f>
        <v>5.0042229729729729E-2</v>
      </c>
      <c r="I121">
        <f>tinder[[#This Row],[Conversations]]/MAX(tinder[Conversations])</f>
        <v>1.8747033697199812E-2</v>
      </c>
      <c r="J121">
        <f>(tinder[[#This Row],[Norm Engagement]]*2)+(tinder[[#This Row],[Norm Swipes]]*1)+(tinder[[#This Row],[Norm Conversations]]*2)</f>
        <v>0.36707608085665727</v>
      </c>
      <c r="K12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21">
        <v>81</v>
      </c>
      <c r="M121">
        <v>0</v>
      </c>
      <c r="N121">
        <v>278</v>
      </c>
      <c r="O121">
        <v>1601</v>
      </c>
      <c r="P121">
        <v>1350</v>
      </c>
      <c r="Q121">
        <f>tinder[[#This Row],[All Swipes]]/MAX(tinder[All Swipes])</f>
        <v>1.4363536973855347E-2</v>
      </c>
      <c r="R121">
        <f>tinder[[#This Row],[Swipe Right (LIKE)]]+tinder[[#This Row],[Swipe Left (PASS)]]</f>
        <v>12192</v>
      </c>
      <c r="S121">
        <v>4018</v>
      </c>
      <c r="T121">
        <v>8174</v>
      </c>
      <c r="U121" t="s">
        <v>65</v>
      </c>
      <c r="V121" s="1">
        <v>43635</v>
      </c>
      <c r="W121" t="s">
        <v>12</v>
      </c>
      <c r="X121" t="s">
        <v>1295</v>
      </c>
      <c r="Y121" t="s">
        <v>108</v>
      </c>
      <c r="Z121">
        <v>21</v>
      </c>
      <c r="AA12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22" spans="1:27" x14ac:dyDescent="0.3">
      <c r="A122" t="s">
        <v>255</v>
      </c>
      <c r="B122">
        <v>10301</v>
      </c>
      <c r="C122">
        <v>332</v>
      </c>
      <c r="D122">
        <f>IFERROR(tinder[[#This Row],[Tinder Opened]]/tinder[[#This Row],[Days on Tinder]],0)</f>
        <v>31.027108433734941</v>
      </c>
      <c r="E122">
        <f>tinder[[#This Row],[Engagement]]/MAX(tinder[Engagement])</f>
        <v>0.15591511775746203</v>
      </c>
      <c r="F12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22">
        <v>357</v>
      </c>
      <c r="H122">
        <f>IFERROR(tinder[[#This Row],[Conversations]]/tinder[[#This Row],[Tinder Opened]],0)</f>
        <v>3.465682943403553E-2</v>
      </c>
      <c r="I122">
        <f>tinder[[#This Row],[Conversations]]/MAX(tinder[Conversations])</f>
        <v>2.823920265780731E-2</v>
      </c>
      <c r="J122">
        <f>(tinder[[#This Row],[Norm Engagement]]*2)+(tinder[[#This Row],[Norm Swipes]]*1)+(tinder[[#This Row],[Norm Conversations]]*2)</f>
        <v>0.55398845836460964</v>
      </c>
      <c r="K12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22">
        <v>178</v>
      </c>
      <c r="M122">
        <v>39</v>
      </c>
      <c r="N122">
        <v>1613</v>
      </c>
      <c r="O122">
        <v>1055</v>
      </c>
      <c r="P122">
        <v>964</v>
      </c>
      <c r="Q122">
        <f>tinder[[#This Row],[All Swipes]]/MAX(tinder[All Swipes])</f>
        <v>0.18567981753407098</v>
      </c>
      <c r="R122">
        <f>tinder[[#This Row],[Swipe Right (LIKE)]]+tinder[[#This Row],[Swipe Left (PASS)]]</f>
        <v>157608</v>
      </c>
      <c r="S122">
        <v>44561</v>
      </c>
      <c r="T122">
        <v>113047</v>
      </c>
      <c r="U122" t="s">
        <v>8</v>
      </c>
      <c r="V122" s="1">
        <v>43831</v>
      </c>
      <c r="W122" t="s">
        <v>12</v>
      </c>
      <c r="X122" t="s">
        <v>1295</v>
      </c>
      <c r="Y122" t="s">
        <v>256</v>
      </c>
      <c r="Z122">
        <v>27</v>
      </c>
      <c r="AA12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23" spans="1:27" x14ac:dyDescent="0.3">
      <c r="A123" t="s">
        <v>306</v>
      </c>
      <c r="B123">
        <v>2626</v>
      </c>
      <c r="C123">
        <v>85</v>
      </c>
      <c r="D123">
        <f>IFERROR(tinder[[#This Row],[Tinder Opened]]/tinder[[#This Row],[Days on Tinder]],0)</f>
        <v>30.894117647058824</v>
      </c>
      <c r="E123">
        <f>tinder[[#This Row],[Engagement]]/MAX(tinder[Engagement])</f>
        <v>0.15524682234702927</v>
      </c>
      <c r="F12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23">
        <v>467</v>
      </c>
      <c r="H123">
        <f>IFERROR(tinder[[#This Row],[Conversations]]/tinder[[#This Row],[Tinder Opened]],0)</f>
        <v>0.17783701447067785</v>
      </c>
      <c r="I123">
        <f>tinder[[#This Row],[Conversations]]/MAX(tinder[Conversations])</f>
        <v>3.694035753836418E-2</v>
      </c>
      <c r="J123">
        <f>(tinder[[#This Row],[Norm Engagement]]*2)+(tinder[[#This Row],[Norm Swipes]]*1)+(tinder[[#This Row],[Norm Conversations]]*2)</f>
        <v>0.39581735801775675</v>
      </c>
      <c r="K12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23">
        <v>182</v>
      </c>
      <c r="M123">
        <v>5</v>
      </c>
      <c r="N123">
        <v>671</v>
      </c>
      <c r="O123">
        <v>2820</v>
      </c>
      <c r="P123">
        <v>2478</v>
      </c>
      <c r="Q123">
        <f>tinder[[#This Row],[All Swipes]]/MAX(tinder[All Swipes])</f>
        <v>1.1442998246969897E-2</v>
      </c>
      <c r="R123">
        <f>tinder[[#This Row],[Swipe Right (LIKE)]]+tinder[[#This Row],[Swipe Left (PASS)]]</f>
        <v>9713</v>
      </c>
      <c r="S123">
        <v>6225</v>
      </c>
      <c r="T123">
        <v>3488</v>
      </c>
      <c r="U123" t="s">
        <v>8</v>
      </c>
      <c r="V123" s="1">
        <v>44056</v>
      </c>
      <c r="W123" t="s">
        <v>12</v>
      </c>
      <c r="X123" t="s">
        <v>1295</v>
      </c>
      <c r="Y123" t="s">
        <v>307</v>
      </c>
      <c r="Z123">
        <v>22</v>
      </c>
      <c r="AA12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24" spans="1:27" x14ac:dyDescent="0.3">
      <c r="A124" t="s">
        <v>889</v>
      </c>
      <c r="B124">
        <v>10163</v>
      </c>
      <c r="C124">
        <v>329</v>
      </c>
      <c r="D124">
        <f>IFERROR(tinder[[#This Row],[Tinder Opened]]/tinder[[#This Row],[Days on Tinder]],0)</f>
        <v>30.890577507598785</v>
      </c>
      <c r="E124">
        <f>tinder[[#This Row],[Engagement]]/MAX(tinder[Engagement])</f>
        <v>0.15522903270150143</v>
      </c>
      <c r="F12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24">
        <v>150</v>
      </c>
      <c r="H124">
        <f>IFERROR(tinder[[#This Row],[Conversations]]/tinder[[#This Row],[Tinder Opened]],0)</f>
        <v>1.4759421430679917E-2</v>
      </c>
      <c r="I124">
        <f>tinder[[#This Row],[Conversations]]/MAX(tinder[Conversations])</f>
        <v>1.1865211200759373E-2</v>
      </c>
      <c r="J124">
        <f>(tinder[[#This Row],[Norm Engagement]]*2)+(tinder[[#This Row],[Norm Swipes]]*1)+(tinder[[#This Row],[Norm Conversations]]*2)</f>
        <v>0.35788502509882331</v>
      </c>
      <c r="K12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24">
        <v>36</v>
      </c>
      <c r="M124">
        <v>4</v>
      </c>
      <c r="N124">
        <v>291</v>
      </c>
      <c r="O124">
        <v>2774</v>
      </c>
      <c r="P124">
        <v>2539</v>
      </c>
      <c r="Q124">
        <f>tinder[[#This Row],[All Swipes]]/MAX(tinder[All Swipes])</f>
        <v>2.3696537294301708E-2</v>
      </c>
      <c r="R124">
        <f>tinder[[#This Row],[Swipe Right (LIKE)]]+tinder[[#This Row],[Swipe Left (PASS)]]</f>
        <v>20114</v>
      </c>
      <c r="S124">
        <v>9126</v>
      </c>
      <c r="T124">
        <v>10988</v>
      </c>
      <c r="U124" t="s">
        <v>25</v>
      </c>
      <c r="V124" s="1">
        <v>43966</v>
      </c>
      <c r="W124" t="s">
        <v>12</v>
      </c>
      <c r="X124" t="s">
        <v>1295</v>
      </c>
      <c r="Y124" t="s">
        <v>890</v>
      </c>
      <c r="Z124">
        <v>31</v>
      </c>
      <c r="AA124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125" spans="1:27" x14ac:dyDescent="0.3">
      <c r="A125" t="s">
        <v>1172</v>
      </c>
      <c r="B125">
        <v>1102</v>
      </c>
      <c r="C125">
        <v>36</v>
      </c>
      <c r="D125">
        <f>IFERROR(tinder[[#This Row],[Tinder Opened]]/tinder[[#This Row],[Days on Tinder]],0)</f>
        <v>30.611111111111111</v>
      </c>
      <c r="E125">
        <f>tinder[[#This Row],[Engagement]]/MAX(tinder[Engagement])</f>
        <v>0.15382467895030708</v>
      </c>
      <c r="F12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25">
        <v>253</v>
      </c>
      <c r="H125">
        <f>IFERROR(tinder[[#This Row],[Conversations]]/tinder[[#This Row],[Tinder Opened]],0)</f>
        <v>0.22958257713248639</v>
      </c>
      <c r="I125">
        <f>tinder[[#This Row],[Conversations]]/MAX(tinder[Conversations])</f>
        <v>2.0012656225280812E-2</v>
      </c>
      <c r="J125">
        <f>(tinder[[#This Row],[Norm Engagement]]*2)+(tinder[[#This Row],[Norm Swipes]]*1)+(tinder[[#This Row],[Norm Conversations]]*2)</f>
        <v>0.36799827405327373</v>
      </c>
      <c r="K12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25">
        <v>109</v>
      </c>
      <c r="M125">
        <v>26</v>
      </c>
      <c r="N125">
        <v>326</v>
      </c>
      <c r="O125">
        <v>2544</v>
      </c>
      <c r="P125">
        <v>2517</v>
      </c>
      <c r="Q125">
        <f>tinder[[#This Row],[All Swipes]]/MAX(tinder[All Swipes])</f>
        <v>2.032360370209798E-2</v>
      </c>
      <c r="R125">
        <f>tinder[[#This Row],[Swipe Right (LIKE)]]+tinder[[#This Row],[Swipe Left (PASS)]]</f>
        <v>17251</v>
      </c>
      <c r="S125">
        <v>8205</v>
      </c>
      <c r="T125">
        <v>9046</v>
      </c>
      <c r="U125" t="s">
        <v>262</v>
      </c>
      <c r="V125" s="1">
        <v>44260</v>
      </c>
      <c r="W125" t="s">
        <v>12</v>
      </c>
      <c r="X125" t="s">
        <v>1295</v>
      </c>
      <c r="Y125" t="s">
        <v>8</v>
      </c>
      <c r="Z125">
        <v>26</v>
      </c>
      <c r="AA12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26" spans="1:27" x14ac:dyDescent="0.3">
      <c r="A126" t="s">
        <v>295</v>
      </c>
      <c r="B126">
        <v>9875</v>
      </c>
      <c r="C126">
        <v>323</v>
      </c>
      <c r="D126">
        <f>IFERROR(tinder[[#This Row],[Tinder Opened]]/tinder[[#This Row],[Days on Tinder]],0)</f>
        <v>30.572755417956657</v>
      </c>
      <c r="E126">
        <f>tinder[[#This Row],[Engagement]]/MAX(tinder[Engagement])</f>
        <v>0.15363193677365153</v>
      </c>
      <c r="F12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26">
        <v>86</v>
      </c>
      <c r="H126">
        <f>IFERROR(tinder[[#This Row],[Conversations]]/tinder[[#This Row],[Tinder Opened]],0)</f>
        <v>8.7088607594936716E-3</v>
      </c>
      <c r="I126">
        <f>tinder[[#This Row],[Conversations]]/MAX(tinder[Conversations])</f>
        <v>6.8027210884353739E-3</v>
      </c>
      <c r="J126">
        <f>(tinder[[#This Row],[Norm Engagement]]*2)+(tinder[[#This Row],[Norm Swipes]]*1)+(tinder[[#This Row],[Norm Conversations]]*2)</f>
        <v>0.40718484229294727</v>
      </c>
      <c r="K12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26">
        <v>22</v>
      </c>
      <c r="M126">
        <v>11</v>
      </c>
      <c r="N126">
        <v>578</v>
      </c>
      <c r="O126">
        <v>759</v>
      </c>
      <c r="P126">
        <v>691</v>
      </c>
      <c r="Q126">
        <f>tinder[[#This Row],[All Swipes]]/MAX(tinder[All Swipes])</f>
        <v>8.6315526568773449E-2</v>
      </c>
      <c r="R126">
        <f>tinder[[#This Row],[Swipe Right (LIKE)]]+tinder[[#This Row],[Swipe Left (PASS)]]</f>
        <v>73266</v>
      </c>
      <c r="S126">
        <v>33198</v>
      </c>
      <c r="T126">
        <v>40068</v>
      </c>
      <c r="U126" t="s">
        <v>8</v>
      </c>
      <c r="V126" s="1">
        <v>43829</v>
      </c>
      <c r="W126" t="s">
        <v>12</v>
      </c>
      <c r="X126" t="s">
        <v>1295</v>
      </c>
      <c r="Y126" t="s">
        <v>8</v>
      </c>
      <c r="Z126">
        <v>21</v>
      </c>
      <c r="AA12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27" spans="1:27" x14ac:dyDescent="0.3">
      <c r="A127" t="s">
        <v>1178</v>
      </c>
      <c r="B127">
        <v>489</v>
      </c>
      <c r="C127">
        <v>16</v>
      </c>
      <c r="D127">
        <f>IFERROR(tinder[[#This Row],[Tinder Opened]]/tinder[[#This Row],[Days on Tinder]],0)</f>
        <v>30.5625</v>
      </c>
      <c r="E127">
        <f>tinder[[#This Row],[Engagement]]/MAX(tinder[Engagement])</f>
        <v>0.15358040201005024</v>
      </c>
      <c r="F12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27">
        <v>20</v>
      </c>
      <c r="H127">
        <f>IFERROR(tinder[[#This Row],[Conversations]]/tinder[[#This Row],[Tinder Opened]],0)</f>
        <v>4.0899795501022497E-2</v>
      </c>
      <c r="I127">
        <f>tinder[[#This Row],[Conversations]]/MAX(tinder[Conversations])</f>
        <v>1.5820281601012498E-3</v>
      </c>
      <c r="J127">
        <f>(tinder[[#This Row],[Norm Engagement]]*2)+(tinder[[#This Row],[Norm Swipes]]*1)+(tinder[[#This Row],[Norm Conversations]]*2)</f>
        <v>0.31171856639673923</v>
      </c>
      <c r="K12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27">
        <v>8</v>
      </c>
      <c r="M127">
        <v>0</v>
      </c>
      <c r="N127">
        <v>27</v>
      </c>
      <c r="O127">
        <v>205</v>
      </c>
      <c r="P127">
        <v>168</v>
      </c>
      <c r="Q127">
        <f>tinder[[#This Row],[All Swipes]]/MAX(tinder[All Swipes])</f>
        <v>1.3937060564362595E-3</v>
      </c>
      <c r="R127">
        <f>tinder[[#This Row],[Swipe Right (LIKE)]]+tinder[[#This Row],[Swipe Left (PASS)]]</f>
        <v>1183</v>
      </c>
      <c r="S127">
        <v>1062</v>
      </c>
      <c r="T127">
        <v>121</v>
      </c>
      <c r="U127" t="s">
        <v>8</v>
      </c>
      <c r="V127" s="1">
        <v>44213</v>
      </c>
      <c r="W127" t="s">
        <v>12</v>
      </c>
      <c r="X127" t="s">
        <v>1295</v>
      </c>
      <c r="Y127" t="s">
        <v>8</v>
      </c>
      <c r="Z127">
        <v>29</v>
      </c>
      <c r="AA12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28" spans="1:27" x14ac:dyDescent="0.3">
      <c r="A128" t="s">
        <v>448</v>
      </c>
      <c r="B128">
        <v>609</v>
      </c>
      <c r="C128">
        <v>20</v>
      </c>
      <c r="D128">
        <f>IFERROR(tinder[[#This Row],[Tinder Opened]]/tinder[[#This Row],[Days on Tinder]],0)</f>
        <v>30.45</v>
      </c>
      <c r="E128">
        <f>tinder[[#This Row],[Engagement]]/MAX(tinder[Engagement])</f>
        <v>0.15301507537688441</v>
      </c>
      <c r="F12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28">
        <v>4</v>
      </c>
      <c r="H128">
        <f>IFERROR(tinder[[#This Row],[Conversations]]/tinder[[#This Row],[Tinder Opened]],0)</f>
        <v>6.5681444991789817E-3</v>
      </c>
      <c r="I128">
        <f>tinder[[#This Row],[Conversations]]/MAX(tinder[Conversations])</f>
        <v>3.1640563202024995E-4</v>
      </c>
      <c r="J128">
        <f>(tinder[[#This Row],[Norm Engagement]]*2)+(tinder[[#This Row],[Norm Swipes]]*1)+(tinder[[#This Row],[Norm Conversations]]*2)</f>
        <v>0.30839596422323434</v>
      </c>
      <c r="K12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28">
        <v>0</v>
      </c>
      <c r="M128">
        <v>0</v>
      </c>
      <c r="N128">
        <v>43</v>
      </c>
      <c r="O128">
        <v>65</v>
      </c>
      <c r="P128">
        <v>46</v>
      </c>
      <c r="Q128">
        <f>tinder[[#This Row],[All Swipes]]/MAX(tinder[All Swipes])</f>
        <v>1.7330022054249685E-3</v>
      </c>
      <c r="R128">
        <f>tinder[[#This Row],[Swipe Right (LIKE)]]+tinder[[#This Row],[Swipe Left (PASS)]]</f>
        <v>1471</v>
      </c>
      <c r="S128">
        <v>185</v>
      </c>
      <c r="T128">
        <v>1286</v>
      </c>
      <c r="U128" t="s">
        <v>8</v>
      </c>
      <c r="V128" s="1">
        <v>44143</v>
      </c>
      <c r="W128" t="s">
        <v>12</v>
      </c>
      <c r="X128" t="s">
        <v>1295</v>
      </c>
      <c r="Y128" t="s">
        <v>8</v>
      </c>
      <c r="Z128">
        <v>21</v>
      </c>
      <c r="AA12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29" spans="1:27" x14ac:dyDescent="0.3">
      <c r="A129" t="s">
        <v>876</v>
      </c>
      <c r="B129">
        <v>243</v>
      </c>
      <c r="C129">
        <v>8</v>
      </c>
      <c r="D129">
        <f>IFERROR(tinder[[#This Row],[Tinder Opened]]/tinder[[#This Row],[Days on Tinder]],0)</f>
        <v>30.375</v>
      </c>
      <c r="E129">
        <f>tinder[[#This Row],[Engagement]]/MAX(tinder[Engagement])</f>
        <v>0.15263819095477388</v>
      </c>
      <c r="F12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29">
        <v>53</v>
      </c>
      <c r="H129">
        <f>IFERROR(tinder[[#This Row],[Conversations]]/tinder[[#This Row],[Tinder Opened]],0)</f>
        <v>0.21810699588477367</v>
      </c>
      <c r="I129">
        <f>tinder[[#This Row],[Conversations]]/MAX(tinder[Conversations])</f>
        <v>4.192374624268312E-3</v>
      </c>
      <c r="J129">
        <f>(tinder[[#This Row],[Norm Engagement]]*2)+(tinder[[#This Row],[Norm Swipes]]*1)+(tinder[[#This Row],[Norm Conversations]]*2)</f>
        <v>0.31500535652612643</v>
      </c>
      <c r="K12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29">
        <v>19</v>
      </c>
      <c r="M129">
        <v>0</v>
      </c>
      <c r="N129">
        <v>14</v>
      </c>
      <c r="O129">
        <v>2254</v>
      </c>
      <c r="P129">
        <v>2240</v>
      </c>
      <c r="Q129">
        <f>tinder[[#This Row],[All Swipes]]/MAX(tinder[All Swipes])</f>
        <v>1.3442253680420726E-3</v>
      </c>
      <c r="R129">
        <f>tinder[[#This Row],[Swipe Right (LIKE)]]+tinder[[#This Row],[Swipe Left (PASS)]]</f>
        <v>1141</v>
      </c>
      <c r="S129">
        <v>906</v>
      </c>
      <c r="T129">
        <v>235</v>
      </c>
      <c r="U129" t="s">
        <v>125</v>
      </c>
      <c r="V129" s="1">
        <v>44293</v>
      </c>
      <c r="W129" t="s">
        <v>12</v>
      </c>
      <c r="X129" t="s">
        <v>1295</v>
      </c>
      <c r="Y129" t="s">
        <v>8</v>
      </c>
      <c r="Z129">
        <v>31</v>
      </c>
      <c r="AA129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130" spans="1:27" x14ac:dyDescent="0.3">
      <c r="A130" t="s">
        <v>1224</v>
      </c>
      <c r="B130">
        <v>3785</v>
      </c>
      <c r="C130">
        <v>125</v>
      </c>
      <c r="D130">
        <f>IFERROR(tinder[[#This Row],[Tinder Opened]]/tinder[[#This Row],[Days on Tinder]],0)</f>
        <v>30.28</v>
      </c>
      <c r="E130">
        <f>tinder[[#This Row],[Engagement]]/MAX(tinder[Engagement])</f>
        <v>0.15216080402010052</v>
      </c>
      <c r="F13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30">
        <v>112</v>
      </c>
      <c r="H130">
        <f>IFERROR(tinder[[#This Row],[Conversations]]/tinder[[#This Row],[Tinder Opened]],0)</f>
        <v>2.9590488771466316E-2</v>
      </c>
      <c r="I130">
        <f>tinder[[#This Row],[Conversations]]/MAX(tinder[Conversations])</f>
        <v>8.8593576965669985E-3</v>
      </c>
      <c r="J130">
        <f>(tinder[[#This Row],[Norm Engagement]]*2)+(tinder[[#This Row],[Norm Swipes]]*1)+(tinder[[#This Row],[Norm Conversations]]*2)</f>
        <v>0.34835698098927181</v>
      </c>
      <c r="K13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30">
        <v>47</v>
      </c>
      <c r="M130">
        <v>13</v>
      </c>
      <c r="N130">
        <v>105</v>
      </c>
      <c r="O130">
        <v>355</v>
      </c>
      <c r="P130">
        <v>281</v>
      </c>
      <c r="Q130">
        <f>tinder[[#This Row],[All Swipes]]/MAX(tinder[All Swipes])</f>
        <v>2.6316657555936741E-2</v>
      </c>
      <c r="R130">
        <f>tinder[[#This Row],[Swipe Right (LIKE)]]+tinder[[#This Row],[Swipe Left (PASS)]]</f>
        <v>22338</v>
      </c>
      <c r="S130">
        <v>8342</v>
      </c>
      <c r="T130">
        <v>13996</v>
      </c>
      <c r="U130" t="s">
        <v>10</v>
      </c>
      <c r="V130" s="1">
        <v>44174</v>
      </c>
      <c r="W130" t="s">
        <v>12</v>
      </c>
      <c r="X130" t="s">
        <v>1295</v>
      </c>
      <c r="Y130" t="s">
        <v>8</v>
      </c>
      <c r="Z130">
        <v>27</v>
      </c>
      <c r="AA13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31" spans="1:27" x14ac:dyDescent="0.3">
      <c r="A131" t="s">
        <v>442</v>
      </c>
      <c r="B131">
        <v>779</v>
      </c>
      <c r="C131">
        <v>26</v>
      </c>
      <c r="D131">
        <f>IFERROR(tinder[[#This Row],[Tinder Opened]]/tinder[[#This Row],[Days on Tinder]],0)</f>
        <v>29.96153846153846</v>
      </c>
      <c r="E131">
        <f>tinder[[#This Row],[Engagement]]/MAX(tinder[Engagement])</f>
        <v>0.1505604947816003</v>
      </c>
      <c r="F13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31">
        <v>2</v>
      </c>
      <c r="H131">
        <f>IFERROR(tinder[[#This Row],[Conversations]]/tinder[[#This Row],[Tinder Opened]],0)</f>
        <v>2.5673940949935813E-3</v>
      </c>
      <c r="I131">
        <f>tinder[[#This Row],[Conversations]]/MAX(tinder[Conversations])</f>
        <v>1.5820281601012498E-4</v>
      </c>
      <c r="J131">
        <f>(tinder[[#This Row],[Norm Engagement]]*2)+(tinder[[#This Row],[Norm Swipes]]*1)+(tinder[[#This Row],[Norm Conversations]]*2)</f>
        <v>0.3049505240712081</v>
      </c>
      <c r="K13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31">
        <v>2</v>
      </c>
      <c r="M131">
        <v>0</v>
      </c>
      <c r="N131">
        <v>3</v>
      </c>
      <c r="O131">
        <v>2</v>
      </c>
      <c r="P131">
        <v>0</v>
      </c>
      <c r="Q131">
        <f>tinder[[#This Row],[All Swipes]]/MAX(tinder[All Swipes])</f>
        <v>3.5131288759872575E-3</v>
      </c>
      <c r="R131">
        <f>tinder[[#This Row],[Swipe Right (LIKE)]]+tinder[[#This Row],[Swipe Left (PASS)]]</f>
        <v>2982</v>
      </c>
      <c r="S131">
        <v>1739</v>
      </c>
      <c r="T131">
        <v>1243</v>
      </c>
      <c r="U131" t="s">
        <v>8</v>
      </c>
      <c r="V131" s="1">
        <v>44228</v>
      </c>
      <c r="W131" t="s">
        <v>12</v>
      </c>
      <c r="X131" t="s">
        <v>1295</v>
      </c>
      <c r="Y131" t="s">
        <v>8</v>
      </c>
      <c r="Z131">
        <v>27</v>
      </c>
      <c r="AA13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32" spans="1:27" x14ac:dyDescent="0.3">
      <c r="A132" t="s">
        <v>700</v>
      </c>
      <c r="B132">
        <v>12035</v>
      </c>
      <c r="C132">
        <v>402</v>
      </c>
      <c r="D132">
        <f>IFERROR(tinder[[#This Row],[Tinder Opened]]/tinder[[#This Row],[Days on Tinder]],0)</f>
        <v>29.937810945273633</v>
      </c>
      <c r="E132">
        <f>tinder[[#This Row],[Engagement]]/MAX(tinder[Engagement])</f>
        <v>0.1504412610315258</v>
      </c>
      <c r="F13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32">
        <v>67</v>
      </c>
      <c r="H132">
        <f>IFERROR(tinder[[#This Row],[Conversations]]/tinder[[#This Row],[Tinder Opened]],0)</f>
        <v>5.5670959700872451E-3</v>
      </c>
      <c r="I132">
        <f>tinder[[#This Row],[Conversations]]/MAX(tinder[Conversations])</f>
        <v>5.2997943363391866E-3</v>
      </c>
      <c r="J132">
        <f>(tinder[[#This Row],[Norm Engagement]]*2)+(tinder[[#This Row],[Norm Swipes]]*1)+(tinder[[#This Row],[Norm Conversations]]*2)</f>
        <v>0.73726107814444997</v>
      </c>
      <c r="K13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32">
        <v>9</v>
      </c>
      <c r="M132">
        <v>5</v>
      </c>
      <c r="N132">
        <v>279</v>
      </c>
      <c r="O132">
        <v>811</v>
      </c>
      <c r="P132">
        <v>925</v>
      </c>
      <c r="Q132">
        <f>tinder[[#This Row],[All Swipes]]/MAX(tinder[All Swipes])</f>
        <v>0.4257789674087199</v>
      </c>
      <c r="R132">
        <f>tinder[[#This Row],[Swipe Right (LIKE)]]+tinder[[#This Row],[Swipe Left (PASS)]]</f>
        <v>361408</v>
      </c>
      <c r="S132">
        <v>14359</v>
      </c>
      <c r="T132">
        <v>347049</v>
      </c>
      <c r="U132" t="s">
        <v>8</v>
      </c>
      <c r="V132" s="1">
        <v>43114</v>
      </c>
      <c r="W132" t="s">
        <v>12</v>
      </c>
      <c r="X132" t="s">
        <v>1295</v>
      </c>
      <c r="Y132" t="s">
        <v>8</v>
      </c>
      <c r="Z132">
        <v>27</v>
      </c>
      <c r="AA13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33" spans="1:27" x14ac:dyDescent="0.3">
      <c r="A133" t="s">
        <v>426</v>
      </c>
      <c r="B133">
        <v>3517</v>
      </c>
      <c r="C133">
        <v>118</v>
      </c>
      <c r="D133">
        <f>IFERROR(tinder[[#This Row],[Tinder Opened]]/tinder[[#This Row],[Days on Tinder]],0)</f>
        <v>29.805084745762713</v>
      </c>
      <c r="E133">
        <f>tinder[[#This Row],[Engagement]]/MAX(tinder[Engagement])</f>
        <v>0.14977429520483776</v>
      </c>
      <c r="F13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33">
        <v>151</v>
      </c>
      <c r="H133">
        <f>IFERROR(tinder[[#This Row],[Conversations]]/tinder[[#This Row],[Tinder Opened]],0)</f>
        <v>4.2934319021893659E-2</v>
      </c>
      <c r="I133">
        <f>tinder[[#This Row],[Conversations]]/MAX(tinder[Conversations])</f>
        <v>1.1944312608764437E-2</v>
      </c>
      <c r="J133">
        <f>(tinder[[#This Row],[Norm Engagement]]*2)+(tinder[[#This Row],[Norm Swipes]]*1)+(tinder[[#This Row],[Norm Conversations]]*2)</f>
        <v>0.34608994601871446</v>
      </c>
      <c r="K13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33">
        <v>50</v>
      </c>
      <c r="M133">
        <v>5</v>
      </c>
      <c r="N133">
        <v>238</v>
      </c>
      <c r="O133">
        <v>1509</v>
      </c>
      <c r="P133">
        <v>1631</v>
      </c>
      <c r="Q133">
        <f>tinder[[#This Row],[All Swipes]]/MAX(tinder[All Swipes])</f>
        <v>2.2652730391510056E-2</v>
      </c>
      <c r="R133">
        <f>tinder[[#This Row],[Swipe Right (LIKE)]]+tinder[[#This Row],[Swipe Left (PASS)]]</f>
        <v>19228</v>
      </c>
      <c r="S133">
        <v>5579</v>
      </c>
      <c r="T133">
        <v>13649</v>
      </c>
      <c r="U133" t="s">
        <v>10</v>
      </c>
      <c r="V133" s="1">
        <v>44158</v>
      </c>
      <c r="W133" t="s">
        <v>12</v>
      </c>
      <c r="X133" t="s">
        <v>1295</v>
      </c>
      <c r="Y133" t="s">
        <v>427</v>
      </c>
      <c r="Z133">
        <v>29</v>
      </c>
      <c r="AA13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34" spans="1:27" x14ac:dyDescent="0.3">
      <c r="A134" t="s">
        <v>637</v>
      </c>
      <c r="B134">
        <v>1337</v>
      </c>
      <c r="C134">
        <v>45</v>
      </c>
      <c r="D134">
        <f>IFERROR(tinder[[#This Row],[Tinder Opened]]/tinder[[#This Row],[Days on Tinder]],0)</f>
        <v>29.711111111111112</v>
      </c>
      <c r="E134">
        <f>tinder[[#This Row],[Engagement]]/MAX(tinder[Engagement])</f>
        <v>0.14930206588498046</v>
      </c>
      <c r="F13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34">
        <v>27</v>
      </c>
      <c r="H134">
        <f>IFERROR(tinder[[#This Row],[Conversations]]/tinder[[#This Row],[Tinder Opened]],0)</f>
        <v>2.0194465220643231E-2</v>
      </c>
      <c r="I134">
        <f>tinder[[#This Row],[Conversations]]/MAX(tinder[Conversations])</f>
        <v>2.1357380161366873E-3</v>
      </c>
      <c r="J134">
        <f>(tinder[[#This Row],[Norm Engagement]]*2)+(tinder[[#This Row],[Norm Swipes]]*1)+(tinder[[#This Row],[Norm Conversations]]*2)</f>
        <v>0.33108077829854921</v>
      </c>
      <c r="K13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34">
        <v>13</v>
      </c>
      <c r="M134">
        <v>0</v>
      </c>
      <c r="N134">
        <v>38</v>
      </c>
      <c r="O134">
        <v>202</v>
      </c>
      <c r="P134">
        <v>175</v>
      </c>
      <c r="Q134">
        <f>tinder[[#This Row],[All Swipes]]/MAX(tinder[All Swipes])</f>
        <v>2.8205170496314866E-2</v>
      </c>
      <c r="R134">
        <f>tinder[[#This Row],[Swipe Right (LIKE)]]+tinder[[#This Row],[Swipe Left (PASS)]]</f>
        <v>23941</v>
      </c>
      <c r="S134">
        <v>5807</v>
      </c>
      <c r="T134">
        <v>18134</v>
      </c>
      <c r="U134" t="s">
        <v>88</v>
      </c>
      <c r="V134" s="1">
        <v>44254</v>
      </c>
      <c r="W134" t="s">
        <v>12</v>
      </c>
      <c r="X134" t="s">
        <v>1295</v>
      </c>
      <c r="Y134" t="s">
        <v>8</v>
      </c>
      <c r="Z134">
        <v>22</v>
      </c>
      <c r="AA13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35" spans="1:27" x14ac:dyDescent="0.3">
      <c r="A135" t="s">
        <v>278</v>
      </c>
      <c r="B135">
        <v>4060</v>
      </c>
      <c r="C135">
        <v>138</v>
      </c>
      <c r="D135">
        <f>IFERROR(tinder[[#This Row],[Tinder Opened]]/tinder[[#This Row],[Days on Tinder]],0)</f>
        <v>29.420289855072465</v>
      </c>
      <c r="E135">
        <f>tinder[[#This Row],[Engagement]]/MAX(tinder[Engagement])</f>
        <v>0.14784065253805259</v>
      </c>
      <c r="F13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35">
        <v>128</v>
      </c>
      <c r="H135">
        <f>IFERROR(tinder[[#This Row],[Conversations]]/tinder[[#This Row],[Tinder Opened]],0)</f>
        <v>3.1527093596059111E-2</v>
      </c>
      <c r="I135">
        <f>tinder[[#This Row],[Conversations]]/MAX(tinder[Conversations])</f>
        <v>1.0124980224647999E-2</v>
      </c>
      <c r="J135">
        <f>(tinder[[#This Row],[Norm Engagement]]*2)+(tinder[[#This Row],[Norm Swipes]]*1)+(tinder[[#This Row],[Norm Conversations]]*2)</f>
        <v>0.34315035658871762</v>
      </c>
      <c r="K13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35">
        <v>36</v>
      </c>
      <c r="M135">
        <v>18</v>
      </c>
      <c r="N135">
        <v>390</v>
      </c>
      <c r="O135">
        <v>418</v>
      </c>
      <c r="P135">
        <v>663</v>
      </c>
      <c r="Q135">
        <f>tinder[[#This Row],[All Swipes]]/MAX(tinder[All Swipes])</f>
        <v>2.7219091063316433E-2</v>
      </c>
      <c r="R135">
        <f>tinder[[#This Row],[Swipe Right (LIKE)]]+tinder[[#This Row],[Swipe Left (PASS)]]</f>
        <v>23104</v>
      </c>
      <c r="S135">
        <v>14814</v>
      </c>
      <c r="T135">
        <v>8290</v>
      </c>
      <c r="U135" t="s">
        <v>8</v>
      </c>
      <c r="V135" s="1">
        <v>44042</v>
      </c>
      <c r="W135" t="s">
        <v>12</v>
      </c>
      <c r="X135" t="s">
        <v>1295</v>
      </c>
      <c r="Y135" t="s">
        <v>8</v>
      </c>
      <c r="Z135">
        <v>23</v>
      </c>
      <c r="AA13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36" spans="1:27" x14ac:dyDescent="0.3">
      <c r="A136" t="s">
        <v>654</v>
      </c>
      <c r="B136">
        <v>147</v>
      </c>
      <c r="C136">
        <v>5</v>
      </c>
      <c r="D136">
        <f>IFERROR(tinder[[#This Row],[Tinder Opened]]/tinder[[#This Row],[Days on Tinder]],0)</f>
        <v>29.4</v>
      </c>
      <c r="E136">
        <f>tinder[[#This Row],[Engagement]]/MAX(tinder[Engagement])</f>
        <v>0.14773869346733667</v>
      </c>
      <c r="F13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36">
        <v>1</v>
      </c>
      <c r="H136">
        <f>IFERROR(tinder[[#This Row],[Conversations]]/tinder[[#This Row],[Tinder Opened]],0)</f>
        <v>6.8027210884353739E-3</v>
      </c>
      <c r="I136">
        <f>tinder[[#This Row],[Conversations]]/MAX(tinder[Conversations])</f>
        <v>7.9101408005062489E-5</v>
      </c>
      <c r="J136">
        <f>(tinder[[#This Row],[Norm Engagement]]*2)+(tinder[[#This Row],[Norm Swipes]]*1)+(tinder[[#This Row],[Norm Conversations]]*2)</f>
        <v>0.29818973576112628</v>
      </c>
      <c r="K13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36">
        <v>0</v>
      </c>
      <c r="M136">
        <v>0</v>
      </c>
      <c r="N136">
        <v>1</v>
      </c>
      <c r="O136">
        <v>2</v>
      </c>
      <c r="P136">
        <v>0</v>
      </c>
      <c r="Q136">
        <f>tinder[[#This Row],[All Swipes]]/MAX(tinder[All Swipes])</f>
        <v>2.5541460104427814E-3</v>
      </c>
      <c r="R136">
        <f>tinder[[#This Row],[Swipe Right (LIKE)]]+tinder[[#This Row],[Swipe Left (PASS)]]</f>
        <v>2168</v>
      </c>
      <c r="S136">
        <v>296</v>
      </c>
      <c r="T136">
        <v>1872</v>
      </c>
      <c r="U136" t="s">
        <v>8</v>
      </c>
      <c r="V136" s="1">
        <v>44295</v>
      </c>
      <c r="W136" t="s">
        <v>12</v>
      </c>
      <c r="X136" t="s">
        <v>1295</v>
      </c>
      <c r="Y136" t="s">
        <v>8</v>
      </c>
      <c r="Z136">
        <v>21</v>
      </c>
      <c r="AA13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37" spans="1:27" x14ac:dyDescent="0.3">
      <c r="A137" t="s">
        <v>928</v>
      </c>
      <c r="B137">
        <v>787</v>
      </c>
      <c r="C137">
        <v>27</v>
      </c>
      <c r="D137">
        <f>IFERROR(tinder[[#This Row],[Tinder Opened]]/tinder[[#This Row],[Days on Tinder]],0)</f>
        <v>29.148148148148149</v>
      </c>
      <c r="E137">
        <f>tinder[[#This Row],[Engagement]]/MAX(tinder[Engagement])</f>
        <v>0.14647310627210125</v>
      </c>
      <c r="F13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37">
        <v>66</v>
      </c>
      <c r="H137">
        <f>IFERROR(tinder[[#This Row],[Conversations]]/tinder[[#This Row],[Tinder Opened]],0)</f>
        <v>8.3862770012706478E-2</v>
      </c>
      <c r="I137">
        <f>tinder[[#This Row],[Conversations]]/MAX(tinder[Conversations])</f>
        <v>5.2206929283341247E-3</v>
      </c>
      <c r="J137">
        <f>(tinder[[#This Row],[Norm Engagement]]*2)+(tinder[[#This Row],[Norm Swipes]]*1)+(tinder[[#This Row],[Norm Conversations]]*2)</f>
        <v>0.31092986904609893</v>
      </c>
      <c r="K13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37">
        <v>30</v>
      </c>
      <c r="M137">
        <v>1</v>
      </c>
      <c r="N137">
        <v>14</v>
      </c>
      <c r="O137">
        <v>366</v>
      </c>
      <c r="P137">
        <v>284</v>
      </c>
      <c r="Q137">
        <f>tinder[[#This Row],[All Swipes]]/MAX(tinder[All Swipes])</f>
        <v>7.5422706452281767E-3</v>
      </c>
      <c r="R137">
        <f>tinder[[#This Row],[Swipe Right (LIKE)]]+tinder[[#This Row],[Swipe Left (PASS)]]</f>
        <v>6402</v>
      </c>
      <c r="S137">
        <v>180</v>
      </c>
      <c r="T137">
        <v>6222</v>
      </c>
      <c r="U137" t="s">
        <v>10</v>
      </c>
      <c r="V137" s="1">
        <v>44273</v>
      </c>
      <c r="W137" t="s">
        <v>12</v>
      </c>
      <c r="X137" t="s">
        <v>1295</v>
      </c>
      <c r="Y137" t="s">
        <v>8</v>
      </c>
      <c r="Z137">
        <v>27</v>
      </c>
      <c r="AA13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38" spans="1:27" x14ac:dyDescent="0.3">
      <c r="A138" t="s">
        <v>351</v>
      </c>
      <c r="B138">
        <v>5903</v>
      </c>
      <c r="C138">
        <v>203</v>
      </c>
      <c r="D138">
        <f>IFERROR(tinder[[#This Row],[Tinder Opened]]/tinder[[#This Row],[Days on Tinder]],0)</f>
        <v>29.078817733990149</v>
      </c>
      <c r="E138">
        <f>tinder[[#This Row],[Engagement]]/MAX(tinder[Engagement])</f>
        <v>0.14612471223110629</v>
      </c>
      <c r="F13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38">
        <v>375</v>
      </c>
      <c r="H138">
        <f>IFERROR(tinder[[#This Row],[Conversations]]/tinder[[#This Row],[Tinder Opened]],0)</f>
        <v>6.3527020159241068E-2</v>
      </c>
      <c r="I138">
        <f>tinder[[#This Row],[Conversations]]/MAX(tinder[Conversations])</f>
        <v>2.9663028001898434E-2</v>
      </c>
      <c r="J138">
        <f>(tinder[[#This Row],[Norm Engagement]]*2)+(tinder[[#This Row],[Norm Swipes]]*1)+(tinder[[#This Row],[Norm Conversations]]*2)</f>
        <v>0.40917807042661342</v>
      </c>
      <c r="K13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38">
        <v>133</v>
      </c>
      <c r="M138">
        <v>120</v>
      </c>
      <c r="N138">
        <v>1537</v>
      </c>
      <c r="O138">
        <v>991</v>
      </c>
      <c r="P138">
        <v>1207</v>
      </c>
      <c r="Q138">
        <f>tinder[[#This Row],[All Swipes]]/MAX(tinder[All Swipes])</f>
        <v>5.7602589960603946E-2</v>
      </c>
      <c r="R138">
        <f>tinder[[#This Row],[Swipe Right (LIKE)]]+tinder[[#This Row],[Swipe Left (PASS)]]</f>
        <v>48894</v>
      </c>
      <c r="S138">
        <v>17484</v>
      </c>
      <c r="T138">
        <v>31410</v>
      </c>
      <c r="U138" t="s">
        <v>10</v>
      </c>
      <c r="V138" s="1">
        <v>44001</v>
      </c>
      <c r="W138" t="s">
        <v>12</v>
      </c>
      <c r="X138" t="s">
        <v>1295</v>
      </c>
      <c r="Y138" t="s">
        <v>8</v>
      </c>
      <c r="Z138">
        <v>21</v>
      </c>
      <c r="AA13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39" spans="1:27" x14ac:dyDescent="0.3">
      <c r="A139" t="s">
        <v>573</v>
      </c>
      <c r="B139">
        <v>29</v>
      </c>
      <c r="C139">
        <v>1</v>
      </c>
      <c r="D139">
        <f>IFERROR(tinder[[#This Row],[Tinder Opened]]/tinder[[#This Row],[Days on Tinder]],0)</f>
        <v>29</v>
      </c>
      <c r="E139">
        <f>tinder[[#This Row],[Engagement]]/MAX(tinder[Engagement])</f>
        <v>0.14572864321608039</v>
      </c>
      <c r="F13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39">
        <v>0</v>
      </c>
      <c r="H139">
        <f>IFERROR(tinder[[#This Row],[Conversations]]/tinder[[#This Row],[Tinder Opened]],0)</f>
        <v>0</v>
      </c>
      <c r="I139">
        <f>tinder[[#This Row],[Conversations]]/MAX(tinder[Conversations])</f>
        <v>0</v>
      </c>
      <c r="J139">
        <f>(tinder[[#This Row],[Norm Engagement]]*2)+(tinder[[#This Row],[Norm Swipes]]*1)+(tinder[[#This Row],[Norm Conversations]]*2)</f>
        <v>0.29188611906491041</v>
      </c>
      <c r="K13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39">
        <v>0</v>
      </c>
      <c r="M139">
        <v>0</v>
      </c>
      <c r="N139">
        <v>0</v>
      </c>
      <c r="O139">
        <v>0</v>
      </c>
      <c r="P139">
        <v>0</v>
      </c>
      <c r="Q139">
        <f>tinder[[#This Row],[All Swipes]]/MAX(tinder[All Swipes])</f>
        <v>4.288326327496183E-4</v>
      </c>
      <c r="R139">
        <f>tinder[[#This Row],[Swipe Right (LIKE)]]+tinder[[#This Row],[Swipe Left (PASS)]]</f>
        <v>364</v>
      </c>
      <c r="S139">
        <v>25</v>
      </c>
      <c r="T139">
        <v>339</v>
      </c>
      <c r="U139" t="s">
        <v>45</v>
      </c>
      <c r="V139" s="1">
        <v>44280</v>
      </c>
      <c r="W139" t="s">
        <v>12</v>
      </c>
      <c r="X139" t="s">
        <v>1295</v>
      </c>
      <c r="Y139" t="s">
        <v>8</v>
      </c>
      <c r="Z139">
        <v>28</v>
      </c>
      <c r="AA13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40" spans="1:27" x14ac:dyDescent="0.3">
      <c r="A140" t="s">
        <v>671</v>
      </c>
      <c r="B140">
        <v>4782</v>
      </c>
      <c r="C140">
        <v>165</v>
      </c>
      <c r="D140">
        <f>IFERROR(tinder[[#This Row],[Tinder Opened]]/tinder[[#This Row],[Days on Tinder]],0)</f>
        <v>28.981818181818181</v>
      </c>
      <c r="E140">
        <f>tinder[[#This Row],[Engagement]]/MAX(tinder[Engagement])</f>
        <v>0.14563727729556875</v>
      </c>
      <c r="F14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40">
        <v>47</v>
      </c>
      <c r="H140">
        <f>IFERROR(tinder[[#This Row],[Conversations]]/tinder[[#This Row],[Tinder Opened]],0)</f>
        <v>9.8285236302802174E-3</v>
      </c>
      <c r="I140">
        <f>tinder[[#This Row],[Conversations]]/MAX(tinder[Conversations])</f>
        <v>3.717766176237937E-3</v>
      </c>
      <c r="J140">
        <f>(tinder[[#This Row],[Norm Engagement]]*2)+(tinder[[#This Row],[Norm Swipes]]*1)+(tinder[[#This Row],[Norm Conversations]]*2)</f>
        <v>0.33175258378627415</v>
      </c>
      <c r="K14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40">
        <v>5</v>
      </c>
      <c r="M140">
        <v>4</v>
      </c>
      <c r="N140">
        <v>107</v>
      </c>
      <c r="O140">
        <v>1330</v>
      </c>
      <c r="P140">
        <v>1717</v>
      </c>
      <c r="Q140">
        <f>tinder[[#This Row],[All Swipes]]/MAX(tinder[All Swipes])</f>
        <v>3.3042496842660835E-2</v>
      </c>
      <c r="R140">
        <f>tinder[[#This Row],[Swipe Right (LIKE)]]+tinder[[#This Row],[Swipe Left (PASS)]]</f>
        <v>28047</v>
      </c>
      <c r="S140">
        <v>5865</v>
      </c>
      <c r="T140">
        <v>22182</v>
      </c>
      <c r="U140" t="s">
        <v>8</v>
      </c>
      <c r="V140" s="1">
        <v>44009</v>
      </c>
      <c r="W140" t="s">
        <v>12</v>
      </c>
      <c r="X140" t="s">
        <v>1295</v>
      </c>
      <c r="Y140" t="s">
        <v>8</v>
      </c>
      <c r="Z140">
        <v>32</v>
      </c>
      <c r="AA14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141" spans="1:27" x14ac:dyDescent="0.3">
      <c r="A141" t="s">
        <v>117</v>
      </c>
      <c r="B141">
        <v>780</v>
      </c>
      <c r="C141">
        <v>27</v>
      </c>
      <c r="D141">
        <f>IFERROR(tinder[[#This Row],[Tinder Opened]]/tinder[[#This Row],[Days on Tinder]],0)</f>
        <v>28.888888888888889</v>
      </c>
      <c r="E141">
        <f>tinder[[#This Row],[Engagement]]/MAX(tinder[Engagement])</f>
        <v>0.14517029592406477</v>
      </c>
      <c r="F14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41">
        <v>5</v>
      </c>
      <c r="H141">
        <f>IFERROR(tinder[[#This Row],[Conversations]]/tinder[[#This Row],[Tinder Opened]],0)</f>
        <v>6.41025641025641E-3</v>
      </c>
      <c r="I141">
        <f>tinder[[#This Row],[Conversations]]/MAX(tinder[Conversations])</f>
        <v>3.9550704002531246E-4</v>
      </c>
      <c r="J141">
        <f>(tinder[[#This Row],[Norm Engagement]]*2)+(tinder[[#This Row],[Norm Swipes]]*1)+(tinder[[#This Row],[Norm Conversations]]*2)</f>
        <v>0.3015119474863035</v>
      </c>
      <c r="K14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41">
        <v>1</v>
      </c>
      <c r="M141">
        <v>0</v>
      </c>
      <c r="N141">
        <v>6</v>
      </c>
      <c r="O141">
        <v>243</v>
      </c>
      <c r="P141">
        <v>222</v>
      </c>
      <c r="Q141">
        <f>tinder[[#This Row],[All Swipes]]/MAX(tinder[All Swipes])</f>
        <v>1.0380341558123314E-2</v>
      </c>
      <c r="R141">
        <f>tinder[[#This Row],[Swipe Right (LIKE)]]+tinder[[#This Row],[Swipe Left (PASS)]]</f>
        <v>8811</v>
      </c>
      <c r="S141">
        <v>970</v>
      </c>
      <c r="T141">
        <v>7841</v>
      </c>
      <c r="U141" t="s">
        <v>45</v>
      </c>
      <c r="V141" s="1">
        <v>43639</v>
      </c>
      <c r="W141" t="s">
        <v>12</v>
      </c>
      <c r="X141" t="s">
        <v>1295</v>
      </c>
      <c r="Y141" t="s">
        <v>8</v>
      </c>
      <c r="Z141">
        <v>19</v>
      </c>
      <c r="AA14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42" spans="1:27" x14ac:dyDescent="0.3">
      <c r="A142" t="s">
        <v>143</v>
      </c>
      <c r="B142">
        <v>2595</v>
      </c>
      <c r="C142">
        <v>90</v>
      </c>
      <c r="D142">
        <f>IFERROR(tinder[[#This Row],[Tinder Opened]]/tinder[[#This Row],[Days on Tinder]],0)</f>
        <v>28.833333333333332</v>
      </c>
      <c r="E142">
        <f>tinder[[#This Row],[Engagement]]/MAX(tinder[Engagement])</f>
        <v>0.14489112227805695</v>
      </c>
      <c r="F14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42">
        <v>113</v>
      </c>
      <c r="H142">
        <f>IFERROR(tinder[[#This Row],[Conversations]]/tinder[[#This Row],[Tinder Opened]],0)</f>
        <v>4.3545279383429669E-2</v>
      </c>
      <c r="I142">
        <f>tinder[[#This Row],[Conversations]]/MAX(tinder[Conversations])</f>
        <v>8.9384591045720621E-3</v>
      </c>
      <c r="J142">
        <f>(tinder[[#This Row],[Norm Engagement]]*2)+(tinder[[#This Row],[Norm Swipes]]*1)+(tinder[[#This Row],[Norm Conversations]]*2)</f>
        <v>0.31790048715122621</v>
      </c>
      <c r="K14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42">
        <v>47</v>
      </c>
      <c r="M142">
        <v>9</v>
      </c>
      <c r="N142">
        <v>289</v>
      </c>
      <c r="O142">
        <v>562</v>
      </c>
      <c r="P142">
        <v>589</v>
      </c>
      <c r="Q142">
        <f>tinder[[#This Row],[All Swipes]]/MAX(tinder[All Swipes])</f>
        <v>1.0241324385968219E-2</v>
      </c>
      <c r="R142">
        <f>tinder[[#This Row],[Swipe Right (LIKE)]]+tinder[[#This Row],[Swipe Left (PASS)]]</f>
        <v>8693</v>
      </c>
      <c r="S142">
        <v>7293</v>
      </c>
      <c r="T142">
        <v>1400</v>
      </c>
      <c r="U142" t="s">
        <v>10</v>
      </c>
      <c r="V142" s="1">
        <v>43255</v>
      </c>
      <c r="W142" t="s">
        <v>12</v>
      </c>
      <c r="X142" t="s">
        <v>1295</v>
      </c>
      <c r="Y142" t="s">
        <v>8</v>
      </c>
      <c r="Z142">
        <v>23</v>
      </c>
      <c r="AA14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43" spans="1:27" x14ac:dyDescent="0.3">
      <c r="A143" t="s">
        <v>748</v>
      </c>
      <c r="B143">
        <v>16374</v>
      </c>
      <c r="C143">
        <v>571</v>
      </c>
      <c r="D143">
        <f>IFERROR(tinder[[#This Row],[Tinder Opened]]/tinder[[#This Row],[Days on Tinder]],0)</f>
        <v>28.67600700525394</v>
      </c>
      <c r="E143">
        <f>tinder[[#This Row],[Engagement]]/MAX(tinder[Engagement])</f>
        <v>0.14410053771484391</v>
      </c>
      <c r="F14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43">
        <v>211</v>
      </c>
      <c r="H143">
        <f>IFERROR(tinder[[#This Row],[Conversations]]/tinder[[#This Row],[Tinder Opened]],0)</f>
        <v>1.2886283131794308E-2</v>
      </c>
      <c r="I143">
        <f>tinder[[#This Row],[Conversations]]/MAX(tinder[Conversations])</f>
        <v>1.6690397089068186E-2</v>
      </c>
      <c r="J143">
        <f>(tinder[[#This Row],[Norm Engagement]]*2)+(tinder[[#This Row],[Norm Swipes]]*1)+(tinder[[#This Row],[Norm Conversations]]*2)</f>
        <v>0.35219981271916989</v>
      </c>
      <c r="K14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43">
        <v>39</v>
      </c>
      <c r="M143">
        <v>11</v>
      </c>
      <c r="N143">
        <v>409</v>
      </c>
      <c r="O143">
        <v>3871</v>
      </c>
      <c r="P143">
        <v>3254</v>
      </c>
      <c r="Q143">
        <f>tinder[[#This Row],[All Swipes]]/MAX(tinder[All Swipes])</f>
        <v>3.0617943111345688E-2</v>
      </c>
      <c r="R143">
        <f>tinder[[#This Row],[Swipe Right (LIKE)]]+tinder[[#This Row],[Swipe Left (PASS)]]</f>
        <v>25989</v>
      </c>
      <c r="S143">
        <v>6123</v>
      </c>
      <c r="T143">
        <v>19866</v>
      </c>
      <c r="U143" t="s">
        <v>65</v>
      </c>
      <c r="V143" s="1">
        <v>43724</v>
      </c>
      <c r="W143" t="s">
        <v>12</v>
      </c>
      <c r="X143" t="s">
        <v>1295</v>
      </c>
      <c r="Y143" t="s">
        <v>8</v>
      </c>
      <c r="Z143">
        <v>31</v>
      </c>
      <c r="AA143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144" spans="1:27" x14ac:dyDescent="0.3">
      <c r="A144" t="s">
        <v>780</v>
      </c>
      <c r="B144">
        <v>3325</v>
      </c>
      <c r="C144">
        <v>116</v>
      </c>
      <c r="D144">
        <f>IFERROR(tinder[[#This Row],[Tinder Opened]]/tinder[[#This Row],[Days on Tinder]],0)</f>
        <v>28.663793103448278</v>
      </c>
      <c r="E144">
        <f>tinder[[#This Row],[Engagement]]/MAX(tinder[Engagement])</f>
        <v>0.14403916132386069</v>
      </c>
      <c r="F14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44">
        <v>239</v>
      </c>
      <c r="H144">
        <f>IFERROR(tinder[[#This Row],[Conversations]]/tinder[[#This Row],[Tinder Opened]],0)</f>
        <v>7.1879699248120307E-2</v>
      </c>
      <c r="I144">
        <f>tinder[[#This Row],[Conversations]]/MAX(tinder[Conversations])</f>
        <v>1.8905236513209935E-2</v>
      </c>
      <c r="J144">
        <f>(tinder[[#This Row],[Norm Engagement]]*2)+(tinder[[#This Row],[Norm Swipes]]*1)+(tinder[[#This Row],[Norm Conversations]]*2)</f>
        <v>0.34188990781151851</v>
      </c>
      <c r="K14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44">
        <v>39</v>
      </c>
      <c r="M144">
        <v>1</v>
      </c>
      <c r="N144">
        <v>254</v>
      </c>
      <c r="O144">
        <v>3455</v>
      </c>
      <c r="P144">
        <v>1862</v>
      </c>
      <c r="Q144">
        <f>tinder[[#This Row],[All Swipes]]/MAX(tinder[All Swipes])</f>
        <v>1.6001112137377239E-2</v>
      </c>
      <c r="R144">
        <f>tinder[[#This Row],[Swipe Right (LIKE)]]+tinder[[#This Row],[Swipe Left (PASS)]]</f>
        <v>13582</v>
      </c>
      <c r="S144">
        <v>5335</v>
      </c>
      <c r="T144">
        <v>8247</v>
      </c>
      <c r="U144" t="s">
        <v>149</v>
      </c>
      <c r="V144" s="1">
        <v>44147</v>
      </c>
      <c r="W144" t="s">
        <v>12</v>
      </c>
      <c r="X144" t="s">
        <v>1295</v>
      </c>
      <c r="Y144" t="s">
        <v>781</v>
      </c>
      <c r="Z144">
        <v>22</v>
      </c>
      <c r="AA14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45" spans="1:27" x14ac:dyDescent="0.3">
      <c r="A145" t="s">
        <v>68</v>
      </c>
      <c r="B145">
        <v>8172</v>
      </c>
      <c r="C145">
        <v>286</v>
      </c>
      <c r="D145">
        <f>IFERROR(tinder[[#This Row],[Tinder Opened]]/tinder[[#This Row],[Days on Tinder]],0)</f>
        <v>28.573426573426573</v>
      </c>
      <c r="E145">
        <f>tinder[[#This Row],[Engagement]]/MAX(tinder[Engagement])</f>
        <v>0.14358505815792247</v>
      </c>
      <c r="F14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45">
        <v>887</v>
      </c>
      <c r="H145">
        <f>IFERROR(tinder[[#This Row],[Conversations]]/tinder[[#This Row],[Tinder Opened]],0)</f>
        <v>0.10854136074400392</v>
      </c>
      <c r="I145">
        <f>tinder[[#This Row],[Conversations]]/MAX(tinder[Conversations])</f>
        <v>7.0162948900490435E-2</v>
      </c>
      <c r="J145">
        <f>(tinder[[#This Row],[Norm Engagement]]*2)+(tinder[[#This Row],[Norm Swipes]]*1)+(tinder[[#This Row],[Norm Conversations]]*2)</f>
        <v>0.46306084795596175</v>
      </c>
      <c r="K14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45">
        <v>348</v>
      </c>
      <c r="M145">
        <v>64</v>
      </c>
      <c r="N145">
        <v>2556</v>
      </c>
      <c r="O145">
        <v>4377</v>
      </c>
      <c r="P145">
        <v>4466</v>
      </c>
      <c r="Q145">
        <f>tinder[[#This Row],[All Swipes]]/MAX(tinder[All Swipes])</f>
        <v>3.5564833839135924E-2</v>
      </c>
      <c r="R145">
        <f>tinder[[#This Row],[Swipe Right (LIKE)]]+tinder[[#This Row],[Swipe Left (PASS)]]</f>
        <v>30188</v>
      </c>
      <c r="S145">
        <v>17688</v>
      </c>
      <c r="T145">
        <v>12500</v>
      </c>
      <c r="U145" t="s">
        <v>69</v>
      </c>
      <c r="V145" s="1">
        <v>43697</v>
      </c>
      <c r="W145" t="s">
        <v>12</v>
      </c>
      <c r="X145" t="s">
        <v>1295</v>
      </c>
      <c r="Y145" t="s">
        <v>8</v>
      </c>
      <c r="Z145">
        <v>19</v>
      </c>
      <c r="AA14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46" spans="1:27" x14ac:dyDescent="0.3">
      <c r="A146" t="s">
        <v>104</v>
      </c>
      <c r="B146">
        <v>8370</v>
      </c>
      <c r="C146">
        <v>293</v>
      </c>
      <c r="D146">
        <f>IFERROR(tinder[[#This Row],[Tinder Opened]]/tinder[[#This Row],[Days on Tinder]],0)</f>
        <v>28.56655290102389</v>
      </c>
      <c r="E146">
        <f>tinder[[#This Row],[Engagement]]/MAX(tinder[Engagement])</f>
        <v>0.14355051709057232</v>
      </c>
      <c r="F14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46">
        <v>334</v>
      </c>
      <c r="H146">
        <f>IFERROR(tinder[[#This Row],[Conversations]]/tinder[[#This Row],[Tinder Opened]],0)</f>
        <v>3.9904420549581841E-2</v>
      </c>
      <c r="I146">
        <f>tinder[[#This Row],[Conversations]]/MAX(tinder[Conversations])</f>
        <v>2.641987027369087E-2</v>
      </c>
      <c r="J146">
        <f>(tinder[[#This Row],[Norm Engagement]]*2)+(tinder[[#This Row],[Norm Swipes]]*1)+(tinder[[#This Row],[Norm Conversations]]*2)</f>
        <v>0.44938263256343991</v>
      </c>
      <c r="K14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46">
        <v>88</v>
      </c>
      <c r="M146">
        <v>12</v>
      </c>
      <c r="N146">
        <v>713</v>
      </c>
      <c r="O146">
        <v>4738</v>
      </c>
      <c r="P146">
        <v>4080</v>
      </c>
      <c r="Q146">
        <f>tinder[[#This Row],[All Swipes]]/MAX(tinder[All Swipes])</f>
        <v>0.10944185783491357</v>
      </c>
      <c r="R146">
        <f>tinder[[#This Row],[Swipe Right (LIKE)]]+tinder[[#This Row],[Swipe Left (PASS)]]</f>
        <v>92896</v>
      </c>
      <c r="S146">
        <v>87442</v>
      </c>
      <c r="T146">
        <v>5454</v>
      </c>
      <c r="U146" t="s">
        <v>8</v>
      </c>
      <c r="V146" s="1">
        <v>42829</v>
      </c>
      <c r="W146" t="s">
        <v>7</v>
      </c>
      <c r="X146" t="s">
        <v>1295</v>
      </c>
      <c r="Y146" t="s">
        <v>66</v>
      </c>
      <c r="Z146">
        <v>21</v>
      </c>
      <c r="AA14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47" spans="1:27" x14ac:dyDescent="0.3">
      <c r="A147" t="s">
        <v>1197</v>
      </c>
      <c r="B147">
        <v>18587</v>
      </c>
      <c r="C147">
        <v>654</v>
      </c>
      <c r="D147">
        <f>IFERROR(tinder[[#This Row],[Tinder Opened]]/tinder[[#This Row],[Days on Tinder]],0)</f>
        <v>28.420489296636084</v>
      </c>
      <c r="E147">
        <f>tinder[[#This Row],[Engagement]]/MAX(tinder[Engagement])</f>
        <v>0.14281652912882453</v>
      </c>
      <c r="F14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47">
        <v>3028</v>
      </c>
      <c r="H147">
        <f>IFERROR(tinder[[#This Row],[Conversations]]/tinder[[#This Row],[Tinder Opened]],0)</f>
        <v>0.16290956044547264</v>
      </c>
      <c r="I147">
        <f>tinder[[#This Row],[Conversations]]/MAX(tinder[Conversations])</f>
        <v>0.23951906343932922</v>
      </c>
      <c r="J147">
        <f>(tinder[[#This Row],[Norm Engagement]]*2)+(tinder[[#This Row],[Norm Swipes]]*1)+(tinder[[#This Row],[Norm Conversations]]*2)</f>
        <v>1.7646711851363075</v>
      </c>
      <c r="K14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47">
        <v>1257</v>
      </c>
      <c r="M147">
        <v>281</v>
      </c>
      <c r="N147">
        <v>11099</v>
      </c>
      <c r="O147">
        <v>11086</v>
      </c>
      <c r="P147">
        <v>13331</v>
      </c>
      <c r="Q147">
        <f>tinder[[#This Row],[All Swipes]]/MAX(tinder[All Swipes])</f>
        <v>1</v>
      </c>
      <c r="R147">
        <f>tinder[[#This Row],[Swipe Right (LIKE)]]+tinder[[#This Row],[Swipe Left (PASS)]]</f>
        <v>848816</v>
      </c>
      <c r="S147">
        <v>705781</v>
      </c>
      <c r="T147">
        <v>143035</v>
      </c>
      <c r="U147" t="s">
        <v>10</v>
      </c>
      <c r="V147" s="1">
        <v>43645</v>
      </c>
      <c r="W147" t="s">
        <v>12</v>
      </c>
      <c r="X147" t="s">
        <v>1295</v>
      </c>
      <c r="Y147" t="s">
        <v>1198</v>
      </c>
      <c r="Z147">
        <v>19</v>
      </c>
      <c r="AA14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48" spans="1:27" x14ac:dyDescent="0.3">
      <c r="A148" t="s">
        <v>1040</v>
      </c>
      <c r="B148">
        <v>1421</v>
      </c>
      <c r="C148">
        <v>50</v>
      </c>
      <c r="D148">
        <f>IFERROR(tinder[[#This Row],[Tinder Opened]]/tinder[[#This Row],[Days on Tinder]],0)</f>
        <v>28.42</v>
      </c>
      <c r="E148">
        <f>tinder[[#This Row],[Engagement]]/MAX(tinder[Engagement])</f>
        <v>0.1428140703517588</v>
      </c>
      <c r="F14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48">
        <v>37</v>
      </c>
      <c r="H148">
        <f>IFERROR(tinder[[#This Row],[Conversations]]/tinder[[#This Row],[Tinder Opened]],0)</f>
        <v>2.6038001407459536E-2</v>
      </c>
      <c r="I148">
        <f>tinder[[#This Row],[Conversations]]/MAX(tinder[Conversations])</f>
        <v>2.9267520961873119E-3</v>
      </c>
      <c r="J148">
        <f>(tinder[[#This Row],[Norm Engagement]]*2)+(tinder[[#This Row],[Norm Swipes]]*1)+(tinder[[#This Row],[Norm Conversations]]*2)</f>
        <v>0.30534566253929196</v>
      </c>
      <c r="K14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48">
        <v>16</v>
      </c>
      <c r="M148">
        <v>0</v>
      </c>
      <c r="N148">
        <v>19</v>
      </c>
      <c r="O148">
        <v>532</v>
      </c>
      <c r="P148">
        <v>499</v>
      </c>
      <c r="Q148">
        <f>tinder[[#This Row],[All Swipes]]/MAX(tinder[All Swipes])</f>
        <v>1.3864017643399748E-2</v>
      </c>
      <c r="R148">
        <f>tinder[[#This Row],[Swipe Right (LIKE)]]+tinder[[#This Row],[Swipe Left (PASS)]]</f>
        <v>11768</v>
      </c>
      <c r="S148">
        <v>3128</v>
      </c>
      <c r="T148">
        <v>8640</v>
      </c>
      <c r="U148" t="s">
        <v>85</v>
      </c>
      <c r="V148" s="1">
        <v>44244</v>
      </c>
      <c r="W148" t="s">
        <v>12</v>
      </c>
      <c r="X148" t="s">
        <v>1295</v>
      </c>
      <c r="Y148" t="s">
        <v>8</v>
      </c>
      <c r="Z148">
        <v>20</v>
      </c>
      <c r="AA14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49" spans="1:27" x14ac:dyDescent="0.3">
      <c r="A149" t="s">
        <v>761</v>
      </c>
      <c r="B149">
        <v>47502</v>
      </c>
      <c r="C149">
        <v>1672</v>
      </c>
      <c r="D149">
        <f>IFERROR(tinder[[#This Row],[Tinder Opened]]/tinder[[#This Row],[Days on Tinder]],0)</f>
        <v>28.410287081339714</v>
      </c>
      <c r="E149">
        <f>tinder[[#This Row],[Engagement]]/MAX(tinder[Engagement])</f>
        <v>0.14276526171527495</v>
      </c>
      <c r="F14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49">
        <v>55</v>
      </c>
      <c r="H149">
        <f>IFERROR(tinder[[#This Row],[Conversations]]/tinder[[#This Row],[Tinder Opened]],0)</f>
        <v>1.1578459854321922E-3</v>
      </c>
      <c r="I149">
        <f>tinder[[#This Row],[Conversations]]/MAX(tinder[Conversations])</f>
        <v>4.3505774402784365E-3</v>
      </c>
      <c r="J149">
        <f>(tinder[[#This Row],[Norm Engagement]]*2)+(tinder[[#This Row],[Norm Swipes]]*1)+(tinder[[#This Row],[Norm Conversations]]*2)</f>
        <v>0.5672060331771791</v>
      </c>
      <c r="K14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49">
        <v>18</v>
      </c>
      <c r="M149">
        <v>4</v>
      </c>
      <c r="N149">
        <v>235</v>
      </c>
      <c r="O149">
        <v>488</v>
      </c>
      <c r="P149">
        <v>355</v>
      </c>
      <c r="Q149">
        <f>tinder[[#This Row],[All Swipes]]/MAX(tinder[All Swipes])</f>
        <v>0.27297435486607224</v>
      </c>
      <c r="R149">
        <f>tinder[[#This Row],[Swipe Right (LIKE)]]+tinder[[#This Row],[Swipe Left (PASS)]]</f>
        <v>231705</v>
      </c>
      <c r="S149">
        <v>4798</v>
      </c>
      <c r="T149">
        <v>226907</v>
      </c>
      <c r="U149" t="s">
        <v>8</v>
      </c>
      <c r="V149" s="1">
        <v>41654</v>
      </c>
      <c r="W149" t="s">
        <v>7</v>
      </c>
      <c r="X149" t="s">
        <v>1295</v>
      </c>
      <c r="Y149" t="s">
        <v>8</v>
      </c>
      <c r="Z149">
        <v>22</v>
      </c>
      <c r="AA14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50" spans="1:27" x14ac:dyDescent="0.3">
      <c r="A150" t="s">
        <v>677</v>
      </c>
      <c r="B150">
        <v>6194</v>
      </c>
      <c r="C150">
        <v>219</v>
      </c>
      <c r="D150">
        <f>IFERROR(tinder[[#This Row],[Tinder Opened]]/tinder[[#This Row],[Days on Tinder]],0)</f>
        <v>28.283105022831052</v>
      </c>
      <c r="E150">
        <f>tinder[[#This Row],[Engagement]]/MAX(tinder[Engagement])</f>
        <v>0.14212615589362337</v>
      </c>
      <c r="F15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50">
        <v>180</v>
      </c>
      <c r="H150">
        <f>IFERROR(tinder[[#This Row],[Conversations]]/tinder[[#This Row],[Tinder Opened]],0)</f>
        <v>2.9060381013884404E-2</v>
      </c>
      <c r="I150">
        <f>tinder[[#This Row],[Conversations]]/MAX(tinder[Conversations])</f>
        <v>1.4238253440911248E-2</v>
      </c>
      <c r="J150">
        <f>(tinder[[#This Row],[Norm Engagement]]*2)+(tinder[[#This Row],[Norm Swipes]]*1)+(tinder[[#This Row],[Norm Conversations]]*2)</f>
        <v>0.35344789088259965</v>
      </c>
      <c r="K15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50">
        <v>72</v>
      </c>
      <c r="M150">
        <v>4</v>
      </c>
      <c r="N150">
        <v>166</v>
      </c>
      <c r="O150">
        <v>1228</v>
      </c>
      <c r="P150">
        <v>1583</v>
      </c>
      <c r="Q150">
        <f>tinder[[#This Row],[All Swipes]]/MAX(tinder[All Swipes])</f>
        <v>4.0719072213530376E-2</v>
      </c>
      <c r="R150">
        <f>tinder[[#This Row],[Swipe Right (LIKE)]]+tinder[[#This Row],[Swipe Left (PASS)]]</f>
        <v>34563</v>
      </c>
      <c r="S150">
        <v>13513</v>
      </c>
      <c r="T150">
        <v>21050</v>
      </c>
      <c r="U150" t="s">
        <v>75</v>
      </c>
      <c r="V150" s="1">
        <v>44079</v>
      </c>
      <c r="W150" t="s">
        <v>12</v>
      </c>
      <c r="X150" t="s">
        <v>1295</v>
      </c>
      <c r="Y150" t="s">
        <v>8</v>
      </c>
      <c r="Z150">
        <v>43</v>
      </c>
      <c r="AA150" t="str">
        <f>_xlfn.IFS(tinder[[#This Row],[Age]]&lt;=20,"Teen",tinder[[#This Row],[Age]]&lt;=30,"Young Adult",tinder[[#This Row],[Age]]&lt;=40,"Adult",tinder[[#This Row],[Age]]&lt;=50,"Middle-Aged",TRUE,"Senior")</f>
        <v>Middle-Aged</v>
      </c>
    </row>
    <row r="151" spans="1:27" x14ac:dyDescent="0.3">
      <c r="A151" t="s">
        <v>435</v>
      </c>
      <c r="B151">
        <v>5254</v>
      </c>
      <c r="C151">
        <v>188</v>
      </c>
      <c r="D151">
        <f>IFERROR(tinder[[#This Row],[Tinder Opened]]/tinder[[#This Row],[Days on Tinder]],0)</f>
        <v>27.946808510638299</v>
      </c>
      <c r="E151">
        <f>tinder[[#This Row],[Engagement]]/MAX(tinder[Engagement])</f>
        <v>0.14043622367154923</v>
      </c>
      <c r="F15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51">
        <v>235</v>
      </c>
      <c r="H151">
        <f>IFERROR(tinder[[#This Row],[Conversations]]/tinder[[#This Row],[Tinder Opened]],0)</f>
        <v>4.4727826417967263E-2</v>
      </c>
      <c r="I151">
        <f>tinder[[#This Row],[Conversations]]/MAX(tinder[Conversations])</f>
        <v>1.8588830881189684E-2</v>
      </c>
      <c r="J151">
        <f>(tinder[[#This Row],[Norm Engagement]]*2)+(tinder[[#This Row],[Norm Swipes]]*1)+(tinder[[#This Row],[Norm Conversations]]*2)</f>
        <v>0.35436186571704026</v>
      </c>
      <c r="K15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51">
        <v>75</v>
      </c>
      <c r="M151">
        <v>8</v>
      </c>
      <c r="N151">
        <v>393</v>
      </c>
      <c r="O151">
        <v>2071</v>
      </c>
      <c r="P151">
        <v>1586</v>
      </c>
      <c r="Q151">
        <f>tinder[[#This Row],[All Swipes]]/MAX(tinder[All Swipes])</f>
        <v>3.6311756611562461E-2</v>
      </c>
      <c r="R151">
        <f>tinder[[#This Row],[Swipe Right (LIKE)]]+tinder[[#This Row],[Swipe Left (PASS)]]</f>
        <v>30822</v>
      </c>
      <c r="S151">
        <v>12363</v>
      </c>
      <c r="T151">
        <v>18459</v>
      </c>
      <c r="U151" t="s">
        <v>10</v>
      </c>
      <c r="V151" s="1">
        <v>44060</v>
      </c>
      <c r="W151" t="s">
        <v>12</v>
      </c>
      <c r="X151" t="s">
        <v>1295</v>
      </c>
      <c r="Y151" t="s">
        <v>8</v>
      </c>
      <c r="Z151">
        <v>23</v>
      </c>
      <c r="AA15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52" spans="1:27" x14ac:dyDescent="0.3">
      <c r="A152" t="s">
        <v>814</v>
      </c>
      <c r="B152">
        <v>13728</v>
      </c>
      <c r="C152">
        <v>494</v>
      </c>
      <c r="D152">
        <f>IFERROR(tinder[[#This Row],[Tinder Opened]]/tinder[[#This Row],[Days on Tinder]],0)</f>
        <v>27.789473684210527</v>
      </c>
      <c r="E152">
        <f>tinder[[#This Row],[Engagement]]/MAX(tinder[Engagement])</f>
        <v>0.13964559640306798</v>
      </c>
      <c r="F15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52">
        <v>157</v>
      </c>
      <c r="H152">
        <f>IFERROR(tinder[[#This Row],[Conversations]]/tinder[[#This Row],[Tinder Opened]],0)</f>
        <v>1.1436480186480186E-2</v>
      </c>
      <c r="I152">
        <f>tinder[[#This Row],[Conversations]]/MAX(tinder[Conversations])</f>
        <v>1.2418921056794811E-2</v>
      </c>
      <c r="J152">
        <f>(tinder[[#This Row],[Norm Engagement]]*2)+(tinder[[#This Row],[Norm Swipes]]*1)+(tinder[[#This Row],[Norm Conversations]]*2)</f>
        <v>0.40597442897450309</v>
      </c>
      <c r="K15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52">
        <v>63</v>
      </c>
      <c r="M152">
        <v>1</v>
      </c>
      <c r="N152">
        <v>760</v>
      </c>
      <c r="O152">
        <v>3532</v>
      </c>
      <c r="P152">
        <v>3672</v>
      </c>
      <c r="Q152">
        <f>tinder[[#This Row],[All Swipes]]/MAX(tinder[All Swipes])</f>
        <v>0.10184539405477748</v>
      </c>
      <c r="R152">
        <f>tinder[[#This Row],[Swipe Right (LIKE)]]+tinder[[#This Row],[Swipe Left (PASS)]]</f>
        <v>86448</v>
      </c>
      <c r="S152">
        <v>36192</v>
      </c>
      <c r="T152">
        <v>50256</v>
      </c>
      <c r="U152" t="s">
        <v>8</v>
      </c>
      <c r="V152" s="1">
        <v>43576</v>
      </c>
      <c r="W152" t="s">
        <v>12</v>
      </c>
      <c r="X152" t="s">
        <v>1295</v>
      </c>
      <c r="Y152" t="s">
        <v>8</v>
      </c>
      <c r="Z152">
        <v>27</v>
      </c>
      <c r="AA15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53" spans="1:27" x14ac:dyDescent="0.3">
      <c r="A153" t="s">
        <v>250</v>
      </c>
      <c r="B153">
        <v>25087</v>
      </c>
      <c r="C153">
        <v>905</v>
      </c>
      <c r="D153">
        <f>IFERROR(tinder[[#This Row],[Tinder Opened]]/tinder[[#This Row],[Days on Tinder]],0)</f>
        <v>27.720441988950277</v>
      </c>
      <c r="E153">
        <f>tinder[[#This Row],[Engagement]]/MAX(tinder[Engagement])</f>
        <v>0.13929870346206169</v>
      </c>
      <c r="F15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53">
        <v>272</v>
      </c>
      <c r="H153">
        <f>IFERROR(tinder[[#This Row],[Conversations]]/tinder[[#This Row],[Tinder Opened]],0)</f>
        <v>1.0842268904213338E-2</v>
      </c>
      <c r="I153">
        <f>tinder[[#This Row],[Conversations]]/MAX(tinder[Conversations])</f>
        <v>2.1515582977376997E-2</v>
      </c>
      <c r="J153">
        <f>(tinder[[#This Row],[Norm Engagement]]*2)+(tinder[[#This Row],[Norm Swipes]]*1)+(tinder[[#This Row],[Norm Conversations]]*2)</f>
        <v>0.52549489962106888</v>
      </c>
      <c r="K15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53">
        <v>86</v>
      </c>
      <c r="M153">
        <v>34</v>
      </c>
      <c r="N153">
        <v>2560</v>
      </c>
      <c r="O153">
        <v>3347</v>
      </c>
      <c r="P153">
        <v>2379</v>
      </c>
      <c r="Q153">
        <f>tinder[[#This Row],[All Swipes]]/MAX(tinder[All Swipes])</f>
        <v>0.20386632674219149</v>
      </c>
      <c r="R153">
        <f>tinder[[#This Row],[Swipe Right (LIKE)]]+tinder[[#This Row],[Swipe Left (PASS)]]</f>
        <v>173045</v>
      </c>
      <c r="S153">
        <v>66494</v>
      </c>
      <c r="T153">
        <v>106551</v>
      </c>
      <c r="U153" t="s">
        <v>85</v>
      </c>
      <c r="V153" s="1">
        <v>43260</v>
      </c>
      <c r="W153" t="s">
        <v>12</v>
      </c>
      <c r="X153" t="s">
        <v>1295</v>
      </c>
      <c r="Y153" t="s">
        <v>251</v>
      </c>
      <c r="Z153">
        <v>20</v>
      </c>
      <c r="AA15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54" spans="1:27" x14ac:dyDescent="0.3">
      <c r="A154" t="s">
        <v>1066</v>
      </c>
      <c r="B154">
        <v>6803</v>
      </c>
      <c r="C154">
        <v>246</v>
      </c>
      <c r="D154">
        <f>IFERROR(tinder[[#This Row],[Tinder Opened]]/tinder[[#This Row],[Days on Tinder]],0)</f>
        <v>27.654471544715449</v>
      </c>
      <c r="E154">
        <f>tinder[[#This Row],[Engagement]]/MAX(tinder[Engagement])</f>
        <v>0.13896719369203744</v>
      </c>
      <c r="F15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54">
        <v>59</v>
      </c>
      <c r="H154">
        <f>IFERROR(tinder[[#This Row],[Conversations]]/tinder[[#This Row],[Tinder Opened]],0)</f>
        <v>8.6726444215787148E-3</v>
      </c>
      <c r="I154">
        <f>tinder[[#This Row],[Conversations]]/MAX(tinder[Conversations])</f>
        <v>4.6669830722986866E-3</v>
      </c>
      <c r="J154">
        <f>(tinder[[#This Row],[Norm Engagement]]*2)+(tinder[[#This Row],[Norm Swipes]]*1)+(tinder[[#This Row],[Norm Conversations]]*2)</f>
        <v>0.37466067412583348</v>
      </c>
      <c r="K15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54">
        <v>28</v>
      </c>
      <c r="M154">
        <v>4</v>
      </c>
      <c r="N154">
        <v>99</v>
      </c>
      <c r="O154">
        <v>471</v>
      </c>
      <c r="P154">
        <v>459</v>
      </c>
      <c r="Q154">
        <f>tinder[[#This Row],[All Swipes]]/MAX(tinder[All Swipes])</f>
        <v>8.7392320597161219E-2</v>
      </c>
      <c r="R154">
        <f>tinder[[#This Row],[Swipe Right (LIKE)]]+tinder[[#This Row],[Swipe Left (PASS)]]</f>
        <v>74180</v>
      </c>
      <c r="S154">
        <v>2164</v>
      </c>
      <c r="T154">
        <v>72016</v>
      </c>
      <c r="U154" t="s">
        <v>65</v>
      </c>
      <c r="V154" s="1">
        <v>43995</v>
      </c>
      <c r="W154" t="s">
        <v>12</v>
      </c>
      <c r="X154" t="s">
        <v>1295</v>
      </c>
      <c r="Y154" t="s">
        <v>8</v>
      </c>
      <c r="Z154">
        <v>33</v>
      </c>
      <c r="AA154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155" spans="1:27" x14ac:dyDescent="0.3">
      <c r="A155" t="s">
        <v>732</v>
      </c>
      <c r="B155">
        <v>10089</v>
      </c>
      <c r="C155">
        <v>365</v>
      </c>
      <c r="D155">
        <f>IFERROR(tinder[[#This Row],[Tinder Opened]]/tinder[[#This Row],[Days on Tinder]],0)</f>
        <v>27.641095890410959</v>
      </c>
      <c r="E155">
        <f>tinder[[#This Row],[Engagement]]/MAX(tinder[Engagement])</f>
        <v>0.1388999793487988</v>
      </c>
      <c r="F15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55">
        <v>311</v>
      </c>
      <c r="H155">
        <f>IFERROR(tinder[[#This Row],[Conversations]]/tinder[[#This Row],[Tinder Opened]],0)</f>
        <v>3.0825651699871146E-2</v>
      </c>
      <c r="I155">
        <f>tinder[[#This Row],[Conversations]]/MAX(tinder[Conversations])</f>
        <v>2.4600537889574434E-2</v>
      </c>
      <c r="J155">
        <f>(tinder[[#This Row],[Norm Engagement]]*2)+(tinder[[#This Row],[Norm Swipes]]*1)+(tinder[[#This Row],[Norm Conversations]]*2)</f>
        <v>0.47896447531669295</v>
      </c>
      <c r="K15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55">
        <v>114</v>
      </c>
      <c r="M155">
        <v>9</v>
      </c>
      <c r="N155">
        <v>287</v>
      </c>
      <c r="O155">
        <v>2974</v>
      </c>
      <c r="P155">
        <v>2888</v>
      </c>
      <c r="Q155">
        <f>tinder[[#This Row],[All Swipes]]/MAX(tinder[All Swipes])</f>
        <v>0.15196344083994648</v>
      </c>
      <c r="R155">
        <f>tinder[[#This Row],[Swipe Right (LIKE)]]+tinder[[#This Row],[Swipe Left (PASS)]]</f>
        <v>128989</v>
      </c>
      <c r="S155">
        <v>7113</v>
      </c>
      <c r="T155">
        <v>121876</v>
      </c>
      <c r="U155" t="s">
        <v>65</v>
      </c>
      <c r="V155" s="1">
        <v>43898</v>
      </c>
      <c r="W155" t="s">
        <v>12</v>
      </c>
      <c r="X155" t="s">
        <v>1295</v>
      </c>
      <c r="Y155" t="s">
        <v>8</v>
      </c>
      <c r="Z155">
        <v>39</v>
      </c>
      <c r="AA155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156" spans="1:27" x14ac:dyDescent="0.3">
      <c r="A156" t="s">
        <v>921</v>
      </c>
      <c r="B156">
        <v>6823</v>
      </c>
      <c r="C156">
        <v>247</v>
      </c>
      <c r="D156">
        <f>IFERROR(tinder[[#This Row],[Tinder Opened]]/tinder[[#This Row],[Days on Tinder]],0)</f>
        <v>27.623481781376519</v>
      </c>
      <c r="E156">
        <f>tinder[[#This Row],[Engagement]]/MAX(tinder[Engagement])</f>
        <v>0.13881146623807297</v>
      </c>
      <c r="F15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56">
        <v>618</v>
      </c>
      <c r="H156">
        <f>IFERROR(tinder[[#This Row],[Conversations]]/tinder[[#This Row],[Tinder Opened]],0)</f>
        <v>9.0575992964971416E-2</v>
      </c>
      <c r="I156">
        <f>tinder[[#This Row],[Conversations]]/MAX(tinder[Conversations])</f>
        <v>4.888467014712862E-2</v>
      </c>
      <c r="J156">
        <f>(tinder[[#This Row],[Norm Engagement]]*2)+(tinder[[#This Row],[Norm Swipes]]*1)+(tinder[[#This Row],[Norm Conversations]]*2)</f>
        <v>0.40954101643216267</v>
      </c>
      <c r="K15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56">
        <v>169</v>
      </c>
      <c r="M156">
        <v>3</v>
      </c>
      <c r="N156">
        <v>677</v>
      </c>
      <c r="O156">
        <v>6173</v>
      </c>
      <c r="P156">
        <v>4188</v>
      </c>
      <c r="Q156">
        <f>tinder[[#This Row],[All Swipes]]/MAX(tinder[All Swipes])</f>
        <v>3.4148743661759441E-2</v>
      </c>
      <c r="R156">
        <f>tinder[[#This Row],[Swipe Right (LIKE)]]+tinder[[#This Row],[Swipe Left (PASS)]]</f>
        <v>28986</v>
      </c>
      <c r="S156">
        <v>10187</v>
      </c>
      <c r="T156">
        <v>18799</v>
      </c>
      <c r="U156" t="s">
        <v>8</v>
      </c>
      <c r="V156" s="1">
        <v>44047</v>
      </c>
      <c r="W156" t="s">
        <v>12</v>
      </c>
      <c r="X156" t="s">
        <v>1295</v>
      </c>
      <c r="Y156" t="s">
        <v>108</v>
      </c>
      <c r="Z156">
        <v>26</v>
      </c>
      <c r="AA15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57" spans="1:27" x14ac:dyDescent="0.3">
      <c r="A157" t="s">
        <v>325</v>
      </c>
      <c r="B157">
        <v>138</v>
      </c>
      <c r="C157">
        <v>5</v>
      </c>
      <c r="D157">
        <f>IFERROR(tinder[[#This Row],[Tinder Opened]]/tinder[[#This Row],[Days on Tinder]],0)</f>
        <v>27.6</v>
      </c>
      <c r="E157">
        <f>tinder[[#This Row],[Engagement]]/MAX(tinder[Engagement])</f>
        <v>0.13869346733668342</v>
      </c>
      <c r="F15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57">
        <v>20</v>
      </c>
      <c r="H157">
        <f>IFERROR(tinder[[#This Row],[Conversations]]/tinder[[#This Row],[Tinder Opened]],0)</f>
        <v>0.14492753623188406</v>
      </c>
      <c r="I157">
        <f>tinder[[#This Row],[Conversations]]/MAX(tinder[Conversations])</f>
        <v>1.5820281601012498E-3</v>
      </c>
      <c r="J157">
        <f>(tinder[[#This Row],[Norm Engagement]]*2)+(tinder[[#This Row],[Norm Swipes]]*1)+(tinder[[#This Row],[Norm Conversations]]*2)</f>
        <v>0.29244520599422907</v>
      </c>
      <c r="K15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57">
        <v>2</v>
      </c>
      <c r="M157">
        <v>15</v>
      </c>
      <c r="N157">
        <v>80</v>
      </c>
      <c r="O157">
        <v>44</v>
      </c>
      <c r="P157">
        <v>92</v>
      </c>
      <c r="Q157">
        <f>tinder[[#This Row],[All Swipes]]/MAX(tinder[All Swipes])</f>
        <v>1.1894215000659743E-2</v>
      </c>
      <c r="R157">
        <f>tinder[[#This Row],[Swipe Right (LIKE)]]+tinder[[#This Row],[Swipe Left (PASS)]]</f>
        <v>10096</v>
      </c>
      <c r="S157">
        <v>262</v>
      </c>
      <c r="T157">
        <v>9834</v>
      </c>
      <c r="U157" t="s">
        <v>8</v>
      </c>
      <c r="V157" s="1">
        <v>44189</v>
      </c>
      <c r="W157" t="s">
        <v>12</v>
      </c>
      <c r="X157" t="s">
        <v>1296</v>
      </c>
      <c r="Y157" t="s">
        <v>8</v>
      </c>
      <c r="Z157">
        <v>20</v>
      </c>
      <c r="AA15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58" spans="1:27" x14ac:dyDescent="0.3">
      <c r="A158" t="s">
        <v>388</v>
      </c>
      <c r="B158">
        <v>4741</v>
      </c>
      <c r="C158">
        <v>172</v>
      </c>
      <c r="D158">
        <f>IFERROR(tinder[[#This Row],[Tinder Opened]]/tinder[[#This Row],[Days on Tinder]],0)</f>
        <v>27.563953488372093</v>
      </c>
      <c r="E158">
        <f>tinder[[#This Row],[Engagement]]/MAX(tinder[Engagement])</f>
        <v>0.13851232908729694</v>
      </c>
      <c r="F15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58">
        <v>52</v>
      </c>
      <c r="H158">
        <f>IFERROR(tinder[[#This Row],[Conversations]]/tinder[[#This Row],[Tinder Opened]],0)</f>
        <v>1.0968150179287071E-2</v>
      </c>
      <c r="I158">
        <f>tinder[[#This Row],[Conversations]]/MAX(tinder[Conversations])</f>
        <v>4.1132732162632493E-3</v>
      </c>
      <c r="J158">
        <f>(tinder[[#This Row],[Norm Engagement]]*2)+(tinder[[#This Row],[Norm Swipes]]*1)+(tinder[[#This Row],[Norm Conversations]]*2)</f>
        <v>0.29138916619125643</v>
      </c>
      <c r="K15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58">
        <v>5</v>
      </c>
      <c r="M158">
        <v>3</v>
      </c>
      <c r="N158">
        <v>93</v>
      </c>
      <c r="O158">
        <v>578</v>
      </c>
      <c r="P158">
        <v>506</v>
      </c>
      <c r="Q158">
        <f>tinder[[#This Row],[All Swipes]]/MAX(tinder[All Swipes])</f>
        <v>6.1379615841360199E-3</v>
      </c>
      <c r="R158">
        <f>tinder[[#This Row],[Swipe Right (LIKE)]]+tinder[[#This Row],[Swipe Left (PASS)]]</f>
        <v>5210</v>
      </c>
      <c r="S158">
        <v>2575</v>
      </c>
      <c r="T158">
        <v>2635</v>
      </c>
      <c r="U158" t="s">
        <v>10</v>
      </c>
      <c r="V158" s="1">
        <v>43942</v>
      </c>
      <c r="W158" t="s">
        <v>12</v>
      </c>
      <c r="X158" t="s">
        <v>1295</v>
      </c>
      <c r="Y158" t="s">
        <v>8</v>
      </c>
      <c r="Z158">
        <v>37</v>
      </c>
      <c r="AA15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159" spans="1:27" x14ac:dyDescent="0.3">
      <c r="A159" t="s">
        <v>621</v>
      </c>
      <c r="B159">
        <v>356</v>
      </c>
      <c r="C159">
        <v>13</v>
      </c>
      <c r="D159">
        <f>IFERROR(tinder[[#This Row],[Tinder Opened]]/tinder[[#This Row],[Days on Tinder]],0)</f>
        <v>27.384615384615383</v>
      </c>
      <c r="E159">
        <f>tinder[[#This Row],[Engagement]]/MAX(tinder[Engagement])</f>
        <v>0.13761113258600696</v>
      </c>
      <c r="F15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59">
        <v>1</v>
      </c>
      <c r="H159">
        <f>IFERROR(tinder[[#This Row],[Conversations]]/tinder[[#This Row],[Tinder Opened]],0)</f>
        <v>2.8089887640449437E-3</v>
      </c>
      <c r="I159">
        <f>tinder[[#This Row],[Conversations]]/MAX(tinder[Conversations])</f>
        <v>7.9101408005062489E-5</v>
      </c>
      <c r="J159">
        <f>(tinder[[#This Row],[Norm Engagement]]*2)+(tinder[[#This Row],[Norm Swipes]]*1)+(tinder[[#This Row],[Norm Conversations]]*2)</f>
        <v>0.28027198746927795</v>
      </c>
      <c r="K15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59">
        <v>0</v>
      </c>
      <c r="M159">
        <v>0</v>
      </c>
      <c r="N159">
        <v>1</v>
      </c>
      <c r="O159">
        <v>2</v>
      </c>
      <c r="P159">
        <v>0</v>
      </c>
      <c r="Q159">
        <f>tinder[[#This Row],[All Swipes]]/MAX(tinder[All Swipes])</f>
        <v>4.8915194812538879E-3</v>
      </c>
      <c r="R159">
        <f>tinder[[#This Row],[Swipe Right (LIKE)]]+tinder[[#This Row],[Swipe Left (PASS)]]</f>
        <v>4152</v>
      </c>
      <c r="S159">
        <v>221</v>
      </c>
      <c r="T159">
        <v>3931</v>
      </c>
      <c r="U159" t="s">
        <v>497</v>
      </c>
      <c r="V159" s="1">
        <v>44277</v>
      </c>
      <c r="W159" t="s">
        <v>12</v>
      </c>
      <c r="X159" t="s">
        <v>1295</v>
      </c>
      <c r="Y159" t="s">
        <v>8</v>
      </c>
      <c r="Z159">
        <v>26</v>
      </c>
      <c r="AA15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60" spans="1:27" x14ac:dyDescent="0.3">
      <c r="A160" t="s">
        <v>35</v>
      </c>
      <c r="B160">
        <v>4401</v>
      </c>
      <c r="C160">
        <v>161</v>
      </c>
      <c r="D160">
        <f>IFERROR(tinder[[#This Row],[Tinder Opened]]/tinder[[#This Row],[Days on Tinder]],0)</f>
        <v>27.335403726708076</v>
      </c>
      <c r="E160">
        <f>tinder[[#This Row],[Engagement]]/MAX(tinder[Engagement])</f>
        <v>0.13736383782265366</v>
      </c>
      <c r="F16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60">
        <v>368</v>
      </c>
      <c r="H160">
        <f>IFERROR(tinder[[#This Row],[Conversations]]/tinder[[#This Row],[Tinder Opened]],0)</f>
        <v>8.3617359690979318E-2</v>
      </c>
      <c r="I160">
        <f>tinder[[#This Row],[Conversations]]/MAX(tinder[Conversations])</f>
        <v>2.9109318145862997E-2</v>
      </c>
      <c r="J160">
        <f>(tinder[[#This Row],[Norm Engagement]]*2)+(tinder[[#This Row],[Norm Swipes]]*1)+(tinder[[#This Row],[Norm Conversations]]*2)</f>
        <v>0.3773198864219629</v>
      </c>
      <c r="K16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60">
        <v>51</v>
      </c>
      <c r="M160">
        <v>75</v>
      </c>
      <c r="N160">
        <v>748</v>
      </c>
      <c r="O160">
        <v>3118</v>
      </c>
      <c r="P160">
        <v>3844</v>
      </c>
      <c r="Q160">
        <f>tinder[[#This Row],[All Swipes]]/MAX(tinder[All Swipes])</f>
        <v>4.4373574484929595E-2</v>
      </c>
      <c r="R160">
        <f>tinder[[#This Row],[Swipe Right (LIKE)]]+tinder[[#This Row],[Swipe Left (PASS)]]</f>
        <v>37665</v>
      </c>
      <c r="S160">
        <v>1350</v>
      </c>
      <c r="T160">
        <v>36315</v>
      </c>
      <c r="U160" t="s">
        <v>10</v>
      </c>
      <c r="V160" s="1">
        <v>43243</v>
      </c>
      <c r="W160" t="s">
        <v>12</v>
      </c>
      <c r="X160" t="s">
        <v>1296</v>
      </c>
      <c r="Y160" t="s">
        <v>8</v>
      </c>
      <c r="Z160">
        <v>18</v>
      </c>
      <c r="AA16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61" spans="1:27" x14ac:dyDescent="0.3">
      <c r="A161" t="s">
        <v>153</v>
      </c>
      <c r="B161">
        <v>9075</v>
      </c>
      <c r="C161">
        <v>333</v>
      </c>
      <c r="D161">
        <f>IFERROR(tinder[[#This Row],[Tinder Opened]]/tinder[[#This Row],[Days on Tinder]],0)</f>
        <v>27.252252252252251</v>
      </c>
      <c r="E161">
        <f>tinder[[#This Row],[Engagement]]/MAX(tinder[Engagement])</f>
        <v>0.13694599121734799</v>
      </c>
      <c r="F16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61">
        <v>417</v>
      </c>
      <c r="H161">
        <f>IFERROR(tinder[[#This Row],[Conversations]]/tinder[[#This Row],[Tinder Opened]],0)</f>
        <v>4.5950413223140495E-2</v>
      </c>
      <c r="I161">
        <f>tinder[[#This Row],[Conversations]]/MAX(tinder[Conversations])</f>
        <v>3.2985287138111059E-2</v>
      </c>
      <c r="J161">
        <f>(tinder[[#This Row],[Norm Engagement]]*2)+(tinder[[#This Row],[Norm Swipes]]*1)+(tinder[[#This Row],[Norm Conversations]]*2)</f>
        <v>0.39123057993385452</v>
      </c>
      <c r="K16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61">
        <v>86</v>
      </c>
      <c r="M161">
        <v>53</v>
      </c>
      <c r="N161">
        <v>1427</v>
      </c>
      <c r="O161">
        <v>2290</v>
      </c>
      <c r="P161">
        <v>2973</v>
      </c>
      <c r="Q161">
        <f>tinder[[#This Row],[All Swipes]]/MAX(tinder[All Swipes])</f>
        <v>5.1368023222936418E-2</v>
      </c>
      <c r="R161">
        <f>tinder[[#This Row],[Swipe Right (LIKE)]]+tinder[[#This Row],[Swipe Left (PASS)]]</f>
        <v>43602</v>
      </c>
      <c r="S161">
        <v>2157</v>
      </c>
      <c r="T161">
        <v>41445</v>
      </c>
      <c r="U161" t="s">
        <v>8</v>
      </c>
      <c r="V161" s="1">
        <v>42849</v>
      </c>
      <c r="W161" t="s">
        <v>12</v>
      </c>
      <c r="X161" t="s">
        <v>1296</v>
      </c>
      <c r="Y161" t="s">
        <v>8</v>
      </c>
      <c r="Z161">
        <v>20</v>
      </c>
      <c r="AA16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62" spans="1:27" x14ac:dyDescent="0.3">
      <c r="A162" t="s">
        <v>662</v>
      </c>
      <c r="B162">
        <v>571</v>
      </c>
      <c r="C162">
        <v>21</v>
      </c>
      <c r="D162">
        <f>IFERROR(tinder[[#This Row],[Tinder Opened]]/tinder[[#This Row],[Days on Tinder]],0)</f>
        <v>27.19047619047619</v>
      </c>
      <c r="E162">
        <f>tinder[[#This Row],[Engagement]]/MAX(tinder[Engagement])</f>
        <v>0.1366355587461115</v>
      </c>
      <c r="F16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62">
        <v>39</v>
      </c>
      <c r="H162">
        <f>IFERROR(tinder[[#This Row],[Conversations]]/tinder[[#This Row],[Tinder Opened]],0)</f>
        <v>6.8301225919439573E-2</v>
      </c>
      <c r="I162">
        <f>tinder[[#This Row],[Conversations]]/MAX(tinder[Conversations])</f>
        <v>3.0849549121974369E-3</v>
      </c>
      <c r="J162">
        <f>(tinder[[#This Row],[Norm Engagement]]*2)+(tinder[[#This Row],[Norm Swipes]]*1)+(tinder[[#This Row],[Norm Conversations]]*2)</f>
        <v>0.28251943300171334</v>
      </c>
      <c r="K16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62">
        <v>7</v>
      </c>
      <c r="M162">
        <v>0</v>
      </c>
      <c r="N162">
        <v>45</v>
      </c>
      <c r="O162">
        <v>348</v>
      </c>
      <c r="P162">
        <v>407</v>
      </c>
      <c r="Q162">
        <f>tinder[[#This Row],[All Swipes]]/MAX(tinder[All Swipes])</f>
        <v>3.078405685095474E-3</v>
      </c>
      <c r="R162">
        <f>tinder[[#This Row],[Swipe Right (LIKE)]]+tinder[[#This Row],[Swipe Left (PASS)]]</f>
        <v>2613</v>
      </c>
      <c r="S162">
        <v>1390</v>
      </c>
      <c r="T162">
        <v>1223</v>
      </c>
      <c r="U162" t="s">
        <v>238</v>
      </c>
      <c r="V162" s="1">
        <v>44279</v>
      </c>
      <c r="W162" t="s">
        <v>12</v>
      </c>
      <c r="X162" t="s">
        <v>1295</v>
      </c>
      <c r="Y162" t="s">
        <v>8</v>
      </c>
      <c r="Z162">
        <v>25</v>
      </c>
      <c r="AA16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63" spans="1:27" x14ac:dyDescent="0.3">
      <c r="A163" t="s">
        <v>705</v>
      </c>
      <c r="B163">
        <v>16986</v>
      </c>
      <c r="C163">
        <v>625</v>
      </c>
      <c r="D163">
        <f>IFERROR(tinder[[#This Row],[Tinder Opened]]/tinder[[#This Row],[Days on Tinder]],0)</f>
        <v>27.177600000000002</v>
      </c>
      <c r="E163">
        <f>tinder[[#This Row],[Engagement]]/MAX(tinder[Engagement])</f>
        <v>0.13657085427135679</v>
      </c>
      <c r="F16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63">
        <v>177</v>
      </c>
      <c r="H163">
        <f>IFERROR(tinder[[#This Row],[Conversations]]/tinder[[#This Row],[Tinder Opened]],0)</f>
        <v>1.0420346167432003E-2</v>
      </c>
      <c r="I163">
        <f>tinder[[#This Row],[Conversations]]/MAX(tinder[Conversations])</f>
        <v>1.4000949216896061E-2</v>
      </c>
      <c r="J163">
        <f>(tinder[[#This Row],[Norm Engagement]]*2)+(tinder[[#This Row],[Norm Swipes]]*1)+(tinder[[#This Row],[Norm Conversations]]*2)</f>
        <v>0.34140557187820408</v>
      </c>
      <c r="K16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63">
        <v>40</v>
      </c>
      <c r="M163">
        <v>4</v>
      </c>
      <c r="N163">
        <v>277</v>
      </c>
      <c r="O163">
        <v>7003</v>
      </c>
      <c r="P163">
        <v>4728</v>
      </c>
      <c r="Q163">
        <f>tinder[[#This Row],[All Swipes]]/MAX(tinder[All Swipes])</f>
        <v>4.0261964901698366E-2</v>
      </c>
      <c r="R163">
        <f>tinder[[#This Row],[Swipe Right (LIKE)]]+tinder[[#This Row],[Swipe Left (PASS)]]</f>
        <v>34175</v>
      </c>
      <c r="S163">
        <v>8486</v>
      </c>
      <c r="T163">
        <v>25689</v>
      </c>
      <c r="U163" t="s">
        <v>65</v>
      </c>
      <c r="V163" s="1">
        <v>43556</v>
      </c>
      <c r="W163" t="s">
        <v>12</v>
      </c>
      <c r="X163" t="s">
        <v>1295</v>
      </c>
      <c r="Y163" t="s">
        <v>706</v>
      </c>
      <c r="Z163">
        <v>29</v>
      </c>
      <c r="AA16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64" spans="1:27" x14ac:dyDescent="0.3">
      <c r="A164" t="s">
        <v>859</v>
      </c>
      <c r="B164">
        <v>31792</v>
      </c>
      <c r="C164">
        <v>1171</v>
      </c>
      <c r="D164">
        <f>IFERROR(tinder[[#This Row],[Tinder Opened]]/tinder[[#This Row],[Days on Tinder]],0)</f>
        <v>27.14944491887276</v>
      </c>
      <c r="E164">
        <f>tinder[[#This Row],[Engagement]]/MAX(tinder[Engagement])</f>
        <v>0.1364293714516219</v>
      </c>
      <c r="F16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64">
        <v>1434</v>
      </c>
      <c r="H164">
        <f>IFERROR(tinder[[#This Row],[Conversations]]/tinder[[#This Row],[Tinder Opened]],0)</f>
        <v>4.5105686965274283E-2</v>
      </c>
      <c r="I164">
        <f>tinder[[#This Row],[Conversations]]/MAX(tinder[Conversations])</f>
        <v>0.1134314190792596</v>
      </c>
      <c r="J164">
        <f>(tinder[[#This Row],[Norm Engagement]]*2)+(tinder[[#This Row],[Norm Swipes]]*1)+(tinder[[#This Row],[Norm Conversations]]*2)</f>
        <v>0.67923398422098713</v>
      </c>
      <c r="K16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64">
        <v>258</v>
      </c>
      <c r="M164">
        <v>237</v>
      </c>
      <c r="N164">
        <v>4315</v>
      </c>
      <c r="O164">
        <v>12270</v>
      </c>
      <c r="P164">
        <v>15797</v>
      </c>
      <c r="Q164">
        <f>tinder[[#This Row],[All Swipes]]/MAX(tinder[All Swipes])</f>
        <v>0.17951240315922415</v>
      </c>
      <c r="R164">
        <f>tinder[[#This Row],[Swipe Right (LIKE)]]+tinder[[#This Row],[Swipe Left (PASS)]]</f>
        <v>152373</v>
      </c>
      <c r="S164">
        <v>12451</v>
      </c>
      <c r="T164">
        <v>139922</v>
      </c>
      <c r="U164" t="s">
        <v>14</v>
      </c>
      <c r="V164" s="1">
        <v>42601</v>
      </c>
      <c r="W164" t="s">
        <v>7</v>
      </c>
      <c r="X164" t="s">
        <v>1296</v>
      </c>
      <c r="Y164" t="s">
        <v>8</v>
      </c>
      <c r="Z164">
        <v>17</v>
      </c>
      <c r="AA16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65" spans="1:27" x14ac:dyDescent="0.3">
      <c r="A165" t="s">
        <v>200</v>
      </c>
      <c r="B165">
        <v>297</v>
      </c>
      <c r="C165">
        <v>11</v>
      </c>
      <c r="D165">
        <f>IFERROR(tinder[[#This Row],[Tinder Opened]]/tinder[[#This Row],[Days on Tinder]],0)</f>
        <v>27</v>
      </c>
      <c r="E165">
        <f>tinder[[#This Row],[Engagement]]/MAX(tinder[Engagement])</f>
        <v>0.135678391959799</v>
      </c>
      <c r="F16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65">
        <v>14</v>
      </c>
      <c r="H165">
        <f>IFERROR(tinder[[#This Row],[Conversations]]/tinder[[#This Row],[Tinder Opened]],0)</f>
        <v>4.7138047138047139E-2</v>
      </c>
      <c r="I165">
        <f>tinder[[#This Row],[Conversations]]/MAX(tinder[Conversations])</f>
        <v>1.1074197120708748E-3</v>
      </c>
      <c r="J165">
        <f>(tinder[[#This Row],[Norm Engagement]]*2)+(tinder[[#This Row],[Norm Swipes]]*1)+(tinder[[#This Row],[Norm Conversations]]*2)</f>
        <v>0.27378486154848614</v>
      </c>
      <c r="K16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65">
        <v>3</v>
      </c>
      <c r="M165">
        <v>0</v>
      </c>
      <c r="N165">
        <v>17</v>
      </c>
      <c r="O165">
        <v>176</v>
      </c>
      <c r="P165">
        <v>161</v>
      </c>
      <c r="Q165">
        <f>tinder[[#This Row],[All Swipes]]/MAX(tinder[All Swipes])</f>
        <v>2.1323820474637614E-4</v>
      </c>
      <c r="R165">
        <f>tinder[[#This Row],[Swipe Right (LIKE)]]+tinder[[#This Row],[Swipe Left (PASS)]]</f>
        <v>181</v>
      </c>
      <c r="S165">
        <v>164</v>
      </c>
      <c r="T165">
        <v>17</v>
      </c>
      <c r="U165" t="s">
        <v>8</v>
      </c>
      <c r="V165" s="1">
        <v>44131</v>
      </c>
      <c r="W165" t="s">
        <v>12</v>
      </c>
      <c r="X165" t="s">
        <v>1295</v>
      </c>
      <c r="Y165" t="s">
        <v>8</v>
      </c>
      <c r="Z165">
        <v>25</v>
      </c>
      <c r="AA16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66" spans="1:27" x14ac:dyDescent="0.3">
      <c r="A166" t="s">
        <v>379</v>
      </c>
      <c r="B166">
        <v>3356</v>
      </c>
      <c r="C166">
        <v>125</v>
      </c>
      <c r="D166">
        <f>IFERROR(tinder[[#This Row],[Tinder Opened]]/tinder[[#This Row],[Days on Tinder]],0)</f>
        <v>26.847999999999999</v>
      </c>
      <c r="E166">
        <f>tinder[[#This Row],[Engagement]]/MAX(tinder[Engagement])</f>
        <v>0.1349145728643216</v>
      </c>
      <c r="F16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66">
        <v>75</v>
      </c>
      <c r="H166">
        <f>IFERROR(tinder[[#This Row],[Conversations]]/tinder[[#This Row],[Tinder Opened]],0)</f>
        <v>2.234803337306317E-2</v>
      </c>
      <c r="I166">
        <f>tinder[[#This Row],[Conversations]]/MAX(tinder[Conversations])</f>
        <v>5.9326056003796866E-3</v>
      </c>
      <c r="J166">
        <f>(tinder[[#This Row],[Norm Engagement]]*2)+(tinder[[#This Row],[Norm Swipes]]*1)+(tinder[[#This Row],[Norm Conversations]]*2)</f>
        <v>0.30504806373983029</v>
      </c>
      <c r="K16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66">
        <v>35</v>
      </c>
      <c r="M166">
        <v>8</v>
      </c>
      <c r="N166">
        <v>101</v>
      </c>
      <c r="O166">
        <v>201</v>
      </c>
      <c r="P166">
        <v>193</v>
      </c>
      <c r="Q166">
        <f>tinder[[#This Row],[All Swipes]]/MAX(tinder[All Swipes])</f>
        <v>2.3353706810427702E-2</v>
      </c>
      <c r="R166">
        <f>tinder[[#This Row],[Swipe Right (LIKE)]]+tinder[[#This Row],[Swipe Left (PASS)]]</f>
        <v>19823</v>
      </c>
      <c r="S166">
        <v>7575</v>
      </c>
      <c r="T166">
        <v>12248</v>
      </c>
      <c r="U166" t="s">
        <v>8</v>
      </c>
      <c r="V166" s="1">
        <v>43483</v>
      </c>
      <c r="W166" t="s">
        <v>12</v>
      </c>
      <c r="X166" t="s">
        <v>1295</v>
      </c>
      <c r="Y166" t="s">
        <v>380</v>
      </c>
      <c r="Z166">
        <v>25</v>
      </c>
      <c r="AA16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67" spans="1:27" x14ac:dyDescent="0.3">
      <c r="A167" t="s">
        <v>1094</v>
      </c>
      <c r="B167">
        <v>4263</v>
      </c>
      <c r="C167">
        <v>159</v>
      </c>
      <c r="D167">
        <f>IFERROR(tinder[[#This Row],[Tinder Opened]]/tinder[[#This Row],[Days on Tinder]],0)</f>
        <v>26.811320754716981</v>
      </c>
      <c r="E167">
        <f>tinder[[#This Row],[Engagement]]/MAX(tinder[Engagement])</f>
        <v>0.13473025504882905</v>
      </c>
      <c r="F16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67">
        <v>71</v>
      </c>
      <c r="H167">
        <f>IFERROR(tinder[[#This Row],[Conversations]]/tinder[[#This Row],[Tinder Opened]],0)</f>
        <v>1.6654937837203846E-2</v>
      </c>
      <c r="I167">
        <f>tinder[[#This Row],[Conversations]]/MAX(tinder[Conversations])</f>
        <v>5.6161999683594366E-3</v>
      </c>
      <c r="J167">
        <f>(tinder[[#This Row],[Norm Engagement]]*2)+(tinder[[#This Row],[Norm Swipes]]*1)+(tinder[[#This Row],[Norm Conversations]]*2)</f>
        <v>0.31420782964003946</v>
      </c>
      <c r="K16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67">
        <v>15</v>
      </c>
      <c r="M167">
        <v>2</v>
      </c>
      <c r="N167">
        <v>87</v>
      </c>
      <c r="O167">
        <v>3013</v>
      </c>
      <c r="P167">
        <v>2637</v>
      </c>
      <c r="Q167">
        <f>tinder[[#This Row],[All Swipes]]/MAX(tinder[All Swipes])</f>
        <v>3.3514919605662476E-2</v>
      </c>
      <c r="R167">
        <f>tinder[[#This Row],[Swipe Right (LIKE)]]+tinder[[#This Row],[Swipe Left (PASS)]]</f>
        <v>28448</v>
      </c>
      <c r="S167">
        <v>2214</v>
      </c>
      <c r="T167">
        <v>26234</v>
      </c>
      <c r="U167" t="s">
        <v>262</v>
      </c>
      <c r="V167" s="1">
        <v>44126</v>
      </c>
      <c r="W167" t="s">
        <v>12</v>
      </c>
      <c r="X167" t="s">
        <v>1295</v>
      </c>
      <c r="Y167" t="s">
        <v>8</v>
      </c>
      <c r="Z167">
        <v>28</v>
      </c>
      <c r="AA16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68" spans="1:27" x14ac:dyDescent="0.3">
      <c r="A168" t="s">
        <v>199</v>
      </c>
      <c r="B168">
        <v>9512</v>
      </c>
      <c r="C168">
        <v>355</v>
      </c>
      <c r="D168">
        <f>IFERROR(tinder[[#This Row],[Tinder Opened]]/tinder[[#This Row],[Days on Tinder]],0)</f>
        <v>26.794366197183098</v>
      </c>
      <c r="E168">
        <f>tinder[[#This Row],[Engagement]]/MAX(tinder[Engagement])</f>
        <v>0.13464505626725176</v>
      </c>
      <c r="F16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68">
        <v>586</v>
      </c>
      <c r="H168">
        <f>IFERROR(tinder[[#This Row],[Conversations]]/tinder[[#This Row],[Tinder Opened]],0)</f>
        <v>6.1606391925988227E-2</v>
      </c>
      <c r="I168">
        <f>tinder[[#This Row],[Conversations]]/MAX(tinder[Conversations])</f>
        <v>4.635342509096662E-2</v>
      </c>
      <c r="J168">
        <f>(tinder[[#This Row],[Norm Engagement]]*2)+(tinder[[#This Row],[Norm Swipes]]*1)+(tinder[[#This Row],[Norm Conversations]]*2)</f>
        <v>0.55029690051214275</v>
      </c>
      <c r="K16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68">
        <v>51</v>
      </c>
      <c r="M168">
        <v>376</v>
      </c>
      <c r="N168">
        <v>1539</v>
      </c>
      <c r="O168">
        <v>2068</v>
      </c>
      <c r="P168">
        <v>2930</v>
      </c>
      <c r="Q168">
        <f>tinder[[#This Row],[All Swipes]]/MAX(tinder[All Swipes])</f>
        <v>0.18829993779570603</v>
      </c>
      <c r="R168">
        <f>tinder[[#This Row],[Swipe Right (LIKE)]]+tinder[[#This Row],[Swipe Left (PASS)]]</f>
        <v>159832</v>
      </c>
      <c r="S168">
        <v>3838</v>
      </c>
      <c r="T168">
        <v>155994</v>
      </c>
      <c r="U168" t="s">
        <v>10</v>
      </c>
      <c r="V168" s="1">
        <v>43703</v>
      </c>
      <c r="W168" t="s">
        <v>12</v>
      </c>
      <c r="X168" t="s">
        <v>1296</v>
      </c>
      <c r="Y168" t="s">
        <v>8</v>
      </c>
      <c r="Z168">
        <v>19</v>
      </c>
      <c r="AA16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69" spans="1:27" x14ac:dyDescent="0.3">
      <c r="A169" t="s">
        <v>609</v>
      </c>
      <c r="B169">
        <v>6594</v>
      </c>
      <c r="C169">
        <v>248</v>
      </c>
      <c r="D169">
        <f>IFERROR(tinder[[#This Row],[Tinder Opened]]/tinder[[#This Row],[Days on Tinder]],0)</f>
        <v>26.588709677419356</v>
      </c>
      <c r="E169">
        <f>tinder[[#This Row],[Engagement]]/MAX(tinder[Engagement])</f>
        <v>0.13361160641919273</v>
      </c>
      <c r="F16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69">
        <v>321</v>
      </c>
      <c r="H169">
        <f>IFERROR(tinder[[#This Row],[Conversations]]/tinder[[#This Row],[Tinder Opened]],0)</f>
        <v>4.8680618744313009E-2</v>
      </c>
      <c r="I169">
        <f>tinder[[#This Row],[Conversations]]/MAX(tinder[Conversations])</f>
        <v>2.5391551969625059E-2</v>
      </c>
      <c r="J169">
        <f>(tinder[[#This Row],[Norm Engagement]]*2)+(tinder[[#This Row],[Norm Swipes]]*1)+(tinder[[#This Row],[Norm Conversations]]*2)</f>
        <v>0.39498059624456361</v>
      </c>
      <c r="K16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69">
        <v>54</v>
      </c>
      <c r="M169">
        <v>2</v>
      </c>
      <c r="N169">
        <v>323</v>
      </c>
      <c r="O169">
        <v>1827</v>
      </c>
      <c r="P169">
        <v>1968</v>
      </c>
      <c r="Q169">
        <f>tinder[[#This Row],[All Swipes]]/MAX(tinder[All Swipes])</f>
        <v>7.6974279466928044E-2</v>
      </c>
      <c r="R169">
        <f>tinder[[#This Row],[Swipe Right (LIKE)]]+tinder[[#This Row],[Swipe Left (PASS)]]</f>
        <v>65337</v>
      </c>
      <c r="S169">
        <v>18223</v>
      </c>
      <c r="T169">
        <v>47114</v>
      </c>
      <c r="U169" t="s">
        <v>8</v>
      </c>
      <c r="V169" s="1">
        <v>43976</v>
      </c>
      <c r="W169" t="s">
        <v>12</v>
      </c>
      <c r="X169" t="s">
        <v>1295</v>
      </c>
      <c r="Y169" t="s">
        <v>8</v>
      </c>
      <c r="Z169">
        <v>24</v>
      </c>
      <c r="AA16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70" spans="1:27" x14ac:dyDescent="0.3">
      <c r="A170" t="s">
        <v>188</v>
      </c>
      <c r="B170">
        <v>850</v>
      </c>
      <c r="C170">
        <v>32</v>
      </c>
      <c r="D170">
        <f>IFERROR(tinder[[#This Row],[Tinder Opened]]/tinder[[#This Row],[Days on Tinder]],0)</f>
        <v>26.5625</v>
      </c>
      <c r="E170">
        <f>tinder[[#This Row],[Engagement]]/MAX(tinder[Engagement])</f>
        <v>0.13347989949748743</v>
      </c>
      <c r="F17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70">
        <v>1</v>
      </c>
      <c r="H170">
        <f>IFERROR(tinder[[#This Row],[Conversations]]/tinder[[#This Row],[Tinder Opened]],0)</f>
        <v>1.176470588235294E-3</v>
      </c>
      <c r="I170">
        <f>tinder[[#This Row],[Conversations]]/MAX(tinder[Conversations])</f>
        <v>7.9101408005062489E-5</v>
      </c>
      <c r="J170">
        <f>(tinder[[#This Row],[Norm Engagement]]*2)+(tinder[[#This Row],[Norm Swipes]]*1)+(tinder[[#This Row],[Norm Conversations]]*2)</f>
        <v>0.27015988603559904</v>
      </c>
      <c r="K17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70">
        <v>0</v>
      </c>
      <c r="M170">
        <v>1</v>
      </c>
      <c r="N170">
        <v>8</v>
      </c>
      <c r="O170">
        <v>0</v>
      </c>
      <c r="P170">
        <v>1</v>
      </c>
      <c r="Q170">
        <f>tinder[[#This Row],[All Swipes]]/MAX(tinder[All Swipes])</f>
        <v>3.0418842246140508E-3</v>
      </c>
      <c r="R170">
        <f>tinder[[#This Row],[Swipe Right (LIKE)]]+tinder[[#This Row],[Swipe Left (PASS)]]</f>
        <v>2582</v>
      </c>
      <c r="S170">
        <v>141</v>
      </c>
      <c r="T170">
        <v>2441</v>
      </c>
      <c r="U170" t="s">
        <v>10</v>
      </c>
      <c r="V170" s="1">
        <v>44104</v>
      </c>
      <c r="W170" t="s">
        <v>12</v>
      </c>
      <c r="X170" t="s">
        <v>1295</v>
      </c>
      <c r="Y170" t="s">
        <v>8</v>
      </c>
      <c r="Z170">
        <v>37</v>
      </c>
      <c r="AA17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171" spans="1:27" x14ac:dyDescent="0.3">
      <c r="A171" t="s">
        <v>402</v>
      </c>
      <c r="B171">
        <v>3790</v>
      </c>
      <c r="C171">
        <v>143</v>
      </c>
      <c r="D171">
        <f>IFERROR(tinder[[#This Row],[Tinder Opened]]/tinder[[#This Row],[Days on Tinder]],0)</f>
        <v>26.503496503496503</v>
      </c>
      <c r="E171">
        <f>tinder[[#This Row],[Engagement]]/MAX(tinder[Engagement])</f>
        <v>0.13318339951505781</v>
      </c>
      <c r="F17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71">
        <v>65</v>
      </c>
      <c r="H171">
        <f>IFERROR(tinder[[#This Row],[Conversations]]/tinder[[#This Row],[Tinder Opened]],0)</f>
        <v>1.7150395778364115E-2</v>
      </c>
      <c r="I171">
        <f>tinder[[#This Row],[Conversations]]/MAX(tinder[Conversations])</f>
        <v>5.141591520329062E-3</v>
      </c>
      <c r="J171">
        <f>(tinder[[#This Row],[Norm Engagement]]*2)+(tinder[[#This Row],[Norm Swipes]]*1)+(tinder[[#This Row],[Norm Conversations]]*2)</f>
        <v>0.35727522947421569</v>
      </c>
      <c r="K17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71">
        <v>27</v>
      </c>
      <c r="M171">
        <v>1</v>
      </c>
      <c r="N171">
        <v>149</v>
      </c>
      <c r="O171">
        <v>223</v>
      </c>
      <c r="P171">
        <v>281</v>
      </c>
      <c r="Q171">
        <f>tinder[[#This Row],[All Swipes]]/MAX(tinder[All Swipes])</f>
        <v>8.0625247403441971E-2</v>
      </c>
      <c r="R171">
        <f>tinder[[#This Row],[Swipe Right (LIKE)]]+tinder[[#This Row],[Swipe Left (PASS)]]</f>
        <v>68436</v>
      </c>
      <c r="S171">
        <v>2330</v>
      </c>
      <c r="T171">
        <v>66106</v>
      </c>
      <c r="U171" t="s">
        <v>122</v>
      </c>
      <c r="V171" s="1">
        <v>44089</v>
      </c>
      <c r="W171" t="s">
        <v>12</v>
      </c>
      <c r="X171" t="s">
        <v>1295</v>
      </c>
      <c r="Y171" t="s">
        <v>403</v>
      </c>
      <c r="Z171">
        <v>23</v>
      </c>
      <c r="AA17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72" spans="1:27" x14ac:dyDescent="0.3">
      <c r="A172" t="s">
        <v>915</v>
      </c>
      <c r="B172">
        <v>3647</v>
      </c>
      <c r="C172">
        <v>138</v>
      </c>
      <c r="D172">
        <f>IFERROR(tinder[[#This Row],[Tinder Opened]]/tinder[[#This Row],[Days on Tinder]],0)</f>
        <v>26.427536231884059</v>
      </c>
      <c r="E172">
        <f>tinder[[#This Row],[Engagement]]/MAX(tinder[Engagement])</f>
        <v>0.13280168960745758</v>
      </c>
      <c r="F17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72">
        <v>179</v>
      </c>
      <c r="H172">
        <f>IFERROR(tinder[[#This Row],[Conversations]]/tinder[[#This Row],[Tinder Opened]],0)</f>
        <v>4.9081436797367699E-2</v>
      </c>
      <c r="I172">
        <f>tinder[[#This Row],[Conversations]]/MAX(tinder[Conversations])</f>
        <v>1.4159152032906186E-2</v>
      </c>
      <c r="J172">
        <f>(tinder[[#This Row],[Norm Engagement]]*2)+(tinder[[#This Row],[Norm Swipes]]*1)+(tinder[[#This Row],[Norm Conversations]]*2)</f>
        <v>0.3081037910638042</v>
      </c>
      <c r="K17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72">
        <v>21</v>
      </c>
      <c r="M172">
        <v>0</v>
      </c>
      <c r="N172">
        <v>172</v>
      </c>
      <c r="O172">
        <v>7719</v>
      </c>
      <c r="P172">
        <v>6652</v>
      </c>
      <c r="Q172">
        <f>tinder[[#This Row],[All Swipes]]/MAX(tinder[All Swipes])</f>
        <v>1.4182107783076662E-2</v>
      </c>
      <c r="R172">
        <f>tinder[[#This Row],[Swipe Right (LIKE)]]+tinder[[#This Row],[Swipe Left (PASS)]]</f>
        <v>12038</v>
      </c>
      <c r="S172">
        <v>4534</v>
      </c>
      <c r="T172">
        <v>7504</v>
      </c>
      <c r="U172" t="s">
        <v>238</v>
      </c>
      <c r="V172" s="1">
        <v>43075</v>
      </c>
      <c r="W172" t="s">
        <v>7</v>
      </c>
      <c r="X172" t="s">
        <v>1295</v>
      </c>
      <c r="Y172" t="s">
        <v>916</v>
      </c>
      <c r="Z172">
        <v>25</v>
      </c>
      <c r="AA17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73" spans="1:27" x14ac:dyDescent="0.3">
      <c r="A173" t="s">
        <v>616</v>
      </c>
      <c r="B173">
        <v>2391</v>
      </c>
      <c r="C173">
        <v>91</v>
      </c>
      <c r="D173">
        <f>IFERROR(tinder[[#This Row],[Tinder Opened]]/tinder[[#This Row],[Days on Tinder]],0)</f>
        <v>26.274725274725274</v>
      </c>
      <c r="E173">
        <f>tinder[[#This Row],[Engagement]]/MAX(tinder[Engagement])</f>
        <v>0.13203379535037826</v>
      </c>
      <c r="F17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73">
        <v>158</v>
      </c>
      <c r="H173">
        <f>IFERROR(tinder[[#This Row],[Conversations]]/tinder[[#This Row],[Tinder Opened]],0)</f>
        <v>6.6081137599330819E-2</v>
      </c>
      <c r="I173">
        <f>tinder[[#This Row],[Conversations]]/MAX(tinder[Conversations])</f>
        <v>1.2498022464799873E-2</v>
      </c>
      <c r="J173">
        <f>(tinder[[#This Row],[Norm Engagement]]*2)+(tinder[[#This Row],[Norm Swipes]]*1)+(tinder[[#This Row],[Norm Conversations]]*2)</f>
        <v>0.30591534436346213</v>
      </c>
      <c r="K17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73">
        <v>43</v>
      </c>
      <c r="M173">
        <v>7</v>
      </c>
      <c r="N173">
        <v>250</v>
      </c>
      <c r="O173">
        <v>930</v>
      </c>
      <c r="P173">
        <v>606</v>
      </c>
      <c r="Q173">
        <f>tinder[[#This Row],[All Swipes]]/MAX(tinder[All Swipes])</f>
        <v>1.6851708733105878E-2</v>
      </c>
      <c r="R173">
        <f>tinder[[#This Row],[Swipe Right (LIKE)]]+tinder[[#This Row],[Swipe Left (PASS)]]</f>
        <v>14304</v>
      </c>
      <c r="S173">
        <v>3738</v>
      </c>
      <c r="T173">
        <v>10566</v>
      </c>
      <c r="U173" t="s">
        <v>8</v>
      </c>
      <c r="V173" s="1">
        <v>44191</v>
      </c>
      <c r="W173" t="s">
        <v>12</v>
      </c>
      <c r="X173" t="s">
        <v>1295</v>
      </c>
      <c r="Y173" t="s">
        <v>173</v>
      </c>
      <c r="Z173">
        <v>20</v>
      </c>
      <c r="AA17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74" spans="1:27" x14ac:dyDescent="0.3">
      <c r="A174" t="s">
        <v>352</v>
      </c>
      <c r="B174">
        <v>23619</v>
      </c>
      <c r="C174">
        <v>906</v>
      </c>
      <c r="D174">
        <f>IFERROR(tinder[[#This Row],[Tinder Opened]]/tinder[[#This Row],[Days on Tinder]],0)</f>
        <v>26.069536423841061</v>
      </c>
      <c r="E174">
        <f>tinder[[#This Row],[Engagement]]/MAX(tinder[Engagement])</f>
        <v>0.13100269559719127</v>
      </c>
      <c r="F17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74">
        <v>2083</v>
      </c>
      <c r="H174">
        <f>IFERROR(tinder[[#This Row],[Conversations]]/tinder[[#This Row],[Tinder Opened]],0)</f>
        <v>8.8191710063931575E-2</v>
      </c>
      <c r="I174">
        <f>tinder[[#This Row],[Conversations]]/MAX(tinder[Conversations])</f>
        <v>0.16476823287454517</v>
      </c>
      <c r="J174">
        <f>(tinder[[#This Row],[Norm Engagement]]*2)+(tinder[[#This Row],[Norm Swipes]]*1)+(tinder[[#This Row],[Norm Conversations]]*2)</f>
        <v>0.7530515363086121</v>
      </c>
      <c r="K17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74">
        <v>570</v>
      </c>
      <c r="M174">
        <v>334</v>
      </c>
      <c r="N174">
        <v>5136</v>
      </c>
      <c r="O174">
        <v>15069</v>
      </c>
      <c r="P174">
        <v>16449</v>
      </c>
      <c r="Q174">
        <f>tinder[[#This Row],[All Swipes]]/MAX(tinder[All Swipes])</f>
        <v>0.16150967936513921</v>
      </c>
      <c r="R174">
        <f>tinder[[#This Row],[Swipe Right (LIKE)]]+tinder[[#This Row],[Swipe Left (PASS)]]</f>
        <v>137092</v>
      </c>
      <c r="S174">
        <v>12032</v>
      </c>
      <c r="T174">
        <v>125060</v>
      </c>
      <c r="U174" t="s">
        <v>8</v>
      </c>
      <c r="V174" s="1">
        <v>42203</v>
      </c>
      <c r="W174" t="s">
        <v>7</v>
      </c>
      <c r="X174" t="s">
        <v>1296</v>
      </c>
      <c r="Y174" t="s">
        <v>8</v>
      </c>
      <c r="Z174">
        <v>19</v>
      </c>
      <c r="AA17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75" spans="1:27" x14ac:dyDescent="0.3">
      <c r="A175" t="s">
        <v>1162</v>
      </c>
      <c r="B175">
        <v>33388</v>
      </c>
      <c r="C175">
        <v>1284</v>
      </c>
      <c r="D175">
        <f>IFERROR(tinder[[#This Row],[Tinder Opened]]/tinder[[#This Row],[Days on Tinder]],0)</f>
        <v>26.003115264797508</v>
      </c>
      <c r="E175">
        <f>tinder[[#This Row],[Engagement]]/MAX(tinder[Engagement])</f>
        <v>0.13066892092863069</v>
      </c>
      <c r="F17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75">
        <v>1116</v>
      </c>
      <c r="H175">
        <f>IFERROR(tinder[[#This Row],[Conversations]]/tinder[[#This Row],[Tinder Opened]],0)</f>
        <v>3.3425182700371391E-2</v>
      </c>
      <c r="I175">
        <f>tinder[[#This Row],[Conversations]]/MAX(tinder[Conversations])</f>
        <v>8.8277171333649734E-2</v>
      </c>
      <c r="J175">
        <f>(tinder[[#This Row],[Norm Engagement]]*2)+(tinder[[#This Row],[Norm Swipes]]*1)+(tinder[[#This Row],[Norm Conversations]]*2)</f>
        <v>0.52472136776333111</v>
      </c>
      <c r="K17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75">
        <v>230</v>
      </c>
      <c r="M175">
        <v>51</v>
      </c>
      <c r="N175">
        <v>6076</v>
      </c>
      <c r="O175">
        <v>29508</v>
      </c>
      <c r="P175">
        <v>24945</v>
      </c>
      <c r="Q175">
        <f>tinder[[#This Row],[All Swipes]]/MAX(tinder[All Swipes])</f>
        <v>8.6829183238770244E-2</v>
      </c>
      <c r="R175">
        <f>tinder[[#This Row],[Swipe Right (LIKE)]]+tinder[[#This Row],[Swipe Left (PASS)]]</f>
        <v>73702</v>
      </c>
      <c r="S175">
        <v>60453</v>
      </c>
      <c r="T175">
        <v>13249</v>
      </c>
      <c r="U175" t="s">
        <v>10</v>
      </c>
      <c r="V175" s="1">
        <v>42654</v>
      </c>
      <c r="W175" t="s">
        <v>12</v>
      </c>
      <c r="X175" t="s">
        <v>1295</v>
      </c>
      <c r="Y175" t="s">
        <v>8</v>
      </c>
      <c r="Z175">
        <v>22</v>
      </c>
      <c r="AA17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76" spans="1:27" x14ac:dyDescent="0.3">
      <c r="A176" t="s">
        <v>400</v>
      </c>
      <c r="B176">
        <v>4264</v>
      </c>
      <c r="C176">
        <v>164</v>
      </c>
      <c r="D176">
        <f>IFERROR(tinder[[#This Row],[Tinder Opened]]/tinder[[#This Row],[Days on Tinder]],0)</f>
        <v>26</v>
      </c>
      <c r="E176">
        <f>tinder[[#This Row],[Engagement]]/MAX(tinder[Engagement])</f>
        <v>0.1306532663316583</v>
      </c>
      <c r="F17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76">
        <v>89</v>
      </c>
      <c r="H176">
        <f>IFERROR(tinder[[#This Row],[Conversations]]/tinder[[#This Row],[Tinder Opened]],0)</f>
        <v>2.0872420262664164E-2</v>
      </c>
      <c r="I176">
        <f>tinder[[#This Row],[Conversations]]/MAX(tinder[Conversations])</f>
        <v>7.0400253124505621E-3</v>
      </c>
      <c r="J176">
        <f>(tinder[[#This Row],[Norm Engagement]]*2)+(tinder[[#This Row],[Norm Swipes]]*1)+(tinder[[#This Row],[Norm Conversations]]*2)</f>
        <v>0.36198839098270041</v>
      </c>
      <c r="K17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76">
        <v>18</v>
      </c>
      <c r="M176">
        <v>13</v>
      </c>
      <c r="N176">
        <v>637</v>
      </c>
      <c r="O176">
        <v>540</v>
      </c>
      <c r="P176">
        <v>423</v>
      </c>
      <c r="Q176">
        <f>tinder[[#This Row],[All Swipes]]/MAX(tinder[All Swipes])</f>
        <v>8.6601807694482669E-2</v>
      </c>
      <c r="R176">
        <f>tinder[[#This Row],[Swipe Right (LIKE)]]+tinder[[#This Row],[Swipe Left (PASS)]]</f>
        <v>73509</v>
      </c>
      <c r="S176">
        <v>12060</v>
      </c>
      <c r="T176">
        <v>61449</v>
      </c>
      <c r="U176" t="s">
        <v>65</v>
      </c>
      <c r="V176" s="1">
        <v>44068</v>
      </c>
      <c r="W176" t="s">
        <v>12</v>
      </c>
      <c r="X176" t="s">
        <v>1295</v>
      </c>
      <c r="Y176" t="s">
        <v>8</v>
      </c>
      <c r="Z176">
        <v>26</v>
      </c>
      <c r="AA17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77" spans="1:27" x14ac:dyDescent="0.3">
      <c r="A177" t="s">
        <v>844</v>
      </c>
      <c r="B177">
        <v>1212</v>
      </c>
      <c r="C177">
        <v>47</v>
      </c>
      <c r="D177">
        <f>IFERROR(tinder[[#This Row],[Tinder Opened]]/tinder[[#This Row],[Days on Tinder]],0)</f>
        <v>25.787234042553191</v>
      </c>
      <c r="E177">
        <f>tinder[[#This Row],[Engagement]]/MAX(tinder[Engagement])</f>
        <v>0.12958409066609644</v>
      </c>
      <c r="F17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77">
        <v>14</v>
      </c>
      <c r="H177">
        <f>IFERROR(tinder[[#This Row],[Conversations]]/tinder[[#This Row],[Tinder Opened]],0)</f>
        <v>1.155115511551155E-2</v>
      </c>
      <c r="I177">
        <f>tinder[[#This Row],[Conversations]]/MAX(tinder[Conversations])</f>
        <v>1.1074197120708748E-3</v>
      </c>
      <c r="J177">
        <f>(tinder[[#This Row],[Norm Engagement]]*2)+(tinder[[#This Row],[Norm Swipes]]*1)+(tinder[[#This Row],[Norm Conversations]]*2)</f>
        <v>0.27034962836033832</v>
      </c>
      <c r="K17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77">
        <v>6</v>
      </c>
      <c r="M177">
        <v>1</v>
      </c>
      <c r="N177">
        <v>40</v>
      </c>
      <c r="O177">
        <v>87</v>
      </c>
      <c r="P177">
        <v>67</v>
      </c>
      <c r="Q177">
        <f>tinder[[#This Row],[All Swipes]]/MAX(tinder[All Swipes])</f>
        <v>8.966607604003694E-3</v>
      </c>
      <c r="R177">
        <f>tinder[[#This Row],[Swipe Right (LIKE)]]+tinder[[#This Row],[Swipe Left (PASS)]]</f>
        <v>7611</v>
      </c>
      <c r="S177">
        <v>1384</v>
      </c>
      <c r="T177">
        <v>6227</v>
      </c>
      <c r="U177" t="s">
        <v>10</v>
      </c>
      <c r="V177" s="1">
        <v>43684</v>
      </c>
      <c r="W177" t="s">
        <v>12</v>
      </c>
      <c r="X177" t="s">
        <v>1295</v>
      </c>
      <c r="Y177" t="s">
        <v>8</v>
      </c>
      <c r="Z177">
        <v>28</v>
      </c>
      <c r="AA17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78" spans="1:27" x14ac:dyDescent="0.3">
      <c r="A178" t="s">
        <v>509</v>
      </c>
      <c r="B178">
        <v>3444</v>
      </c>
      <c r="C178">
        <v>134</v>
      </c>
      <c r="D178">
        <f>IFERROR(tinder[[#This Row],[Tinder Opened]]/tinder[[#This Row],[Days on Tinder]],0)</f>
        <v>25.701492537313431</v>
      </c>
      <c r="E178">
        <f>tinder[[#This Row],[Engagement]]/MAX(tinder[Engagement])</f>
        <v>0.12915322883072075</v>
      </c>
      <c r="F17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78">
        <v>25</v>
      </c>
      <c r="H178">
        <f>IFERROR(tinder[[#This Row],[Conversations]]/tinder[[#This Row],[Tinder Opened]],0)</f>
        <v>7.259001161440186E-3</v>
      </c>
      <c r="I178">
        <f>tinder[[#This Row],[Conversations]]/MAX(tinder[Conversations])</f>
        <v>1.9775352001265623E-3</v>
      </c>
      <c r="J178">
        <f>(tinder[[#This Row],[Norm Engagement]]*2)+(tinder[[#This Row],[Norm Swipes]]*1)+(tinder[[#This Row],[Norm Conversations]]*2)</f>
        <v>0.27171587387986956</v>
      </c>
      <c r="K17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78">
        <v>10</v>
      </c>
      <c r="M178">
        <v>0</v>
      </c>
      <c r="N178">
        <v>94</v>
      </c>
      <c r="O178">
        <v>527</v>
      </c>
      <c r="P178">
        <v>541</v>
      </c>
      <c r="Q178">
        <f>tinder[[#This Row],[All Swipes]]/MAX(tinder[All Swipes])</f>
        <v>9.454345818174963E-3</v>
      </c>
      <c r="R178">
        <f>tinder[[#This Row],[Swipe Right (LIKE)]]+tinder[[#This Row],[Swipe Left (PASS)]]</f>
        <v>8025</v>
      </c>
      <c r="S178">
        <v>3604</v>
      </c>
      <c r="T178">
        <v>4421</v>
      </c>
      <c r="U178" t="s">
        <v>8</v>
      </c>
      <c r="V178" s="1">
        <v>44024</v>
      </c>
      <c r="W178" t="s">
        <v>12</v>
      </c>
      <c r="X178" t="s">
        <v>1295</v>
      </c>
      <c r="Y178" t="s">
        <v>8</v>
      </c>
      <c r="Z178">
        <v>23</v>
      </c>
      <c r="AA17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79" spans="1:27" x14ac:dyDescent="0.3">
      <c r="A179" t="s">
        <v>443</v>
      </c>
      <c r="B179">
        <v>14746</v>
      </c>
      <c r="C179">
        <v>585</v>
      </c>
      <c r="D179">
        <f>IFERROR(tinder[[#This Row],[Tinder Opened]]/tinder[[#This Row],[Days on Tinder]],0)</f>
        <v>25.206837606837606</v>
      </c>
      <c r="E179">
        <f>tinder[[#This Row],[Engagement]]/MAX(tinder[Engagement])</f>
        <v>0.12666752566250053</v>
      </c>
      <c r="F17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79">
        <v>386</v>
      </c>
      <c r="H179">
        <f>IFERROR(tinder[[#This Row],[Conversations]]/tinder[[#This Row],[Tinder Opened]],0)</f>
        <v>2.6176590261765904E-2</v>
      </c>
      <c r="I179">
        <f>tinder[[#This Row],[Conversations]]/MAX(tinder[Conversations])</f>
        <v>3.0533143489954121E-2</v>
      </c>
      <c r="J179">
        <f>(tinder[[#This Row],[Norm Engagement]]*2)+(tinder[[#This Row],[Norm Swipes]]*1)+(tinder[[#This Row],[Norm Conversations]]*2)</f>
        <v>0.34242625772207391</v>
      </c>
      <c r="K17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79">
        <v>135</v>
      </c>
      <c r="M179">
        <v>1</v>
      </c>
      <c r="N179">
        <v>552</v>
      </c>
      <c r="O179">
        <v>6998</v>
      </c>
      <c r="P179">
        <v>6565</v>
      </c>
      <c r="Q179">
        <f>tinder[[#This Row],[All Swipes]]/MAX(tinder[All Swipes])</f>
        <v>2.8024919417164614E-2</v>
      </c>
      <c r="R179">
        <f>tinder[[#This Row],[Swipe Right (LIKE)]]+tinder[[#This Row],[Swipe Left (PASS)]]</f>
        <v>23788</v>
      </c>
      <c r="S179">
        <v>18717</v>
      </c>
      <c r="T179">
        <v>5071</v>
      </c>
      <c r="U179" t="s">
        <v>149</v>
      </c>
      <c r="V179" s="1">
        <v>43548</v>
      </c>
      <c r="W179" t="s">
        <v>12</v>
      </c>
      <c r="X179" t="s">
        <v>1295</v>
      </c>
      <c r="Y179" t="s">
        <v>444</v>
      </c>
      <c r="Z179">
        <v>24</v>
      </c>
      <c r="AA17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80" spans="1:27" x14ac:dyDescent="0.3">
      <c r="A180" t="s">
        <v>274</v>
      </c>
      <c r="B180">
        <v>14015</v>
      </c>
      <c r="C180">
        <v>556</v>
      </c>
      <c r="D180">
        <f>IFERROR(tinder[[#This Row],[Tinder Opened]]/tinder[[#This Row],[Days on Tinder]],0)</f>
        <v>25.206834532374099</v>
      </c>
      <c r="E180">
        <f>tinder[[#This Row],[Engagement]]/MAX(tinder[Engagement])</f>
        <v>0.12666751021293518</v>
      </c>
      <c r="F18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80">
        <v>177</v>
      </c>
      <c r="H180">
        <f>IFERROR(tinder[[#This Row],[Conversations]]/tinder[[#This Row],[Tinder Opened]],0)</f>
        <v>1.2629325722440243E-2</v>
      </c>
      <c r="I180">
        <f>tinder[[#This Row],[Conversations]]/MAX(tinder[Conversations])</f>
        <v>1.4000949216896061E-2</v>
      </c>
      <c r="J180">
        <f>(tinder[[#This Row],[Norm Engagement]]*2)+(tinder[[#This Row],[Norm Swipes]]*1)+(tinder[[#This Row],[Norm Conversations]]*2)</f>
        <v>0.37086397772754437</v>
      </c>
      <c r="K18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80">
        <v>47</v>
      </c>
      <c r="M180">
        <v>0</v>
      </c>
      <c r="N180">
        <v>190</v>
      </c>
      <c r="O180">
        <v>2846</v>
      </c>
      <c r="P180">
        <v>2512</v>
      </c>
      <c r="Q180">
        <f>tinder[[#This Row],[All Swipes]]/MAX(tinder[All Swipes])</f>
        <v>8.9527058867881856E-2</v>
      </c>
      <c r="R180">
        <f>tinder[[#This Row],[Swipe Right (LIKE)]]+tinder[[#This Row],[Swipe Left (PASS)]]</f>
        <v>75992</v>
      </c>
      <c r="S180">
        <v>33421</v>
      </c>
      <c r="T180">
        <v>42571</v>
      </c>
      <c r="U180" t="s">
        <v>10</v>
      </c>
      <c r="V180" s="1">
        <v>42510</v>
      </c>
      <c r="W180" t="s">
        <v>7</v>
      </c>
      <c r="X180" t="s">
        <v>1295</v>
      </c>
      <c r="Y180" t="s">
        <v>19</v>
      </c>
      <c r="Z180">
        <v>19</v>
      </c>
      <c r="AA18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81" spans="1:27" x14ac:dyDescent="0.3">
      <c r="A181" t="s">
        <v>1056</v>
      </c>
      <c r="B181">
        <v>3098</v>
      </c>
      <c r="C181">
        <v>123</v>
      </c>
      <c r="D181">
        <f>IFERROR(tinder[[#This Row],[Tinder Opened]]/tinder[[#This Row],[Days on Tinder]],0)</f>
        <v>25.1869918699187</v>
      </c>
      <c r="E181">
        <f>tinder[[#This Row],[Engagement]]/MAX(tinder[Engagement])</f>
        <v>0.1265677983413</v>
      </c>
      <c r="F18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81">
        <v>1174</v>
      </c>
      <c r="H181">
        <f>IFERROR(tinder[[#This Row],[Conversations]]/tinder[[#This Row],[Tinder Opened]],0)</f>
        <v>0.37895416397675918</v>
      </c>
      <c r="I181">
        <f>tinder[[#This Row],[Conversations]]/MAX(tinder[Conversations])</f>
        <v>9.286505299794337E-2</v>
      </c>
      <c r="J181">
        <f>(tinder[[#This Row],[Norm Engagement]]*2)+(tinder[[#This Row],[Norm Swipes]]*1)+(tinder[[#This Row],[Norm Conversations]]*2)</f>
        <v>0.46658431307225878</v>
      </c>
      <c r="K18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81">
        <v>231</v>
      </c>
      <c r="M181">
        <v>628</v>
      </c>
      <c r="N181">
        <v>1837</v>
      </c>
      <c r="O181">
        <v>2348</v>
      </c>
      <c r="P181">
        <v>3958</v>
      </c>
      <c r="Q181">
        <f>tinder[[#This Row],[All Swipes]]/MAX(tinder[All Swipes])</f>
        <v>2.771861039377203E-2</v>
      </c>
      <c r="R181">
        <f>tinder[[#This Row],[Swipe Right (LIKE)]]+tinder[[#This Row],[Swipe Left (PASS)]]</f>
        <v>23528</v>
      </c>
      <c r="S181">
        <v>3394</v>
      </c>
      <c r="T181">
        <v>20134</v>
      </c>
      <c r="U181" t="s">
        <v>8</v>
      </c>
      <c r="V181" s="1">
        <v>44169</v>
      </c>
      <c r="W181" t="s">
        <v>12</v>
      </c>
      <c r="X181" t="s">
        <v>1296</v>
      </c>
      <c r="Y181" t="s">
        <v>1057</v>
      </c>
      <c r="Z181">
        <v>20</v>
      </c>
      <c r="AA18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82" spans="1:27" x14ac:dyDescent="0.3">
      <c r="A182" t="s">
        <v>281</v>
      </c>
      <c r="B182">
        <v>26925</v>
      </c>
      <c r="C182">
        <v>1070</v>
      </c>
      <c r="D182">
        <f>IFERROR(tinder[[#This Row],[Tinder Opened]]/tinder[[#This Row],[Days on Tinder]],0)</f>
        <v>25.16355140186916</v>
      </c>
      <c r="E182">
        <f>tinder[[#This Row],[Engagement]]/MAX(tinder[Engagement])</f>
        <v>0.12645000704456866</v>
      </c>
      <c r="F18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82">
        <v>324</v>
      </c>
      <c r="H182">
        <f>IFERROR(tinder[[#This Row],[Conversations]]/tinder[[#This Row],[Tinder Opened]],0)</f>
        <v>1.2033426183844011E-2</v>
      </c>
      <c r="I182">
        <f>tinder[[#This Row],[Conversations]]/MAX(tinder[Conversations])</f>
        <v>2.5628856193640248E-2</v>
      </c>
      <c r="J182">
        <f>(tinder[[#This Row],[Norm Engagement]]*2)+(tinder[[#This Row],[Norm Swipes]]*1)+(tinder[[#This Row],[Norm Conversations]]*2)</f>
        <v>0.48672732931142559</v>
      </c>
      <c r="K18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82">
        <v>156</v>
      </c>
      <c r="M182">
        <v>4</v>
      </c>
      <c r="N182">
        <v>615</v>
      </c>
      <c r="O182">
        <v>2490</v>
      </c>
      <c r="P182">
        <v>2304</v>
      </c>
      <c r="Q182">
        <f>tinder[[#This Row],[All Swipes]]/MAX(tinder[All Swipes])</f>
        <v>0.18256960283500781</v>
      </c>
      <c r="R182">
        <f>tinder[[#This Row],[Swipe Right (LIKE)]]+tinder[[#This Row],[Swipe Left (PASS)]]</f>
        <v>154968</v>
      </c>
      <c r="S182">
        <v>51812</v>
      </c>
      <c r="T182">
        <v>103156</v>
      </c>
      <c r="U182" t="s">
        <v>88</v>
      </c>
      <c r="V182" s="1">
        <v>42133</v>
      </c>
      <c r="W182" t="s">
        <v>7</v>
      </c>
      <c r="X182" t="s">
        <v>1295</v>
      </c>
      <c r="Y182" t="s">
        <v>8</v>
      </c>
      <c r="Z182">
        <v>22</v>
      </c>
      <c r="AA18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83" spans="1:27" x14ac:dyDescent="0.3">
      <c r="A183" t="s">
        <v>368</v>
      </c>
      <c r="B183">
        <v>5290</v>
      </c>
      <c r="C183">
        <v>211</v>
      </c>
      <c r="D183">
        <f>IFERROR(tinder[[#This Row],[Tinder Opened]]/tinder[[#This Row],[Days on Tinder]],0)</f>
        <v>25.071090047393366</v>
      </c>
      <c r="E183">
        <f>tinder[[#This Row],[Engagement]]/MAX(tinder[Engagement])</f>
        <v>0.12598537712257973</v>
      </c>
      <c r="F18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83">
        <v>117</v>
      </c>
      <c r="H183">
        <f>IFERROR(tinder[[#This Row],[Conversations]]/tinder[[#This Row],[Tinder Opened]],0)</f>
        <v>2.2117202268431002E-2</v>
      </c>
      <c r="I183">
        <f>tinder[[#This Row],[Conversations]]/MAX(tinder[Conversations])</f>
        <v>9.2548647365923113E-3</v>
      </c>
      <c r="J183">
        <f>(tinder[[#This Row],[Norm Engagement]]*2)+(tinder[[#This Row],[Norm Swipes]]*1)+(tinder[[#This Row],[Norm Conversations]]*2)</f>
        <v>0.28580300355774391</v>
      </c>
      <c r="K18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83">
        <v>29</v>
      </c>
      <c r="M183">
        <v>2</v>
      </c>
      <c r="N183">
        <v>333</v>
      </c>
      <c r="O183">
        <v>602</v>
      </c>
      <c r="P183">
        <v>638</v>
      </c>
      <c r="Q183">
        <f>tinder[[#This Row],[All Swipes]]/MAX(tinder[All Swipes])</f>
        <v>1.5322519839399824E-2</v>
      </c>
      <c r="R183">
        <f>tinder[[#This Row],[Swipe Right (LIKE)]]+tinder[[#This Row],[Swipe Left (PASS)]]</f>
        <v>13006</v>
      </c>
      <c r="S183">
        <v>6926</v>
      </c>
      <c r="T183">
        <v>6080</v>
      </c>
      <c r="U183" t="s">
        <v>8</v>
      </c>
      <c r="V183" s="1">
        <v>43751</v>
      </c>
      <c r="W183" t="s">
        <v>12</v>
      </c>
      <c r="X183" t="s">
        <v>1295</v>
      </c>
      <c r="Y183" t="s">
        <v>8</v>
      </c>
      <c r="Z183">
        <v>19</v>
      </c>
      <c r="AA18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84" spans="1:27" x14ac:dyDescent="0.3">
      <c r="A184" t="s">
        <v>1225</v>
      </c>
      <c r="B184">
        <v>48622</v>
      </c>
      <c r="C184">
        <v>1943</v>
      </c>
      <c r="D184">
        <f>IFERROR(tinder[[#This Row],[Tinder Opened]]/tinder[[#This Row],[Days on Tinder]],0)</f>
        <v>25.024189397838395</v>
      </c>
      <c r="E184">
        <f>tinder[[#This Row],[Engagement]]/MAX(tinder[Engagement])</f>
        <v>0.12574969546652459</v>
      </c>
      <c r="F18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84">
        <v>5157</v>
      </c>
      <c r="H184">
        <f>IFERROR(tinder[[#This Row],[Conversations]]/tinder[[#This Row],[Tinder Opened]],0)</f>
        <v>0.1060630990086792</v>
      </c>
      <c r="I184">
        <f>tinder[[#This Row],[Conversations]]/MAX(tinder[Conversations])</f>
        <v>0.40792596108210727</v>
      </c>
      <c r="J184">
        <f>(tinder[[#This Row],[Norm Engagement]]*2)+(tinder[[#This Row],[Norm Swipes]]*1)+(tinder[[#This Row],[Norm Conversations]]*2)</f>
        <v>1.5517095250065585</v>
      </c>
      <c r="K18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84">
        <v>1091</v>
      </c>
      <c r="M184">
        <v>331</v>
      </c>
      <c r="N184">
        <v>11211</v>
      </c>
      <c r="O184">
        <v>42633</v>
      </c>
      <c r="P184">
        <v>31347</v>
      </c>
      <c r="Q184">
        <f>tinder[[#This Row],[All Swipes]]/MAX(tinder[All Swipes])</f>
        <v>0.48435821190929484</v>
      </c>
      <c r="R184">
        <f>tinder[[#This Row],[Swipe Right (LIKE)]]+tinder[[#This Row],[Swipe Left (PASS)]]</f>
        <v>411131</v>
      </c>
      <c r="S184">
        <v>380428</v>
      </c>
      <c r="T184">
        <v>30703</v>
      </c>
      <c r="U184" t="s">
        <v>8</v>
      </c>
      <c r="V184" s="1">
        <v>42263</v>
      </c>
      <c r="W184" t="s">
        <v>7</v>
      </c>
      <c r="X184" t="s">
        <v>1295</v>
      </c>
      <c r="Y184" t="s">
        <v>8</v>
      </c>
      <c r="Z184">
        <v>23</v>
      </c>
      <c r="AA18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85" spans="1:27" x14ac:dyDescent="0.3">
      <c r="A185" t="s">
        <v>528</v>
      </c>
      <c r="B185">
        <v>8271</v>
      </c>
      <c r="C185">
        <v>331</v>
      </c>
      <c r="D185">
        <f>IFERROR(tinder[[#This Row],[Tinder Opened]]/tinder[[#This Row],[Days on Tinder]],0)</f>
        <v>24.987915407854985</v>
      </c>
      <c r="E185">
        <f>tinder[[#This Row],[Engagement]]/MAX(tinder[Engagement])</f>
        <v>0.12556741410982405</v>
      </c>
      <c r="F18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85">
        <v>139</v>
      </c>
      <c r="H185">
        <f>IFERROR(tinder[[#This Row],[Conversations]]/tinder[[#This Row],[Tinder Opened]],0)</f>
        <v>1.6805706686011366E-2</v>
      </c>
      <c r="I185">
        <f>tinder[[#This Row],[Conversations]]/MAX(tinder[Conversations])</f>
        <v>1.0995095712703686E-2</v>
      </c>
      <c r="J185">
        <f>(tinder[[#This Row],[Norm Engagement]]*2)+(tinder[[#This Row],[Norm Swipes]]*1)+(tinder[[#This Row],[Norm Conversations]]*2)</f>
        <v>0.36318105063410377</v>
      </c>
      <c r="K18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85">
        <v>41</v>
      </c>
      <c r="M185">
        <v>4</v>
      </c>
      <c r="N185">
        <v>154</v>
      </c>
      <c r="O185">
        <v>1725</v>
      </c>
      <c r="P185">
        <v>1545</v>
      </c>
      <c r="Q185">
        <f>tinder[[#This Row],[All Swipes]]/MAX(tinder[All Swipes])</f>
        <v>9.0056030989048269E-2</v>
      </c>
      <c r="R185">
        <f>tinder[[#This Row],[Swipe Right (LIKE)]]+tinder[[#This Row],[Swipe Left (PASS)]]</f>
        <v>76441</v>
      </c>
      <c r="S185">
        <v>58706</v>
      </c>
      <c r="T185">
        <v>17735</v>
      </c>
      <c r="U185" t="s">
        <v>122</v>
      </c>
      <c r="V185" s="1">
        <v>43638</v>
      </c>
      <c r="W185" t="s">
        <v>12</v>
      </c>
      <c r="X185" t="s">
        <v>1295</v>
      </c>
      <c r="Y185" t="s">
        <v>170</v>
      </c>
      <c r="Z185">
        <v>28</v>
      </c>
      <c r="AA18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86" spans="1:27" x14ac:dyDescent="0.3">
      <c r="A186" t="s">
        <v>55</v>
      </c>
      <c r="B186">
        <v>6352</v>
      </c>
      <c r="C186">
        <v>255</v>
      </c>
      <c r="D186">
        <f>IFERROR(tinder[[#This Row],[Tinder Opened]]/tinder[[#This Row],[Days on Tinder]],0)</f>
        <v>24.909803921568628</v>
      </c>
      <c r="E186">
        <f>tinder[[#This Row],[Engagement]]/MAX(tinder[Engagement])</f>
        <v>0.12517489407823432</v>
      </c>
      <c r="F18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86">
        <v>155</v>
      </c>
      <c r="H186">
        <f>IFERROR(tinder[[#This Row],[Conversations]]/tinder[[#This Row],[Tinder Opened]],0)</f>
        <v>2.4401763224181361E-2</v>
      </c>
      <c r="I186">
        <f>tinder[[#This Row],[Conversations]]/MAX(tinder[Conversations])</f>
        <v>1.2260718240784686E-2</v>
      </c>
      <c r="J186">
        <f>(tinder[[#This Row],[Norm Engagement]]*2)+(tinder[[#This Row],[Norm Swipes]]*1)+(tinder[[#This Row],[Norm Conversations]]*2)</f>
        <v>0.28467075716334383</v>
      </c>
      <c r="K18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86">
        <v>34</v>
      </c>
      <c r="M186">
        <v>40</v>
      </c>
      <c r="N186">
        <v>1382</v>
      </c>
      <c r="O186">
        <v>1281</v>
      </c>
      <c r="P186">
        <v>990</v>
      </c>
      <c r="Q186">
        <f>tinder[[#This Row],[All Swipes]]/MAX(tinder[All Swipes])</f>
        <v>9.7995325253058384E-3</v>
      </c>
      <c r="R186">
        <f>tinder[[#This Row],[Swipe Right (LIKE)]]+tinder[[#This Row],[Swipe Left (PASS)]]</f>
        <v>8318</v>
      </c>
      <c r="S186">
        <v>5049</v>
      </c>
      <c r="T186">
        <v>3269</v>
      </c>
      <c r="U186" t="s">
        <v>8</v>
      </c>
      <c r="V186" s="1">
        <v>43533</v>
      </c>
      <c r="W186" t="s">
        <v>12</v>
      </c>
      <c r="X186" t="s">
        <v>1295</v>
      </c>
      <c r="Y186" t="s">
        <v>8</v>
      </c>
      <c r="Z186">
        <v>20</v>
      </c>
      <c r="AA18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87" spans="1:27" x14ac:dyDescent="0.3">
      <c r="A187" t="s">
        <v>357</v>
      </c>
      <c r="B187">
        <v>6066</v>
      </c>
      <c r="C187">
        <v>244</v>
      </c>
      <c r="D187">
        <f>IFERROR(tinder[[#This Row],[Tinder Opened]]/tinder[[#This Row],[Days on Tinder]],0)</f>
        <v>24.860655737704917</v>
      </c>
      <c r="E187">
        <f>tinder[[#This Row],[Engagement]]/MAX(tinder[Engagement])</f>
        <v>0.12492791827992421</v>
      </c>
      <c r="F18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87">
        <v>263</v>
      </c>
      <c r="H187">
        <f>IFERROR(tinder[[#This Row],[Conversations]]/tinder[[#This Row],[Tinder Opened]],0)</f>
        <v>4.3356412792614575E-2</v>
      </c>
      <c r="I187">
        <f>tinder[[#This Row],[Conversations]]/MAX(tinder[Conversations])</f>
        <v>2.0803670305331434E-2</v>
      </c>
      <c r="J187">
        <f>(tinder[[#This Row],[Norm Engagement]]*2)+(tinder[[#This Row],[Norm Swipes]]*1)+(tinder[[#This Row],[Norm Conversations]]*2)</f>
        <v>0.369867684154357</v>
      </c>
      <c r="K18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87">
        <v>121</v>
      </c>
      <c r="M187">
        <v>3</v>
      </c>
      <c r="N187">
        <v>390</v>
      </c>
      <c r="O187">
        <v>2323</v>
      </c>
      <c r="P187">
        <v>2100</v>
      </c>
      <c r="Q187">
        <f>tinder[[#This Row],[All Swipes]]/MAX(tinder[All Swipes])</f>
        <v>7.840450698384574E-2</v>
      </c>
      <c r="R187">
        <f>tinder[[#This Row],[Swipe Right (LIKE)]]+tinder[[#This Row],[Swipe Left (PASS)]]</f>
        <v>66551</v>
      </c>
      <c r="S187">
        <v>12049</v>
      </c>
      <c r="T187">
        <v>54502</v>
      </c>
      <c r="U187" t="s">
        <v>61</v>
      </c>
      <c r="V187" s="1">
        <v>43465</v>
      </c>
      <c r="W187" t="s">
        <v>12</v>
      </c>
      <c r="X187" t="s">
        <v>1295</v>
      </c>
      <c r="Y187" t="s">
        <v>358</v>
      </c>
      <c r="Z187">
        <v>26</v>
      </c>
      <c r="AA18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88" spans="1:27" x14ac:dyDescent="0.3">
      <c r="A188" t="s">
        <v>581</v>
      </c>
      <c r="B188">
        <v>1142</v>
      </c>
      <c r="C188">
        <v>46</v>
      </c>
      <c r="D188">
        <f>IFERROR(tinder[[#This Row],[Tinder Opened]]/tinder[[#This Row],[Days on Tinder]],0)</f>
        <v>24.826086956521738</v>
      </c>
      <c r="E188">
        <f>tinder[[#This Row],[Engagement]]/MAX(tinder[Engagement])</f>
        <v>0.12475420581166703</v>
      </c>
      <c r="F18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88">
        <v>28</v>
      </c>
      <c r="H188">
        <f>IFERROR(tinder[[#This Row],[Conversations]]/tinder[[#This Row],[Tinder Opened]],0)</f>
        <v>2.4518388791593695E-2</v>
      </c>
      <c r="I188">
        <f>tinder[[#This Row],[Conversations]]/MAX(tinder[Conversations])</f>
        <v>2.2148394241417496E-3</v>
      </c>
      <c r="J188">
        <f>(tinder[[#This Row],[Norm Engagement]]*2)+(tinder[[#This Row],[Norm Swipes]]*1)+(tinder[[#This Row],[Norm Conversations]]*2)</f>
        <v>0.26795408451508518</v>
      </c>
      <c r="K18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88">
        <v>9</v>
      </c>
      <c r="M188">
        <v>0</v>
      </c>
      <c r="N188">
        <v>35</v>
      </c>
      <c r="O188">
        <v>2193</v>
      </c>
      <c r="P188">
        <v>2325</v>
      </c>
      <c r="Q188">
        <f>tinder[[#This Row],[All Swipes]]/MAX(tinder[All Swipes])</f>
        <v>1.4015994043467607E-2</v>
      </c>
      <c r="R188">
        <f>tinder[[#This Row],[Swipe Right (LIKE)]]+tinder[[#This Row],[Swipe Left (PASS)]]</f>
        <v>11897</v>
      </c>
      <c r="S188">
        <v>4619</v>
      </c>
      <c r="T188">
        <v>7278</v>
      </c>
      <c r="U188" t="s">
        <v>8</v>
      </c>
      <c r="V188" s="1">
        <v>44232</v>
      </c>
      <c r="W188" t="s">
        <v>12</v>
      </c>
      <c r="X188" t="s">
        <v>1295</v>
      </c>
      <c r="Y188" t="s">
        <v>8</v>
      </c>
      <c r="Z188">
        <v>27</v>
      </c>
      <c r="AA18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89" spans="1:27" x14ac:dyDescent="0.3">
      <c r="A189" t="s">
        <v>267</v>
      </c>
      <c r="B189">
        <v>867</v>
      </c>
      <c r="C189">
        <v>35</v>
      </c>
      <c r="D189">
        <f>IFERROR(tinder[[#This Row],[Tinder Opened]]/tinder[[#This Row],[Days on Tinder]],0)</f>
        <v>24.771428571428572</v>
      </c>
      <c r="E189">
        <f>tinder[[#This Row],[Engagement]]/MAX(tinder[Engagement])</f>
        <v>0.12447954055994258</v>
      </c>
      <c r="F18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89">
        <v>21</v>
      </c>
      <c r="H189">
        <f>IFERROR(tinder[[#This Row],[Conversations]]/tinder[[#This Row],[Tinder Opened]],0)</f>
        <v>2.4221453287197232E-2</v>
      </c>
      <c r="I189">
        <f>tinder[[#This Row],[Conversations]]/MAX(tinder[Conversations])</f>
        <v>1.6611295681063123E-3</v>
      </c>
      <c r="J189">
        <f>(tinder[[#This Row],[Norm Engagement]]*2)+(tinder[[#This Row],[Norm Swipes]]*1)+(tinder[[#This Row],[Norm Conversations]]*2)</f>
        <v>0.27763901494649007</v>
      </c>
      <c r="K18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89">
        <v>2</v>
      </c>
      <c r="M189">
        <v>0</v>
      </c>
      <c r="N189">
        <v>25</v>
      </c>
      <c r="O189">
        <v>334</v>
      </c>
      <c r="P189">
        <v>300</v>
      </c>
      <c r="Q189">
        <f>tinder[[#This Row],[All Swipes]]/MAX(tinder[All Swipes])</f>
        <v>2.5357674690392264E-2</v>
      </c>
      <c r="R189">
        <f>tinder[[#This Row],[Swipe Right (LIKE)]]+tinder[[#This Row],[Swipe Left (PASS)]]</f>
        <v>21524</v>
      </c>
      <c r="S189">
        <v>1063</v>
      </c>
      <c r="T189">
        <v>20461</v>
      </c>
      <c r="U189" t="s">
        <v>14</v>
      </c>
      <c r="V189" s="1">
        <v>44138</v>
      </c>
      <c r="W189" t="s">
        <v>12</v>
      </c>
      <c r="X189" t="s">
        <v>1295</v>
      </c>
      <c r="Y189" t="s">
        <v>8</v>
      </c>
      <c r="Z189">
        <v>29</v>
      </c>
      <c r="AA18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90" spans="1:27" x14ac:dyDescent="0.3">
      <c r="A190" t="s">
        <v>99</v>
      </c>
      <c r="B190">
        <v>4455</v>
      </c>
      <c r="C190">
        <v>180</v>
      </c>
      <c r="D190">
        <f>IFERROR(tinder[[#This Row],[Tinder Opened]]/tinder[[#This Row],[Days on Tinder]],0)</f>
        <v>24.75</v>
      </c>
      <c r="E190">
        <f>tinder[[#This Row],[Engagement]]/MAX(tinder[Engagement])</f>
        <v>0.12437185929648241</v>
      </c>
      <c r="F19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90">
        <v>72</v>
      </c>
      <c r="H190">
        <f>IFERROR(tinder[[#This Row],[Conversations]]/tinder[[#This Row],[Tinder Opened]],0)</f>
        <v>1.6161616161616162E-2</v>
      </c>
      <c r="I190">
        <f>tinder[[#This Row],[Conversations]]/MAX(tinder[Conversations])</f>
        <v>5.6953013763644993E-3</v>
      </c>
      <c r="J190">
        <f>(tinder[[#This Row],[Norm Engagement]]*2)+(tinder[[#This Row],[Norm Swipes]]*1)+(tinder[[#This Row],[Norm Conversations]]*2)</f>
        <v>0.32948621857666027</v>
      </c>
      <c r="K19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90">
        <v>7</v>
      </c>
      <c r="M190">
        <v>3</v>
      </c>
      <c r="N190">
        <v>146</v>
      </c>
      <c r="O190">
        <v>2242</v>
      </c>
      <c r="P190">
        <v>2576</v>
      </c>
      <c r="Q190">
        <f>tinder[[#This Row],[All Swipes]]/MAX(tinder[All Swipes])</f>
        <v>6.9351897230966422E-2</v>
      </c>
      <c r="R190">
        <f>tinder[[#This Row],[Swipe Right (LIKE)]]+tinder[[#This Row],[Swipe Left (PASS)]]</f>
        <v>58867</v>
      </c>
      <c r="S190">
        <v>212</v>
      </c>
      <c r="T190">
        <v>58655</v>
      </c>
      <c r="U190" t="s">
        <v>8</v>
      </c>
      <c r="V190" s="1">
        <v>43581</v>
      </c>
      <c r="W190" t="s">
        <v>12</v>
      </c>
      <c r="X190" t="s">
        <v>1296</v>
      </c>
      <c r="Y190" t="s">
        <v>100</v>
      </c>
      <c r="Z190">
        <v>23</v>
      </c>
      <c r="AA19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91" spans="1:27" x14ac:dyDescent="0.3">
      <c r="A191" t="s">
        <v>532</v>
      </c>
      <c r="B191">
        <v>3647</v>
      </c>
      <c r="C191">
        <v>148</v>
      </c>
      <c r="D191">
        <f>IFERROR(tinder[[#This Row],[Tinder Opened]]/tinder[[#This Row],[Days on Tinder]],0)</f>
        <v>24.641891891891891</v>
      </c>
      <c r="E191">
        <f>tinder[[#This Row],[Engagement]]/MAX(tinder[Engagement])</f>
        <v>0.12382860247181855</v>
      </c>
      <c r="F19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91">
        <v>75</v>
      </c>
      <c r="H191">
        <f>IFERROR(tinder[[#This Row],[Conversations]]/tinder[[#This Row],[Tinder Opened]],0)</f>
        <v>2.0564847820126131E-2</v>
      </c>
      <c r="I191">
        <f>tinder[[#This Row],[Conversations]]/MAX(tinder[Conversations])</f>
        <v>5.9326056003796866E-3</v>
      </c>
      <c r="J191">
        <f>(tinder[[#This Row],[Norm Engagement]]*2)+(tinder[[#This Row],[Norm Swipes]]*1)+(tinder[[#This Row],[Norm Conversations]]*2)</f>
        <v>0.28921554162742225</v>
      </c>
      <c r="K19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91">
        <v>29</v>
      </c>
      <c r="M191">
        <v>1</v>
      </c>
      <c r="N191">
        <v>108</v>
      </c>
      <c r="O191">
        <v>558</v>
      </c>
      <c r="P191">
        <v>357</v>
      </c>
      <c r="Q191">
        <f>tinder[[#This Row],[All Swipes]]/MAX(tinder[All Swipes])</f>
        <v>2.9693125483025766E-2</v>
      </c>
      <c r="R191">
        <f>tinder[[#This Row],[Swipe Right (LIKE)]]+tinder[[#This Row],[Swipe Left (PASS)]]</f>
        <v>25204</v>
      </c>
      <c r="S191">
        <v>5433</v>
      </c>
      <c r="T191">
        <v>19771</v>
      </c>
      <c r="U191" t="s">
        <v>197</v>
      </c>
      <c r="V191" s="1">
        <v>43896</v>
      </c>
      <c r="W191" t="s">
        <v>12</v>
      </c>
      <c r="X191" t="s">
        <v>1295</v>
      </c>
      <c r="Y191" t="s">
        <v>8</v>
      </c>
      <c r="Z191">
        <v>22</v>
      </c>
      <c r="AA19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92" spans="1:27" x14ac:dyDescent="0.3">
      <c r="A192" t="s">
        <v>850</v>
      </c>
      <c r="B192">
        <v>3397</v>
      </c>
      <c r="C192">
        <v>138</v>
      </c>
      <c r="D192">
        <f>IFERROR(tinder[[#This Row],[Tinder Opened]]/tinder[[#This Row],[Days on Tinder]],0)</f>
        <v>24.615942028985508</v>
      </c>
      <c r="E192">
        <f>tinder[[#This Row],[Engagement]]/MAX(tinder[Engagement])</f>
        <v>0.12369820115068095</v>
      </c>
      <c r="F19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92">
        <v>395</v>
      </c>
      <c r="H192">
        <f>IFERROR(tinder[[#This Row],[Conversations]]/tinder[[#This Row],[Tinder Opened]],0)</f>
        <v>0.11627906976744186</v>
      </c>
      <c r="I192">
        <f>tinder[[#This Row],[Conversations]]/MAX(tinder[Conversations])</f>
        <v>3.1245056161999685E-2</v>
      </c>
      <c r="J192">
        <f>(tinder[[#This Row],[Norm Engagement]]*2)+(tinder[[#This Row],[Norm Swipes]]*1)+(tinder[[#This Row],[Norm Conversations]]*2)</f>
        <v>0.33651772798608964</v>
      </c>
      <c r="K19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92">
        <v>165</v>
      </c>
      <c r="M192">
        <v>1</v>
      </c>
      <c r="N192">
        <v>144</v>
      </c>
      <c r="O192">
        <v>3543</v>
      </c>
      <c r="P192">
        <v>3167</v>
      </c>
      <c r="Q192">
        <f>tinder[[#This Row],[All Swipes]]/MAX(tinder[All Swipes])</f>
        <v>2.6631213360728354E-2</v>
      </c>
      <c r="R192">
        <f>tinder[[#This Row],[Swipe Right (LIKE)]]+tinder[[#This Row],[Swipe Left (PASS)]]</f>
        <v>22605</v>
      </c>
      <c r="S192">
        <v>8559</v>
      </c>
      <c r="T192">
        <v>14046</v>
      </c>
      <c r="U192" t="s">
        <v>10</v>
      </c>
      <c r="V192" s="1">
        <v>43483</v>
      </c>
      <c r="W192" t="s">
        <v>12</v>
      </c>
      <c r="X192" t="s">
        <v>1295</v>
      </c>
      <c r="Y192" t="s">
        <v>8</v>
      </c>
      <c r="Z192">
        <v>20</v>
      </c>
      <c r="AA19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93" spans="1:27" x14ac:dyDescent="0.3">
      <c r="A193" t="s">
        <v>414</v>
      </c>
      <c r="B193">
        <v>9964</v>
      </c>
      <c r="C193">
        <v>405</v>
      </c>
      <c r="D193">
        <f>IFERROR(tinder[[#This Row],[Tinder Opened]]/tinder[[#This Row],[Days on Tinder]],0)</f>
        <v>24.602469135802469</v>
      </c>
      <c r="E193">
        <f>tinder[[#This Row],[Engagement]]/MAX(tinder[Engagement])</f>
        <v>0.12363049816986166</v>
      </c>
      <c r="F19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93">
        <v>624</v>
      </c>
      <c r="H193">
        <f>IFERROR(tinder[[#This Row],[Conversations]]/tinder[[#This Row],[Tinder Opened]],0)</f>
        <v>6.2625451625853076E-2</v>
      </c>
      <c r="I193">
        <f>tinder[[#This Row],[Conversations]]/MAX(tinder[Conversations])</f>
        <v>4.9359278595158991E-2</v>
      </c>
      <c r="J193">
        <f>(tinder[[#This Row],[Norm Engagement]]*2)+(tinder[[#This Row],[Norm Swipes]]*1)+(tinder[[#This Row],[Norm Conversations]]*2)</f>
        <v>0.45276830397772372</v>
      </c>
      <c r="K19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93">
        <v>142</v>
      </c>
      <c r="M193">
        <v>0</v>
      </c>
      <c r="N193">
        <v>667</v>
      </c>
      <c r="O193">
        <v>20175</v>
      </c>
      <c r="P193">
        <v>14358</v>
      </c>
      <c r="Q193">
        <f>tinder[[#This Row],[All Swipes]]/MAX(tinder[All Swipes])</f>
        <v>0.10678875044768242</v>
      </c>
      <c r="R193">
        <f>tinder[[#This Row],[Swipe Right (LIKE)]]+tinder[[#This Row],[Swipe Left (PASS)]]</f>
        <v>90644</v>
      </c>
      <c r="S193">
        <v>34347</v>
      </c>
      <c r="T193">
        <v>56297</v>
      </c>
      <c r="U193" t="s">
        <v>10</v>
      </c>
      <c r="V193" s="1">
        <v>43072</v>
      </c>
      <c r="W193" t="s">
        <v>12</v>
      </c>
      <c r="X193" t="s">
        <v>1295</v>
      </c>
      <c r="Y193" t="s">
        <v>8</v>
      </c>
      <c r="Z193">
        <v>19</v>
      </c>
      <c r="AA19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94" spans="1:27" x14ac:dyDescent="0.3">
      <c r="A194" t="s">
        <v>598</v>
      </c>
      <c r="B194">
        <v>21370</v>
      </c>
      <c r="C194">
        <v>875</v>
      </c>
      <c r="D194">
        <f>IFERROR(tinder[[#This Row],[Tinder Opened]]/tinder[[#This Row],[Days on Tinder]],0)</f>
        <v>24.422857142857143</v>
      </c>
      <c r="E194">
        <f>tinder[[#This Row],[Engagement]]/MAX(tinder[Engagement])</f>
        <v>0.12272792534099067</v>
      </c>
      <c r="F19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94">
        <v>1612</v>
      </c>
      <c r="H194">
        <f>IFERROR(tinder[[#This Row],[Conversations]]/tinder[[#This Row],[Tinder Opened]],0)</f>
        <v>7.5432849789424425E-2</v>
      </c>
      <c r="I194">
        <f>tinder[[#This Row],[Conversations]]/MAX(tinder[Conversations])</f>
        <v>0.12751146970416075</v>
      </c>
      <c r="J194">
        <f>(tinder[[#This Row],[Norm Engagement]]*2)+(tinder[[#This Row],[Norm Swipes]]*1)+(tinder[[#This Row],[Norm Conversations]]*2)</f>
        <v>0.62803411421237398</v>
      </c>
      <c r="K19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94">
        <v>75</v>
      </c>
      <c r="M194">
        <v>15</v>
      </c>
      <c r="N194">
        <v>1808</v>
      </c>
      <c r="O194">
        <v>23767</v>
      </c>
      <c r="P194">
        <v>17898</v>
      </c>
      <c r="Q194">
        <f>tinder[[#This Row],[All Swipes]]/MAX(tinder[All Swipes])</f>
        <v>0.12755532412207121</v>
      </c>
      <c r="R194">
        <f>tinder[[#This Row],[Swipe Right (LIKE)]]+tinder[[#This Row],[Swipe Left (PASS)]]</f>
        <v>108271</v>
      </c>
      <c r="S194">
        <v>105794</v>
      </c>
      <c r="T194">
        <v>2477</v>
      </c>
      <c r="U194" t="s">
        <v>147</v>
      </c>
      <c r="V194" s="1">
        <v>43191</v>
      </c>
      <c r="W194" t="s">
        <v>12</v>
      </c>
      <c r="X194" t="s">
        <v>1295</v>
      </c>
      <c r="Y194" t="s">
        <v>599</v>
      </c>
      <c r="Z194">
        <v>23</v>
      </c>
      <c r="AA19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95" spans="1:27" x14ac:dyDescent="0.3">
      <c r="A195" t="s">
        <v>863</v>
      </c>
      <c r="B195">
        <v>609</v>
      </c>
      <c r="C195">
        <v>25</v>
      </c>
      <c r="D195">
        <f>IFERROR(tinder[[#This Row],[Tinder Opened]]/tinder[[#This Row],[Days on Tinder]],0)</f>
        <v>24.36</v>
      </c>
      <c r="E195">
        <f>tinder[[#This Row],[Engagement]]/MAX(tinder[Engagement])</f>
        <v>0.12241206030150753</v>
      </c>
      <c r="F19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95">
        <v>138</v>
      </c>
      <c r="H195">
        <f>IFERROR(tinder[[#This Row],[Conversations]]/tinder[[#This Row],[Tinder Opened]],0)</f>
        <v>0.22660098522167488</v>
      </c>
      <c r="I195">
        <f>tinder[[#This Row],[Conversations]]/MAX(tinder[Conversations])</f>
        <v>1.0915994304698624E-2</v>
      </c>
      <c r="J195">
        <f>(tinder[[#This Row],[Norm Engagement]]*2)+(tinder[[#This Row],[Norm Swipes]]*1)+(tinder[[#This Row],[Norm Conversations]]*2)</f>
        <v>0.27734158168229978</v>
      </c>
      <c r="K19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95">
        <v>36</v>
      </c>
      <c r="M195">
        <v>0</v>
      </c>
      <c r="N195">
        <v>27</v>
      </c>
      <c r="O195">
        <v>1357</v>
      </c>
      <c r="P195">
        <v>1007</v>
      </c>
      <c r="Q195">
        <f>tinder[[#This Row],[All Swipes]]/MAX(tinder[All Swipes])</f>
        <v>1.0685472469887467E-2</v>
      </c>
      <c r="R195">
        <f>tinder[[#This Row],[Swipe Right (LIKE)]]+tinder[[#This Row],[Swipe Left (PASS)]]</f>
        <v>9070</v>
      </c>
      <c r="S195">
        <v>1501</v>
      </c>
      <c r="T195">
        <v>7569</v>
      </c>
      <c r="U195" t="s">
        <v>10</v>
      </c>
      <c r="V195" s="1">
        <v>44275</v>
      </c>
      <c r="W195" t="s">
        <v>12</v>
      </c>
      <c r="X195" t="s">
        <v>1295</v>
      </c>
      <c r="Y195" t="s">
        <v>864</v>
      </c>
      <c r="Z195">
        <v>24</v>
      </c>
      <c r="AA19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96" spans="1:27" x14ac:dyDescent="0.3">
      <c r="A196" t="s">
        <v>30</v>
      </c>
      <c r="B196">
        <v>1266</v>
      </c>
      <c r="C196">
        <v>52</v>
      </c>
      <c r="D196">
        <f>IFERROR(tinder[[#This Row],[Tinder Opened]]/tinder[[#This Row],[Days on Tinder]],0)</f>
        <v>24.346153846153847</v>
      </c>
      <c r="E196">
        <f>tinder[[#This Row],[Engagement]]/MAX(tinder[Engagement])</f>
        <v>0.12234248163896405</v>
      </c>
      <c r="F19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96">
        <v>23</v>
      </c>
      <c r="H196">
        <f>IFERROR(tinder[[#This Row],[Conversations]]/tinder[[#This Row],[Tinder Opened]],0)</f>
        <v>1.8167456556082148E-2</v>
      </c>
      <c r="I196">
        <f>tinder[[#This Row],[Conversations]]/MAX(tinder[Conversations])</f>
        <v>1.8193323841164373E-3</v>
      </c>
      <c r="J196">
        <f>(tinder[[#This Row],[Norm Engagement]]*2)+(tinder[[#This Row],[Norm Swipes]]*1)+(tinder[[#This Row],[Norm Conversations]]*2)</f>
        <v>0.28886833973868326</v>
      </c>
      <c r="K19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96">
        <v>3</v>
      </c>
      <c r="M196">
        <v>2</v>
      </c>
      <c r="N196">
        <v>97</v>
      </c>
      <c r="O196">
        <v>376</v>
      </c>
      <c r="P196">
        <v>409</v>
      </c>
      <c r="Q196">
        <f>tinder[[#This Row],[All Swipes]]/MAX(tinder[All Swipes])</f>
        <v>4.0544711692522287E-2</v>
      </c>
      <c r="R196">
        <f>tinder[[#This Row],[Swipe Right (LIKE)]]+tinder[[#This Row],[Swipe Left (PASS)]]</f>
        <v>34415</v>
      </c>
      <c r="S196">
        <v>1395</v>
      </c>
      <c r="T196">
        <v>33020</v>
      </c>
      <c r="U196" t="s">
        <v>8</v>
      </c>
      <c r="V196" s="1">
        <v>43921</v>
      </c>
      <c r="W196" t="s">
        <v>12</v>
      </c>
      <c r="X196" t="s">
        <v>1295</v>
      </c>
      <c r="Y196" t="s">
        <v>8</v>
      </c>
      <c r="Z196">
        <v>18</v>
      </c>
      <c r="AA19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97" spans="1:27" x14ac:dyDescent="0.3">
      <c r="A197" t="s">
        <v>935</v>
      </c>
      <c r="B197">
        <v>1898</v>
      </c>
      <c r="C197">
        <v>78</v>
      </c>
      <c r="D197">
        <f>IFERROR(tinder[[#This Row],[Tinder Opened]]/tinder[[#This Row],[Days on Tinder]],0)</f>
        <v>24.333333333333332</v>
      </c>
      <c r="E197">
        <f>tinder[[#This Row],[Engagement]]/MAX(tinder[Engagement])</f>
        <v>0.12227805695142378</v>
      </c>
      <c r="F19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97">
        <v>141</v>
      </c>
      <c r="H197">
        <f>IFERROR(tinder[[#This Row],[Conversations]]/tinder[[#This Row],[Tinder Opened]],0)</f>
        <v>7.4288724973656475E-2</v>
      </c>
      <c r="I197">
        <f>tinder[[#This Row],[Conversations]]/MAX(tinder[Conversations])</f>
        <v>1.1153298528713811E-2</v>
      </c>
      <c r="J197">
        <f>(tinder[[#This Row],[Norm Engagement]]*2)+(tinder[[#This Row],[Norm Swipes]]*1)+(tinder[[#This Row],[Norm Conversations]]*2)</f>
        <v>0.27792989159777493</v>
      </c>
      <c r="K19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97">
        <v>34</v>
      </c>
      <c r="M197">
        <v>34</v>
      </c>
      <c r="N197">
        <v>145</v>
      </c>
      <c r="O197">
        <v>747</v>
      </c>
      <c r="P197">
        <v>809</v>
      </c>
      <c r="Q197">
        <f>tinder[[#This Row],[All Swipes]]/MAX(tinder[All Swipes])</f>
        <v>1.1067180637499764E-2</v>
      </c>
      <c r="R197">
        <f>tinder[[#This Row],[Swipe Right (LIKE)]]+tinder[[#This Row],[Swipe Left (PASS)]]</f>
        <v>9394</v>
      </c>
      <c r="S197">
        <v>1333</v>
      </c>
      <c r="T197">
        <v>8061</v>
      </c>
      <c r="U197" t="s">
        <v>8</v>
      </c>
      <c r="V197" s="1">
        <v>44221</v>
      </c>
      <c r="W197" t="s">
        <v>12</v>
      </c>
      <c r="X197" t="s">
        <v>1295</v>
      </c>
      <c r="Y197" t="s">
        <v>936</v>
      </c>
      <c r="Z197">
        <v>20</v>
      </c>
      <c r="AA19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198" spans="1:27" x14ac:dyDescent="0.3">
      <c r="A198" t="s">
        <v>455</v>
      </c>
      <c r="B198">
        <v>32708</v>
      </c>
      <c r="C198">
        <v>1345</v>
      </c>
      <c r="D198">
        <f>IFERROR(tinder[[#This Row],[Tinder Opened]]/tinder[[#This Row],[Days on Tinder]],0)</f>
        <v>24.3182156133829</v>
      </c>
      <c r="E198">
        <f>tinder[[#This Row],[Engagement]]/MAX(tinder[Engagement])</f>
        <v>0.12220208850946181</v>
      </c>
      <c r="F19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98">
        <v>613</v>
      </c>
      <c r="H198">
        <f>IFERROR(tinder[[#This Row],[Conversations]]/tinder[[#This Row],[Tinder Opened]],0)</f>
        <v>1.8741592271004037E-2</v>
      </c>
      <c r="I198">
        <f>tinder[[#This Row],[Conversations]]/MAX(tinder[Conversations])</f>
        <v>4.8489163107103307E-2</v>
      </c>
      <c r="J198">
        <f>(tinder[[#This Row],[Norm Engagement]]*2)+(tinder[[#This Row],[Norm Swipes]]*1)+(tinder[[#This Row],[Norm Conversations]]*2)</f>
        <v>1.0414164328480291</v>
      </c>
      <c r="K19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198">
        <v>247</v>
      </c>
      <c r="M198">
        <v>3</v>
      </c>
      <c r="N198">
        <v>829</v>
      </c>
      <c r="O198">
        <v>2735</v>
      </c>
      <c r="P198">
        <v>2289</v>
      </c>
      <c r="Q198">
        <f>tinder[[#This Row],[All Swipes]]/MAX(tinder[All Swipes])</f>
        <v>0.70003392961489885</v>
      </c>
      <c r="R198">
        <f>tinder[[#This Row],[Swipe Right (LIKE)]]+tinder[[#This Row],[Swipe Left (PASS)]]</f>
        <v>594200</v>
      </c>
      <c r="S198">
        <v>43547</v>
      </c>
      <c r="T198">
        <v>550653</v>
      </c>
      <c r="U198" t="s">
        <v>8</v>
      </c>
      <c r="V198" s="1">
        <v>42556</v>
      </c>
      <c r="W198" t="s">
        <v>7</v>
      </c>
      <c r="X198" t="s">
        <v>1295</v>
      </c>
      <c r="Y198" t="s">
        <v>456</v>
      </c>
      <c r="Z198">
        <v>24</v>
      </c>
      <c r="AA19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199" spans="1:27" x14ac:dyDescent="0.3">
      <c r="A199" t="s">
        <v>360</v>
      </c>
      <c r="B199">
        <v>5240</v>
      </c>
      <c r="C199">
        <v>216</v>
      </c>
      <c r="D199">
        <f>IFERROR(tinder[[#This Row],[Tinder Opened]]/tinder[[#This Row],[Days on Tinder]],0)</f>
        <v>24.25925925925926</v>
      </c>
      <c r="E199">
        <f>tinder[[#This Row],[Engagement]]/MAX(tinder[Engagement])</f>
        <v>0.12190582542341337</v>
      </c>
      <c r="F19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199">
        <v>96</v>
      </c>
      <c r="H199">
        <f>IFERROR(tinder[[#This Row],[Conversations]]/tinder[[#This Row],[Tinder Opened]],0)</f>
        <v>1.8320610687022901E-2</v>
      </c>
      <c r="I199">
        <f>tinder[[#This Row],[Conversations]]/MAX(tinder[Conversations])</f>
        <v>7.5937351684859994E-3</v>
      </c>
      <c r="J199">
        <f>(tinder[[#This Row],[Norm Engagement]]*2)+(tinder[[#This Row],[Norm Swipes]]*1)+(tinder[[#This Row],[Norm Conversations]]*2)</f>
        <v>0.33392819886376707</v>
      </c>
      <c r="K19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199">
        <v>19</v>
      </c>
      <c r="M199">
        <v>0</v>
      </c>
      <c r="N199">
        <v>105</v>
      </c>
      <c r="O199">
        <v>1263</v>
      </c>
      <c r="P199">
        <v>991</v>
      </c>
      <c r="Q199">
        <f>tinder[[#This Row],[All Swipes]]/MAX(tinder[All Swipes])</f>
        <v>7.4929077679968328E-2</v>
      </c>
      <c r="R199">
        <f>tinder[[#This Row],[Swipe Right (LIKE)]]+tinder[[#This Row],[Swipe Left (PASS)]]</f>
        <v>63601</v>
      </c>
      <c r="S199">
        <v>6047</v>
      </c>
      <c r="T199">
        <v>57554</v>
      </c>
      <c r="U199" t="s">
        <v>65</v>
      </c>
      <c r="V199" s="1">
        <v>44002</v>
      </c>
      <c r="W199" t="s">
        <v>12</v>
      </c>
      <c r="X199" t="s">
        <v>1295</v>
      </c>
      <c r="Y199" t="s">
        <v>8</v>
      </c>
      <c r="Z199">
        <v>25</v>
      </c>
      <c r="AA19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00" spans="1:27" x14ac:dyDescent="0.3">
      <c r="A200" t="s">
        <v>211</v>
      </c>
      <c r="B200">
        <v>3711</v>
      </c>
      <c r="C200">
        <v>153</v>
      </c>
      <c r="D200">
        <f>IFERROR(tinder[[#This Row],[Tinder Opened]]/tinder[[#This Row],[Days on Tinder]],0)</f>
        <v>24.254901960784313</v>
      </c>
      <c r="E200">
        <f>tinder[[#This Row],[Engagement]]/MAX(tinder[Engagement])</f>
        <v>0.12188392945117744</v>
      </c>
      <c r="F20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00">
        <v>74</v>
      </c>
      <c r="H200">
        <f>IFERROR(tinder[[#This Row],[Conversations]]/tinder[[#This Row],[Tinder Opened]],0)</f>
        <v>1.9940716787927783E-2</v>
      </c>
      <c r="I200">
        <f>tinder[[#This Row],[Conversations]]/MAX(tinder[Conversations])</f>
        <v>5.8535041923746239E-3</v>
      </c>
      <c r="J200">
        <f>(tinder[[#This Row],[Norm Engagement]]*2)+(tinder[[#This Row],[Norm Swipes]]*1)+(tinder[[#This Row],[Norm Conversations]]*2)</f>
        <v>0.26794635698569608</v>
      </c>
      <c r="K20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00">
        <v>20</v>
      </c>
      <c r="M200">
        <v>2</v>
      </c>
      <c r="N200">
        <v>237</v>
      </c>
      <c r="O200">
        <v>440</v>
      </c>
      <c r="P200">
        <v>469</v>
      </c>
      <c r="Q200">
        <f>tinder[[#This Row],[All Swipes]]/MAX(tinder[All Swipes])</f>
        <v>1.2471489698591921E-2</v>
      </c>
      <c r="R200">
        <f>tinder[[#This Row],[Swipe Right (LIKE)]]+tinder[[#This Row],[Swipe Left (PASS)]]</f>
        <v>10586</v>
      </c>
      <c r="S200">
        <v>5543</v>
      </c>
      <c r="T200">
        <v>5043</v>
      </c>
      <c r="U200" t="s">
        <v>8</v>
      </c>
      <c r="V200" s="1">
        <v>43751</v>
      </c>
      <c r="W200" t="s">
        <v>12</v>
      </c>
      <c r="X200" t="s">
        <v>1295</v>
      </c>
      <c r="Y200" t="s">
        <v>8</v>
      </c>
      <c r="Z200">
        <v>19</v>
      </c>
      <c r="AA20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01" spans="1:27" x14ac:dyDescent="0.3">
      <c r="A201" t="s">
        <v>793</v>
      </c>
      <c r="B201">
        <v>10167</v>
      </c>
      <c r="C201">
        <v>420</v>
      </c>
      <c r="D201">
        <f>IFERROR(tinder[[#This Row],[Tinder Opened]]/tinder[[#This Row],[Days on Tinder]],0)</f>
        <v>24.207142857142856</v>
      </c>
      <c r="E201">
        <f>tinder[[#This Row],[Engagement]]/MAX(tinder[Engagement])</f>
        <v>0.12164393395549174</v>
      </c>
      <c r="F20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01">
        <v>1420</v>
      </c>
      <c r="H201">
        <f>IFERROR(tinder[[#This Row],[Conversations]]/tinder[[#This Row],[Tinder Opened]],0)</f>
        <v>0.13966755188354479</v>
      </c>
      <c r="I201">
        <f>tinder[[#This Row],[Conversations]]/MAX(tinder[Conversations])</f>
        <v>0.11232399936718873</v>
      </c>
      <c r="J201">
        <f>(tinder[[#This Row],[Norm Engagement]]*2)+(tinder[[#This Row],[Norm Swipes]]*1)+(tinder[[#This Row],[Norm Conversations]]*2)</f>
        <v>0.50114565533925926</v>
      </c>
      <c r="K20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01">
        <v>339</v>
      </c>
      <c r="M201">
        <v>200</v>
      </c>
      <c r="N201">
        <v>3610</v>
      </c>
      <c r="O201">
        <v>16467</v>
      </c>
      <c r="P201">
        <v>11306</v>
      </c>
      <c r="Q201">
        <f>tinder[[#This Row],[All Swipes]]/MAX(tinder[All Swipes])</f>
        <v>3.3209788693898325E-2</v>
      </c>
      <c r="R201">
        <f>tinder[[#This Row],[Swipe Right (LIKE)]]+tinder[[#This Row],[Swipe Left (PASS)]]</f>
        <v>28189</v>
      </c>
      <c r="S201">
        <v>12218</v>
      </c>
      <c r="T201">
        <v>15971</v>
      </c>
      <c r="U201" t="s">
        <v>8</v>
      </c>
      <c r="V201" s="1">
        <v>43390</v>
      </c>
      <c r="W201" t="s">
        <v>12</v>
      </c>
      <c r="X201" t="s">
        <v>1295</v>
      </c>
      <c r="Y201" t="s">
        <v>8</v>
      </c>
      <c r="Z201">
        <v>18</v>
      </c>
      <c r="AA20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02" spans="1:27" x14ac:dyDescent="0.3">
      <c r="A202" t="s">
        <v>257</v>
      </c>
      <c r="B202">
        <v>24</v>
      </c>
      <c r="C202">
        <v>1</v>
      </c>
      <c r="D202">
        <f>IFERROR(tinder[[#This Row],[Tinder Opened]]/tinder[[#This Row],[Days on Tinder]],0)</f>
        <v>24</v>
      </c>
      <c r="E202">
        <f>tinder[[#This Row],[Engagement]]/MAX(tinder[Engagement])</f>
        <v>0.12060301507537688</v>
      </c>
      <c r="F20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02">
        <v>0</v>
      </c>
      <c r="H202">
        <f>IFERROR(tinder[[#This Row],[Conversations]]/tinder[[#This Row],[Tinder Opened]],0)</f>
        <v>0</v>
      </c>
      <c r="I202">
        <f>tinder[[#This Row],[Conversations]]/MAX(tinder[Conversations])</f>
        <v>0</v>
      </c>
      <c r="J202">
        <f>(tinder[[#This Row],[Norm Engagement]]*2)+(tinder[[#This Row],[Norm Swipes]]*1)+(tinder[[#This Row],[Norm Conversations]]*2)</f>
        <v>0.24120603015075376</v>
      </c>
      <c r="K20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02">
        <v>0</v>
      </c>
      <c r="M202">
        <v>0</v>
      </c>
      <c r="N202">
        <v>0</v>
      </c>
      <c r="O202">
        <v>0</v>
      </c>
      <c r="P202">
        <v>0</v>
      </c>
      <c r="Q202">
        <f>tinder[[#This Row],[All Swipes]]/MAX(tinder[All Swipes])</f>
        <v>0</v>
      </c>
      <c r="R202">
        <f>tinder[[#This Row],[Swipe Right (LIKE)]]+tinder[[#This Row],[Swipe Left (PASS)]]</f>
        <v>0</v>
      </c>
      <c r="S202">
        <v>0</v>
      </c>
      <c r="T202">
        <v>0</v>
      </c>
      <c r="U202" t="s">
        <v>61</v>
      </c>
      <c r="V202" s="1">
        <v>43805</v>
      </c>
      <c r="W202" t="s">
        <v>12</v>
      </c>
      <c r="X202" t="s">
        <v>1295</v>
      </c>
      <c r="Y202" t="s">
        <v>8</v>
      </c>
      <c r="Z202">
        <v>24</v>
      </c>
      <c r="AA20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03" spans="1:27" x14ac:dyDescent="0.3">
      <c r="A203" t="s">
        <v>508</v>
      </c>
      <c r="B203">
        <v>167</v>
      </c>
      <c r="C203">
        <v>7</v>
      </c>
      <c r="D203">
        <f>IFERROR(tinder[[#This Row],[Tinder Opened]]/tinder[[#This Row],[Days on Tinder]],0)</f>
        <v>23.857142857142858</v>
      </c>
      <c r="E203">
        <f>tinder[[#This Row],[Engagement]]/MAX(tinder[Engagement])</f>
        <v>0.1198851399856425</v>
      </c>
      <c r="F20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03">
        <v>116</v>
      </c>
      <c r="H203">
        <f>IFERROR(tinder[[#This Row],[Conversations]]/tinder[[#This Row],[Tinder Opened]],0)</f>
        <v>0.69461077844311381</v>
      </c>
      <c r="I203">
        <f>tinder[[#This Row],[Conversations]]/MAX(tinder[Conversations])</f>
        <v>9.1757633285872494E-3</v>
      </c>
      <c r="J203">
        <f>(tinder[[#This Row],[Norm Engagement]]*2)+(tinder[[#This Row],[Norm Swipes]]*1)+(tinder[[#This Row],[Norm Conversations]]*2)</f>
        <v>0.26126383034149037</v>
      </c>
      <c r="K20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03">
        <v>0</v>
      </c>
      <c r="M203">
        <v>116</v>
      </c>
      <c r="N203">
        <v>259</v>
      </c>
      <c r="O203">
        <v>0</v>
      </c>
      <c r="P203">
        <v>155</v>
      </c>
      <c r="Q203">
        <f>tinder[[#This Row],[All Swipes]]/MAX(tinder[All Swipes])</f>
        <v>3.1420237130308573E-3</v>
      </c>
      <c r="R203">
        <f>tinder[[#This Row],[Swipe Right (LIKE)]]+tinder[[#This Row],[Swipe Left (PASS)]]</f>
        <v>2667</v>
      </c>
      <c r="S203">
        <v>367</v>
      </c>
      <c r="T203">
        <v>2300</v>
      </c>
      <c r="U203" t="s">
        <v>8</v>
      </c>
      <c r="V203" s="1">
        <v>44256</v>
      </c>
      <c r="W203" t="s">
        <v>12</v>
      </c>
      <c r="X203" t="s">
        <v>1296</v>
      </c>
      <c r="Y203" t="s">
        <v>8</v>
      </c>
      <c r="Z203">
        <v>18</v>
      </c>
      <c r="AA20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04" spans="1:27" x14ac:dyDescent="0.3">
      <c r="A204" t="s">
        <v>496</v>
      </c>
      <c r="B204">
        <v>2300</v>
      </c>
      <c r="C204">
        <v>97</v>
      </c>
      <c r="D204">
        <f>IFERROR(tinder[[#This Row],[Tinder Opened]]/tinder[[#This Row],[Days on Tinder]],0)</f>
        <v>23.711340206185568</v>
      </c>
      <c r="E204">
        <f>tinder[[#This Row],[Engagement]]/MAX(tinder[Engagement])</f>
        <v>0.11915246334766617</v>
      </c>
      <c r="F20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04">
        <v>85</v>
      </c>
      <c r="H204">
        <f>IFERROR(tinder[[#This Row],[Conversations]]/tinder[[#This Row],[Tinder Opened]],0)</f>
        <v>3.6956521739130437E-2</v>
      </c>
      <c r="I204">
        <f>tinder[[#This Row],[Conversations]]/MAX(tinder[Conversations])</f>
        <v>6.723619680430312E-3</v>
      </c>
      <c r="J204">
        <f>(tinder[[#This Row],[Norm Engagement]]*2)+(tinder[[#This Row],[Norm Swipes]]*1)+(tinder[[#This Row],[Norm Conversations]]*2)</f>
        <v>0.26983264521775446</v>
      </c>
      <c r="K20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04">
        <v>28</v>
      </c>
      <c r="M204">
        <v>1</v>
      </c>
      <c r="N204">
        <v>115</v>
      </c>
      <c r="O204">
        <v>1497</v>
      </c>
      <c r="P204">
        <v>1362</v>
      </c>
      <c r="Q204">
        <f>tinder[[#This Row],[All Swipes]]/MAX(tinder[All Swipes])</f>
        <v>1.8080479161561518E-2</v>
      </c>
      <c r="R204">
        <f>tinder[[#This Row],[Swipe Right (LIKE)]]+tinder[[#This Row],[Swipe Left (PASS)]]</f>
        <v>15347</v>
      </c>
      <c r="S204">
        <v>6596</v>
      </c>
      <c r="T204">
        <v>8751</v>
      </c>
      <c r="U204" t="s">
        <v>497</v>
      </c>
      <c r="V204" s="1">
        <v>44079</v>
      </c>
      <c r="W204" t="s">
        <v>12</v>
      </c>
      <c r="X204" t="s">
        <v>1295</v>
      </c>
      <c r="Y204" t="s">
        <v>66</v>
      </c>
      <c r="Z204">
        <v>27</v>
      </c>
      <c r="AA20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05" spans="1:27" x14ac:dyDescent="0.3">
      <c r="A205" t="s">
        <v>107</v>
      </c>
      <c r="B205">
        <v>12946</v>
      </c>
      <c r="C205">
        <v>551</v>
      </c>
      <c r="D205">
        <f>IFERROR(tinder[[#This Row],[Tinder Opened]]/tinder[[#This Row],[Days on Tinder]],0)</f>
        <v>23.495462794918332</v>
      </c>
      <c r="E205">
        <f>tinder[[#This Row],[Engagement]]/MAX(tinder[Engagement])</f>
        <v>0.11806765223577051</v>
      </c>
      <c r="F20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05">
        <v>176</v>
      </c>
      <c r="H205">
        <f>IFERROR(tinder[[#This Row],[Conversations]]/tinder[[#This Row],[Tinder Opened]],0)</f>
        <v>1.3594932797775374E-2</v>
      </c>
      <c r="I205">
        <f>tinder[[#This Row],[Conversations]]/MAX(tinder[Conversations])</f>
        <v>1.3921847808890999E-2</v>
      </c>
      <c r="J205">
        <f>(tinder[[#This Row],[Norm Engagement]]*2)+(tinder[[#This Row],[Norm Swipes]]*1)+(tinder[[#This Row],[Norm Conversations]]*2)</f>
        <v>0.32264306862714509</v>
      </c>
      <c r="K20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05">
        <v>48</v>
      </c>
      <c r="M205">
        <v>28</v>
      </c>
      <c r="N205">
        <v>873</v>
      </c>
      <c r="O205">
        <v>1339</v>
      </c>
      <c r="P205">
        <v>1106</v>
      </c>
      <c r="Q205">
        <f>tinder[[#This Row],[All Swipes]]/MAX(tinder[All Swipes])</f>
        <v>5.8664068537822099E-2</v>
      </c>
      <c r="R205">
        <f>tinder[[#This Row],[Swipe Right (LIKE)]]+tinder[[#This Row],[Swipe Left (PASS)]]</f>
        <v>49795</v>
      </c>
      <c r="S205">
        <v>25870</v>
      </c>
      <c r="T205">
        <v>23925</v>
      </c>
      <c r="U205" t="s">
        <v>6</v>
      </c>
      <c r="V205" s="1">
        <v>43580</v>
      </c>
      <c r="W205" t="s">
        <v>12</v>
      </c>
      <c r="X205" t="s">
        <v>1295</v>
      </c>
      <c r="Y205" t="s">
        <v>108</v>
      </c>
      <c r="Z205">
        <v>24</v>
      </c>
      <c r="AA20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06" spans="1:27" x14ac:dyDescent="0.3">
      <c r="A206" t="s">
        <v>635</v>
      </c>
      <c r="B206">
        <v>280</v>
      </c>
      <c r="C206">
        <v>12</v>
      </c>
      <c r="D206">
        <f>IFERROR(tinder[[#This Row],[Tinder Opened]]/tinder[[#This Row],[Days on Tinder]],0)</f>
        <v>23.333333333333332</v>
      </c>
      <c r="E206">
        <f>tinder[[#This Row],[Engagement]]/MAX(tinder[Engagement])</f>
        <v>0.11725293132328307</v>
      </c>
      <c r="F20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06">
        <v>7</v>
      </c>
      <c r="H206">
        <f>IFERROR(tinder[[#This Row],[Conversations]]/tinder[[#This Row],[Tinder Opened]],0)</f>
        <v>2.5000000000000001E-2</v>
      </c>
      <c r="I206">
        <f>tinder[[#This Row],[Conversations]]/MAX(tinder[Conversations])</f>
        <v>5.5370985603543741E-4</v>
      </c>
      <c r="J206">
        <f>(tinder[[#This Row],[Norm Engagement]]*2)+(tinder[[#This Row],[Norm Swipes]]*1)+(tinder[[#This Row],[Norm Conversations]]*2)</f>
        <v>0.23900035329038194</v>
      </c>
      <c r="K20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06">
        <v>2</v>
      </c>
      <c r="M206">
        <v>0</v>
      </c>
      <c r="N206">
        <v>11</v>
      </c>
      <c r="O206">
        <v>121</v>
      </c>
      <c r="P206">
        <v>97</v>
      </c>
      <c r="Q206">
        <f>tinder[[#This Row],[All Swipes]]/MAX(tinder[All Swipes])</f>
        <v>3.3870709317449245E-3</v>
      </c>
      <c r="R206">
        <f>tinder[[#This Row],[Swipe Right (LIKE)]]+tinder[[#This Row],[Swipe Left (PASS)]]</f>
        <v>2875</v>
      </c>
      <c r="S206">
        <v>2627</v>
      </c>
      <c r="T206">
        <v>248</v>
      </c>
      <c r="U206" t="s">
        <v>8</v>
      </c>
      <c r="V206" s="1">
        <v>44148</v>
      </c>
      <c r="W206" t="s">
        <v>12</v>
      </c>
      <c r="X206" t="s">
        <v>1295</v>
      </c>
      <c r="Y206" t="s">
        <v>8</v>
      </c>
      <c r="Z206">
        <v>27</v>
      </c>
      <c r="AA20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07" spans="1:27" x14ac:dyDescent="0.3">
      <c r="A207" t="s">
        <v>346</v>
      </c>
      <c r="B207">
        <v>1137</v>
      </c>
      <c r="C207">
        <v>49</v>
      </c>
      <c r="D207">
        <f>IFERROR(tinder[[#This Row],[Tinder Opened]]/tinder[[#This Row],[Days on Tinder]],0)</f>
        <v>23.204081632653061</v>
      </c>
      <c r="E207">
        <f>tinder[[#This Row],[Engagement]]/MAX(tinder[Engagement])</f>
        <v>0.11660342528971387</v>
      </c>
      <c r="F20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07">
        <v>21</v>
      </c>
      <c r="H207">
        <f>IFERROR(tinder[[#This Row],[Conversations]]/tinder[[#This Row],[Tinder Opened]],0)</f>
        <v>1.8469656992084433E-2</v>
      </c>
      <c r="I207">
        <f>tinder[[#This Row],[Conversations]]/MAX(tinder[Conversations])</f>
        <v>1.6611295681063123E-3</v>
      </c>
      <c r="J207">
        <f>(tinder[[#This Row],[Norm Engagement]]*2)+(tinder[[#This Row],[Norm Swipes]]*1)+(tinder[[#This Row],[Norm Conversations]]*2)</f>
        <v>0.24324198977445169</v>
      </c>
      <c r="K20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07">
        <v>9</v>
      </c>
      <c r="M207">
        <v>2</v>
      </c>
      <c r="N207">
        <v>85</v>
      </c>
      <c r="O207">
        <v>104</v>
      </c>
      <c r="P207">
        <v>127</v>
      </c>
      <c r="Q207">
        <f>tinder[[#This Row],[All Swipes]]/MAX(tinder[All Swipes])</f>
        <v>6.7128800588113326E-3</v>
      </c>
      <c r="R207">
        <f>tinder[[#This Row],[Swipe Right (LIKE)]]+tinder[[#This Row],[Swipe Left (PASS)]]</f>
        <v>5698</v>
      </c>
      <c r="S207">
        <v>4412</v>
      </c>
      <c r="T207">
        <v>1286</v>
      </c>
      <c r="U207" t="s">
        <v>8</v>
      </c>
      <c r="V207" s="1">
        <v>43829</v>
      </c>
      <c r="W207" t="s">
        <v>12</v>
      </c>
      <c r="X207" t="s">
        <v>1295</v>
      </c>
      <c r="Y207" t="s">
        <v>8</v>
      </c>
      <c r="Z207">
        <v>27</v>
      </c>
      <c r="AA20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08" spans="1:27" x14ac:dyDescent="0.3">
      <c r="A208" t="s">
        <v>355</v>
      </c>
      <c r="B208">
        <v>7350</v>
      </c>
      <c r="C208">
        <v>317</v>
      </c>
      <c r="D208">
        <f>IFERROR(tinder[[#This Row],[Tinder Opened]]/tinder[[#This Row],[Days on Tinder]],0)</f>
        <v>23.186119873817034</v>
      </c>
      <c r="E208">
        <f>tinder[[#This Row],[Engagement]]/MAX(tinder[Engagement])</f>
        <v>0.11651316519506047</v>
      </c>
      <c r="F20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08">
        <v>355</v>
      </c>
      <c r="H208">
        <f>IFERROR(tinder[[#This Row],[Conversations]]/tinder[[#This Row],[Tinder Opened]],0)</f>
        <v>4.8299319727891157E-2</v>
      </c>
      <c r="I208">
        <f>tinder[[#This Row],[Conversations]]/MAX(tinder[Conversations])</f>
        <v>2.8080999841797183E-2</v>
      </c>
      <c r="J208">
        <f>(tinder[[#This Row],[Norm Engagement]]*2)+(tinder[[#This Row],[Norm Swipes]]*1)+(tinder[[#This Row],[Norm Conversations]]*2)</f>
        <v>0.4130361369011078</v>
      </c>
      <c r="K20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08">
        <v>107</v>
      </c>
      <c r="M208">
        <v>41</v>
      </c>
      <c r="N208">
        <v>1504</v>
      </c>
      <c r="O208">
        <v>4932</v>
      </c>
      <c r="P208">
        <v>4338</v>
      </c>
      <c r="Q208">
        <f>tinder[[#This Row],[All Swipes]]/MAX(tinder[All Swipes])</f>
        <v>0.12384780682739251</v>
      </c>
      <c r="R208">
        <f>tinder[[#This Row],[Swipe Right (LIKE)]]+tinder[[#This Row],[Swipe Left (PASS)]]</f>
        <v>105124</v>
      </c>
      <c r="S208">
        <v>41159</v>
      </c>
      <c r="T208">
        <v>63965</v>
      </c>
      <c r="U208" t="s">
        <v>10</v>
      </c>
      <c r="V208" s="1">
        <v>43395</v>
      </c>
      <c r="W208" t="s">
        <v>12</v>
      </c>
      <c r="X208" t="s">
        <v>1295</v>
      </c>
      <c r="Y208" t="s">
        <v>8</v>
      </c>
      <c r="Z208">
        <v>22</v>
      </c>
      <c r="AA20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09" spans="1:27" x14ac:dyDescent="0.3">
      <c r="A209" t="s">
        <v>552</v>
      </c>
      <c r="B209">
        <v>7025</v>
      </c>
      <c r="C209">
        <v>303</v>
      </c>
      <c r="D209">
        <f>IFERROR(tinder[[#This Row],[Tinder Opened]]/tinder[[#This Row],[Days on Tinder]],0)</f>
        <v>23.184818481848186</v>
      </c>
      <c r="E209">
        <f>tinder[[#This Row],[Engagement]]/MAX(tinder[Engagement])</f>
        <v>0.11650662553692556</v>
      </c>
      <c r="F20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09">
        <v>62</v>
      </c>
      <c r="H209">
        <f>IFERROR(tinder[[#This Row],[Conversations]]/tinder[[#This Row],[Tinder Opened]],0)</f>
        <v>8.8256227758007118E-3</v>
      </c>
      <c r="I209">
        <f>tinder[[#This Row],[Conversations]]/MAX(tinder[Conversations])</f>
        <v>4.9042872963138747E-3</v>
      </c>
      <c r="J209">
        <f>(tinder[[#This Row],[Norm Engagement]]*2)+(tinder[[#This Row],[Norm Swipes]]*1)+(tinder[[#This Row],[Norm Conversations]]*2)</f>
        <v>0.35912736184864319</v>
      </c>
      <c r="K20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09">
        <v>3</v>
      </c>
      <c r="M209">
        <v>1</v>
      </c>
      <c r="N209">
        <v>343</v>
      </c>
      <c r="O209">
        <v>975</v>
      </c>
      <c r="P209">
        <v>944</v>
      </c>
      <c r="Q209">
        <f>tinder[[#This Row],[All Swipes]]/MAX(tinder[All Swipes])</f>
        <v>0.11630553618216433</v>
      </c>
      <c r="R209">
        <f>tinder[[#This Row],[Swipe Right (LIKE)]]+tinder[[#This Row],[Swipe Left (PASS)]]</f>
        <v>98722</v>
      </c>
      <c r="S209">
        <v>38219</v>
      </c>
      <c r="T209">
        <v>60503</v>
      </c>
      <c r="U209" t="s">
        <v>8</v>
      </c>
      <c r="V209" s="1">
        <v>43887</v>
      </c>
      <c r="W209" t="s">
        <v>12</v>
      </c>
      <c r="X209" t="s">
        <v>1295</v>
      </c>
      <c r="Y209" t="s">
        <v>8</v>
      </c>
      <c r="Z209">
        <v>19</v>
      </c>
      <c r="AA20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10" spans="1:27" x14ac:dyDescent="0.3">
      <c r="A210" t="s">
        <v>118</v>
      </c>
      <c r="B210">
        <v>20076</v>
      </c>
      <c r="C210">
        <v>866</v>
      </c>
      <c r="D210">
        <f>IFERROR(tinder[[#This Row],[Tinder Opened]]/tinder[[#This Row],[Days on Tinder]],0)</f>
        <v>23.182448036951502</v>
      </c>
      <c r="E210">
        <f>tinder[[#This Row],[Engagement]]/MAX(tinder[Engagement])</f>
        <v>0.11649471375352513</v>
      </c>
      <c r="F21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10">
        <v>384</v>
      </c>
      <c r="H210">
        <f>IFERROR(tinder[[#This Row],[Conversations]]/tinder[[#This Row],[Tinder Opened]],0)</f>
        <v>1.9127316198445904E-2</v>
      </c>
      <c r="I210">
        <f>tinder[[#This Row],[Conversations]]/MAX(tinder[Conversations])</f>
        <v>3.0374940673943997E-2</v>
      </c>
      <c r="J210">
        <f>(tinder[[#This Row],[Norm Engagement]]*2)+(tinder[[#This Row],[Norm Swipes]]*1)+(tinder[[#This Row],[Norm Conversations]]*2)</f>
        <v>0.40132564087506983</v>
      </c>
      <c r="K21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10">
        <v>109</v>
      </c>
      <c r="M210">
        <v>1</v>
      </c>
      <c r="N210">
        <v>516</v>
      </c>
      <c r="O210">
        <v>3615</v>
      </c>
      <c r="P210">
        <v>3667</v>
      </c>
      <c r="Q210">
        <f>tinder[[#This Row],[All Swipes]]/MAX(tinder[All Swipes])</f>
        <v>0.10758633202013157</v>
      </c>
      <c r="R210">
        <f>tinder[[#This Row],[Swipe Right (LIKE)]]+tinder[[#This Row],[Swipe Left (PASS)]]</f>
        <v>91321</v>
      </c>
      <c r="S210">
        <v>47228</v>
      </c>
      <c r="T210">
        <v>44093</v>
      </c>
      <c r="U210" t="s">
        <v>8</v>
      </c>
      <c r="V210" s="1">
        <v>42953</v>
      </c>
      <c r="W210" t="s">
        <v>7</v>
      </c>
      <c r="X210" t="s">
        <v>1295</v>
      </c>
      <c r="Y210" t="s">
        <v>8</v>
      </c>
      <c r="Z210">
        <v>25</v>
      </c>
      <c r="AA21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11" spans="1:27" x14ac:dyDescent="0.3">
      <c r="A211" t="s">
        <v>579</v>
      </c>
      <c r="B211">
        <v>277</v>
      </c>
      <c r="C211">
        <v>12</v>
      </c>
      <c r="D211">
        <f>IFERROR(tinder[[#This Row],[Tinder Opened]]/tinder[[#This Row],[Days on Tinder]],0)</f>
        <v>23.083333333333332</v>
      </c>
      <c r="E211">
        <f>tinder[[#This Row],[Engagement]]/MAX(tinder[Engagement])</f>
        <v>0.1159966499162479</v>
      </c>
      <c r="F21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11">
        <v>10</v>
      </c>
      <c r="H211">
        <f>IFERROR(tinder[[#This Row],[Conversations]]/tinder[[#This Row],[Tinder Opened]],0)</f>
        <v>3.6101083032490974E-2</v>
      </c>
      <c r="I211">
        <f>tinder[[#This Row],[Conversations]]/MAX(tinder[Conversations])</f>
        <v>7.9101408005062491E-4</v>
      </c>
      <c r="J211">
        <f>(tinder[[#This Row],[Norm Engagement]]*2)+(tinder[[#This Row],[Norm Swipes]]*1)+(tinder[[#This Row],[Norm Conversations]]*2)</f>
        <v>0.24284471028510804</v>
      </c>
      <c r="K21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11">
        <v>4</v>
      </c>
      <c r="M211">
        <v>0</v>
      </c>
      <c r="N211">
        <v>15</v>
      </c>
      <c r="O211">
        <v>28</v>
      </c>
      <c r="P211">
        <v>21</v>
      </c>
      <c r="Q211">
        <f>tinder[[#This Row],[All Swipes]]/MAX(tinder[All Swipes])</f>
        <v>9.2693822925109803E-3</v>
      </c>
      <c r="R211">
        <f>tinder[[#This Row],[Swipe Right (LIKE)]]+tinder[[#This Row],[Swipe Left (PASS)]]</f>
        <v>7868</v>
      </c>
      <c r="S211">
        <v>1017</v>
      </c>
      <c r="T211">
        <v>6851</v>
      </c>
      <c r="U211" t="s">
        <v>8</v>
      </c>
      <c r="V211" s="1">
        <v>44269</v>
      </c>
      <c r="W211" t="s">
        <v>12</v>
      </c>
      <c r="X211" t="s">
        <v>1295</v>
      </c>
      <c r="Y211" t="s">
        <v>8</v>
      </c>
      <c r="Z211">
        <v>28</v>
      </c>
      <c r="AA21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12" spans="1:27" x14ac:dyDescent="0.3">
      <c r="A212" t="s">
        <v>992</v>
      </c>
      <c r="B212">
        <v>5343</v>
      </c>
      <c r="C212">
        <v>232</v>
      </c>
      <c r="D212">
        <f>IFERROR(tinder[[#This Row],[Tinder Opened]]/tinder[[#This Row],[Days on Tinder]],0)</f>
        <v>23.030172413793103</v>
      </c>
      <c r="E212">
        <f>tinder[[#This Row],[Engagement]]/MAX(tinder[Engagement])</f>
        <v>0.11572950961705077</v>
      </c>
      <c r="F21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12">
        <v>139</v>
      </c>
      <c r="H212">
        <f>IFERROR(tinder[[#This Row],[Conversations]]/tinder[[#This Row],[Tinder Opened]],0)</f>
        <v>2.6015347183230394E-2</v>
      </c>
      <c r="I212">
        <f>tinder[[#This Row],[Conversations]]/MAX(tinder[Conversations])</f>
        <v>1.0995095712703686E-2</v>
      </c>
      <c r="J212">
        <f>(tinder[[#This Row],[Norm Engagement]]*2)+(tinder[[#This Row],[Norm Swipes]]*1)+(tinder[[#This Row],[Norm Conversations]]*2)</f>
        <v>0.33313668120671819</v>
      </c>
      <c r="K21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12">
        <v>41</v>
      </c>
      <c r="M212">
        <v>1</v>
      </c>
      <c r="N212">
        <v>211</v>
      </c>
      <c r="O212">
        <v>1754</v>
      </c>
      <c r="P212">
        <v>1551</v>
      </c>
      <c r="Q212">
        <f>tinder[[#This Row],[All Swipes]]/MAX(tinder[All Swipes])</f>
        <v>7.9687470547209288E-2</v>
      </c>
      <c r="R212">
        <f>tinder[[#This Row],[Swipe Right (LIKE)]]+tinder[[#This Row],[Swipe Left (PASS)]]</f>
        <v>67640</v>
      </c>
      <c r="S212">
        <v>4254</v>
      </c>
      <c r="T212">
        <v>63386</v>
      </c>
      <c r="U212" t="s">
        <v>75</v>
      </c>
      <c r="V212" s="1">
        <v>44065</v>
      </c>
      <c r="W212" t="s">
        <v>12</v>
      </c>
      <c r="X212" t="s">
        <v>1295</v>
      </c>
      <c r="Y212" t="s">
        <v>993</v>
      </c>
      <c r="Z212">
        <v>26</v>
      </c>
      <c r="AA21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13" spans="1:27" x14ac:dyDescent="0.3">
      <c r="A213" t="s">
        <v>330</v>
      </c>
      <c r="B213">
        <v>41762</v>
      </c>
      <c r="C213">
        <v>1820</v>
      </c>
      <c r="D213">
        <f>IFERROR(tinder[[#This Row],[Tinder Opened]]/tinder[[#This Row],[Days on Tinder]],0)</f>
        <v>22.946153846153845</v>
      </c>
      <c r="E213">
        <f>tinder[[#This Row],[Engagement]]/MAX(tinder[Engagement])</f>
        <v>0.11530730575956706</v>
      </c>
      <c r="F21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13">
        <v>12642</v>
      </c>
      <c r="H213">
        <f>IFERROR(tinder[[#This Row],[Conversations]]/tinder[[#This Row],[Tinder Opened]],0)</f>
        <v>0.30271538719409991</v>
      </c>
      <c r="I213">
        <f>tinder[[#This Row],[Conversations]]/MAX(tinder[Conversations])</f>
        <v>1</v>
      </c>
      <c r="J213">
        <f>(tinder[[#This Row],[Norm Engagement]]*2)+(tinder[[#This Row],[Norm Swipes]]*1)+(tinder[[#This Row],[Norm Conversations]]*2)</f>
        <v>2.5129796941754461</v>
      </c>
      <c r="K21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13">
        <v>2663</v>
      </c>
      <c r="M213">
        <v>616</v>
      </c>
      <c r="N213">
        <v>23758</v>
      </c>
      <c r="O213">
        <v>61881</v>
      </c>
      <c r="P213">
        <v>55608</v>
      </c>
      <c r="Q213">
        <f>tinder[[#This Row],[All Swipes]]/MAX(tinder[All Swipes])</f>
        <v>0.28236508265631183</v>
      </c>
      <c r="R213">
        <f>tinder[[#This Row],[Swipe Right (LIKE)]]+tinder[[#This Row],[Swipe Left (PASS)]]</f>
        <v>239676</v>
      </c>
      <c r="S213">
        <v>198373</v>
      </c>
      <c r="T213">
        <v>41303</v>
      </c>
      <c r="U213" t="s">
        <v>8</v>
      </c>
      <c r="V213" s="1">
        <v>41866</v>
      </c>
      <c r="W213" t="s">
        <v>12</v>
      </c>
      <c r="X213" t="s">
        <v>1295</v>
      </c>
      <c r="Y213" t="s">
        <v>331</v>
      </c>
      <c r="Z213">
        <v>26</v>
      </c>
      <c r="AA21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14" spans="1:27" x14ac:dyDescent="0.3">
      <c r="A214" t="s">
        <v>1293</v>
      </c>
      <c r="B214">
        <v>7978</v>
      </c>
      <c r="C214">
        <v>348</v>
      </c>
      <c r="D214">
        <f>IFERROR(tinder[[#This Row],[Tinder Opened]]/tinder[[#This Row],[Days on Tinder]],0)</f>
        <v>22.925287356321839</v>
      </c>
      <c r="E214">
        <f>tinder[[#This Row],[Engagement]]/MAX(tinder[Engagement])</f>
        <v>0.11520244902674291</v>
      </c>
      <c r="F21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14">
        <v>443</v>
      </c>
      <c r="H214">
        <f>IFERROR(tinder[[#This Row],[Conversations]]/tinder[[#This Row],[Tinder Opened]],0)</f>
        <v>5.5527701178240157E-2</v>
      </c>
      <c r="I214">
        <f>tinder[[#This Row],[Conversations]]/MAX(tinder[Conversations])</f>
        <v>3.5041923746242681E-2</v>
      </c>
      <c r="J214">
        <f>(tinder[[#This Row],[Norm Engagement]]*2)+(tinder[[#This Row],[Norm Swipes]]*1)+(tinder[[#This Row],[Norm Conversations]]*2)</f>
        <v>0.38858557689693535</v>
      </c>
      <c r="K21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14">
        <v>182</v>
      </c>
      <c r="M214">
        <v>31</v>
      </c>
      <c r="N214">
        <v>766</v>
      </c>
      <c r="O214">
        <v>6979</v>
      </c>
      <c r="P214">
        <v>6905</v>
      </c>
      <c r="Q214">
        <f>tinder[[#This Row],[All Swipes]]/MAX(tinder[All Swipes])</f>
        <v>8.8096831350964161E-2</v>
      </c>
      <c r="R214">
        <f>tinder[[#This Row],[Swipe Right (LIKE)]]+tinder[[#This Row],[Swipe Left (PASS)]]</f>
        <v>74778</v>
      </c>
      <c r="S214">
        <v>17407</v>
      </c>
      <c r="T214">
        <v>57371</v>
      </c>
      <c r="U214" t="s">
        <v>61</v>
      </c>
      <c r="V214" s="1">
        <v>43947</v>
      </c>
      <c r="W214" t="s">
        <v>12</v>
      </c>
      <c r="X214" t="s">
        <v>1295</v>
      </c>
      <c r="Y214" t="s">
        <v>8</v>
      </c>
      <c r="Z214">
        <v>19</v>
      </c>
      <c r="AA21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15" spans="1:27" x14ac:dyDescent="0.3">
      <c r="A215" t="s">
        <v>877</v>
      </c>
      <c r="B215">
        <v>5973</v>
      </c>
      <c r="C215">
        <v>262</v>
      </c>
      <c r="D215">
        <f>IFERROR(tinder[[#This Row],[Tinder Opened]]/tinder[[#This Row],[Days on Tinder]],0)</f>
        <v>22.797709923664122</v>
      </c>
      <c r="E215">
        <f>tinder[[#This Row],[Engagement]]/MAX(tinder[Engagement])</f>
        <v>0.11456135640032222</v>
      </c>
      <c r="F21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15">
        <v>94</v>
      </c>
      <c r="H215">
        <f>IFERROR(tinder[[#This Row],[Conversations]]/tinder[[#This Row],[Tinder Opened]],0)</f>
        <v>1.5737485350745019E-2</v>
      </c>
      <c r="I215">
        <f>tinder[[#This Row],[Conversations]]/MAX(tinder[Conversations])</f>
        <v>7.4355323524758739E-3</v>
      </c>
      <c r="J215">
        <f>(tinder[[#This Row],[Norm Engagement]]*2)+(tinder[[#This Row],[Norm Swipes]]*1)+(tinder[[#This Row],[Norm Conversations]]*2)</f>
        <v>0.3394361348598402</v>
      </c>
      <c r="K21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15">
        <v>5</v>
      </c>
      <c r="M215">
        <v>2</v>
      </c>
      <c r="N215">
        <v>138</v>
      </c>
      <c r="O215">
        <v>1378</v>
      </c>
      <c r="P215">
        <v>1077</v>
      </c>
      <c r="Q215">
        <f>tinder[[#This Row],[All Swipes]]/MAX(tinder[All Swipes])</f>
        <v>9.5442357354244028E-2</v>
      </c>
      <c r="R215">
        <f>tinder[[#This Row],[Swipe Right (LIKE)]]+tinder[[#This Row],[Swipe Left (PASS)]]</f>
        <v>81013</v>
      </c>
      <c r="S215">
        <v>16116</v>
      </c>
      <c r="T215">
        <v>64897</v>
      </c>
      <c r="U215" t="s">
        <v>25</v>
      </c>
      <c r="V215" s="1">
        <v>43999</v>
      </c>
      <c r="W215" t="s">
        <v>12</v>
      </c>
      <c r="X215" t="s">
        <v>1295</v>
      </c>
      <c r="Y215" t="s">
        <v>8</v>
      </c>
      <c r="Z215">
        <v>27</v>
      </c>
      <c r="AA21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16" spans="1:27" x14ac:dyDescent="0.3">
      <c r="A216" t="s">
        <v>533</v>
      </c>
      <c r="B216">
        <v>4545</v>
      </c>
      <c r="C216">
        <v>202</v>
      </c>
      <c r="D216">
        <f>IFERROR(tinder[[#This Row],[Tinder Opened]]/tinder[[#This Row],[Days on Tinder]],0)</f>
        <v>22.5</v>
      </c>
      <c r="E216">
        <f>tinder[[#This Row],[Engagement]]/MAX(tinder[Engagement])</f>
        <v>0.11306532663316583</v>
      </c>
      <c r="F21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16">
        <v>111</v>
      </c>
      <c r="H216">
        <f>IFERROR(tinder[[#This Row],[Conversations]]/tinder[[#This Row],[Tinder Opened]],0)</f>
        <v>2.4422442244224421E-2</v>
      </c>
      <c r="I216">
        <f>tinder[[#This Row],[Conversations]]/MAX(tinder[Conversations])</f>
        <v>8.7802562885619367E-3</v>
      </c>
      <c r="J216">
        <f>(tinder[[#This Row],[Norm Engagement]]*2)+(tinder[[#This Row],[Norm Swipes]]*1)+(tinder[[#This Row],[Norm Conversations]]*2)</f>
        <v>0.27835238806358337</v>
      </c>
      <c r="K21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16">
        <v>36</v>
      </c>
      <c r="M216">
        <v>12</v>
      </c>
      <c r="N216">
        <v>441</v>
      </c>
      <c r="O216">
        <v>523</v>
      </c>
      <c r="P216">
        <v>467</v>
      </c>
      <c r="Q216">
        <f>tinder[[#This Row],[All Swipes]]/MAX(tinder[All Swipes])</f>
        <v>3.4661222220127803E-2</v>
      </c>
      <c r="R216">
        <f>tinder[[#This Row],[Swipe Right (LIKE)]]+tinder[[#This Row],[Swipe Left (PASS)]]</f>
        <v>29421</v>
      </c>
      <c r="S216">
        <v>5358</v>
      </c>
      <c r="T216">
        <v>24063</v>
      </c>
      <c r="U216" t="s">
        <v>238</v>
      </c>
      <c r="V216" s="1">
        <v>43873</v>
      </c>
      <c r="W216" t="s">
        <v>12</v>
      </c>
      <c r="X216" t="s">
        <v>1295</v>
      </c>
      <c r="Y216" t="s">
        <v>8</v>
      </c>
      <c r="Z216">
        <v>18</v>
      </c>
      <c r="AA21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17" spans="1:27" x14ac:dyDescent="0.3">
      <c r="A217" t="s">
        <v>1292</v>
      </c>
      <c r="B217">
        <v>5751</v>
      </c>
      <c r="C217">
        <v>256</v>
      </c>
      <c r="D217">
        <f>IFERROR(tinder[[#This Row],[Tinder Opened]]/tinder[[#This Row],[Days on Tinder]],0)</f>
        <v>22.46484375</v>
      </c>
      <c r="E217">
        <f>tinder[[#This Row],[Engagement]]/MAX(tinder[Engagement])</f>
        <v>0.1128886620603015</v>
      </c>
      <c r="F21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17">
        <v>254</v>
      </c>
      <c r="H217">
        <f>IFERROR(tinder[[#This Row],[Conversations]]/tinder[[#This Row],[Tinder Opened]],0)</f>
        <v>4.4166231959659193E-2</v>
      </c>
      <c r="I217">
        <f>tinder[[#This Row],[Conversations]]/MAX(tinder[Conversations])</f>
        <v>2.0091757633285873E-2</v>
      </c>
      <c r="J217">
        <f>(tinder[[#This Row],[Norm Engagement]]*2)+(tinder[[#This Row],[Norm Swipes]]*1)+(tinder[[#This Row],[Norm Conversations]]*2)</f>
        <v>0.30364391793423323</v>
      </c>
      <c r="K21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17">
        <v>61</v>
      </c>
      <c r="M217">
        <v>74</v>
      </c>
      <c r="N217">
        <v>626</v>
      </c>
      <c r="O217">
        <v>635</v>
      </c>
      <c r="P217">
        <v>1099</v>
      </c>
      <c r="Q217">
        <f>tinder[[#This Row],[All Swipes]]/MAX(tinder[All Swipes])</f>
        <v>3.7683078547058491E-2</v>
      </c>
      <c r="R217">
        <f>tinder[[#This Row],[Swipe Right (LIKE)]]+tinder[[#This Row],[Swipe Left (PASS)]]</f>
        <v>31986</v>
      </c>
      <c r="S217">
        <v>21995</v>
      </c>
      <c r="T217">
        <v>9991</v>
      </c>
      <c r="U217" t="s">
        <v>293</v>
      </c>
      <c r="V217" s="1">
        <v>44042</v>
      </c>
      <c r="W217" t="s">
        <v>12</v>
      </c>
      <c r="X217" t="s">
        <v>1295</v>
      </c>
      <c r="Y217" t="s">
        <v>8</v>
      </c>
      <c r="Z217">
        <v>23</v>
      </c>
      <c r="AA21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18" spans="1:27" x14ac:dyDescent="0.3">
      <c r="A218" t="s">
        <v>53</v>
      </c>
      <c r="B218">
        <v>9311</v>
      </c>
      <c r="C218">
        <v>419</v>
      </c>
      <c r="D218">
        <f>IFERROR(tinder[[#This Row],[Tinder Opened]]/tinder[[#This Row],[Days on Tinder]],0)</f>
        <v>22.221957040572793</v>
      </c>
      <c r="E218">
        <f>tinder[[#This Row],[Engagement]]/MAX(tinder[Engagement])</f>
        <v>0.11166812583202408</v>
      </c>
      <c r="F21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18">
        <v>133</v>
      </c>
      <c r="H218">
        <f>IFERROR(tinder[[#This Row],[Conversations]]/tinder[[#This Row],[Tinder Opened]],0)</f>
        <v>1.4284180002147998E-2</v>
      </c>
      <c r="I218">
        <f>tinder[[#This Row],[Conversations]]/MAX(tinder[Conversations])</f>
        <v>1.0520487264673311E-2</v>
      </c>
      <c r="J218">
        <f>(tinder[[#This Row],[Norm Engagement]]*2)+(tinder[[#This Row],[Norm Swipes]]*1)+(tinder[[#This Row],[Norm Conversations]]*2)</f>
        <v>0.31752264286791554</v>
      </c>
      <c r="K21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18">
        <v>16</v>
      </c>
      <c r="M218">
        <v>0</v>
      </c>
      <c r="N218">
        <v>141</v>
      </c>
      <c r="O218">
        <v>5499</v>
      </c>
      <c r="P218">
        <v>4319</v>
      </c>
      <c r="Q218">
        <f>tinder[[#This Row],[All Swipes]]/MAX(tinder[All Swipes])</f>
        <v>7.314541667452075E-2</v>
      </c>
      <c r="R218">
        <f>tinder[[#This Row],[Swipe Right (LIKE)]]+tinder[[#This Row],[Swipe Left (PASS)]]</f>
        <v>62087</v>
      </c>
      <c r="S218">
        <v>26374</v>
      </c>
      <c r="T218">
        <v>35713</v>
      </c>
      <c r="U218" t="s">
        <v>8</v>
      </c>
      <c r="V218" s="1">
        <v>43577</v>
      </c>
      <c r="W218" t="s">
        <v>12</v>
      </c>
      <c r="X218" t="s">
        <v>1295</v>
      </c>
      <c r="Y218" t="s">
        <v>54</v>
      </c>
      <c r="Z218">
        <v>30</v>
      </c>
      <c r="AA21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19" spans="1:27" x14ac:dyDescent="0.3">
      <c r="A219" t="s">
        <v>169</v>
      </c>
      <c r="B219">
        <v>5977</v>
      </c>
      <c r="C219">
        <v>269</v>
      </c>
      <c r="D219">
        <f>IFERROR(tinder[[#This Row],[Tinder Opened]]/tinder[[#This Row],[Days on Tinder]],0)</f>
        <v>22.219330855018587</v>
      </c>
      <c r="E219">
        <f>tinder[[#This Row],[Engagement]]/MAX(tinder[Engagement])</f>
        <v>0.11165492891969139</v>
      </c>
      <c r="F21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19">
        <v>358</v>
      </c>
      <c r="H219">
        <f>IFERROR(tinder[[#This Row],[Conversations]]/tinder[[#This Row],[Tinder Opened]],0)</f>
        <v>5.98962690312866E-2</v>
      </c>
      <c r="I219">
        <f>tinder[[#This Row],[Conversations]]/MAX(tinder[Conversations])</f>
        <v>2.8318304065812372E-2</v>
      </c>
      <c r="J219">
        <f>(tinder[[#This Row],[Norm Engagement]]*2)+(tinder[[#This Row],[Norm Swipes]]*1)+(tinder[[#This Row],[Norm Conversations]]*2)</f>
        <v>0.32434124646524892</v>
      </c>
      <c r="K21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19">
        <v>60</v>
      </c>
      <c r="M219">
        <v>32</v>
      </c>
      <c r="N219">
        <v>740</v>
      </c>
      <c r="O219">
        <v>4978</v>
      </c>
      <c r="P219">
        <v>4190</v>
      </c>
      <c r="Q219">
        <f>tinder[[#This Row],[All Swipes]]/MAX(tinder[All Swipes])</f>
        <v>4.4394780494241393E-2</v>
      </c>
      <c r="R219">
        <f>tinder[[#This Row],[Swipe Right (LIKE)]]+tinder[[#This Row],[Swipe Left (PASS)]]</f>
        <v>37683</v>
      </c>
      <c r="S219">
        <v>14570</v>
      </c>
      <c r="T219">
        <v>23113</v>
      </c>
      <c r="U219" t="s">
        <v>10</v>
      </c>
      <c r="V219" s="1">
        <v>43260</v>
      </c>
      <c r="W219" t="s">
        <v>12</v>
      </c>
      <c r="X219" t="s">
        <v>1295</v>
      </c>
      <c r="Y219" t="s">
        <v>170</v>
      </c>
      <c r="Z219">
        <v>29</v>
      </c>
      <c r="AA21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20" spans="1:27" x14ac:dyDescent="0.3">
      <c r="A220" t="s">
        <v>202</v>
      </c>
      <c r="B220">
        <v>2621</v>
      </c>
      <c r="C220">
        <v>118</v>
      </c>
      <c r="D220">
        <f>IFERROR(tinder[[#This Row],[Tinder Opened]]/tinder[[#This Row],[Days on Tinder]],0)</f>
        <v>22.211864406779661</v>
      </c>
      <c r="E220">
        <f>tinder[[#This Row],[Engagement]]/MAX(tinder[Engagement])</f>
        <v>0.11161740907929478</v>
      </c>
      <c r="F22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20">
        <v>292</v>
      </c>
      <c r="H220">
        <f>IFERROR(tinder[[#This Row],[Conversations]]/tinder[[#This Row],[Tinder Opened]],0)</f>
        <v>0.11140785959557421</v>
      </c>
      <c r="I220">
        <f>tinder[[#This Row],[Conversations]]/MAX(tinder[Conversations])</f>
        <v>2.3097611137478248E-2</v>
      </c>
      <c r="J220">
        <f>(tinder[[#This Row],[Norm Engagement]]*2)+(tinder[[#This Row],[Norm Swipes]]*1)+(tinder[[#This Row],[Norm Conversations]]*2)</f>
        <v>0.29138415062939532</v>
      </c>
      <c r="K22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20">
        <v>68</v>
      </c>
      <c r="M220">
        <v>83</v>
      </c>
      <c r="N220">
        <v>545</v>
      </c>
      <c r="O220">
        <v>1242</v>
      </c>
      <c r="P220">
        <v>1330</v>
      </c>
      <c r="Q220">
        <f>tinder[[#This Row],[All Swipes]]/MAX(tinder[All Swipes])</f>
        <v>2.1954110195849277E-2</v>
      </c>
      <c r="R220">
        <f>tinder[[#This Row],[Swipe Right (LIKE)]]+tinder[[#This Row],[Swipe Left (PASS)]]</f>
        <v>18635</v>
      </c>
      <c r="S220">
        <v>892</v>
      </c>
      <c r="T220">
        <v>17743</v>
      </c>
      <c r="U220" t="s">
        <v>8</v>
      </c>
      <c r="V220" s="1">
        <v>43855</v>
      </c>
      <c r="W220" t="s">
        <v>12</v>
      </c>
      <c r="X220" t="s">
        <v>1296</v>
      </c>
      <c r="Y220" t="s">
        <v>8</v>
      </c>
      <c r="Z220">
        <v>22</v>
      </c>
      <c r="AA22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21" spans="1:27" x14ac:dyDescent="0.3">
      <c r="A221" t="s">
        <v>1015</v>
      </c>
      <c r="B221">
        <v>3398</v>
      </c>
      <c r="C221">
        <v>153</v>
      </c>
      <c r="D221">
        <f>IFERROR(tinder[[#This Row],[Tinder Opened]]/tinder[[#This Row],[Days on Tinder]],0)</f>
        <v>22.209150326797385</v>
      </c>
      <c r="E221">
        <f>tinder[[#This Row],[Engagement]]/MAX(tinder[Engagement])</f>
        <v>0.11160377048641902</v>
      </c>
      <c r="F22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21">
        <v>128</v>
      </c>
      <c r="H221">
        <f>IFERROR(tinder[[#This Row],[Conversations]]/tinder[[#This Row],[Tinder Opened]],0)</f>
        <v>3.7669217186580339E-2</v>
      </c>
      <c r="I221">
        <f>tinder[[#This Row],[Conversations]]/MAX(tinder[Conversations])</f>
        <v>1.0124980224647999E-2</v>
      </c>
      <c r="J221">
        <f>(tinder[[#This Row],[Norm Engagement]]*2)+(tinder[[#This Row],[Norm Swipes]]*1)+(tinder[[#This Row],[Norm Conversations]]*2)</f>
        <v>0.33233659889437772</v>
      </c>
      <c r="K22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21">
        <v>50</v>
      </c>
      <c r="M221">
        <v>2</v>
      </c>
      <c r="N221">
        <v>156</v>
      </c>
      <c r="O221">
        <v>1217</v>
      </c>
      <c r="P221">
        <v>1008</v>
      </c>
      <c r="Q221">
        <f>tinder[[#This Row],[All Swipes]]/MAX(tinder[All Swipes])</f>
        <v>8.8879097472243693E-2</v>
      </c>
      <c r="R221">
        <f>tinder[[#This Row],[Swipe Right (LIKE)]]+tinder[[#This Row],[Swipe Left (PASS)]]</f>
        <v>75442</v>
      </c>
      <c r="S221">
        <v>17153</v>
      </c>
      <c r="T221">
        <v>58289</v>
      </c>
      <c r="U221" t="s">
        <v>262</v>
      </c>
      <c r="V221" s="1">
        <v>44146</v>
      </c>
      <c r="W221" t="s">
        <v>12</v>
      </c>
      <c r="X221" t="s">
        <v>1295</v>
      </c>
      <c r="Y221" t="s">
        <v>8</v>
      </c>
      <c r="Z221">
        <v>29</v>
      </c>
      <c r="AA22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22" spans="1:27" x14ac:dyDescent="0.3">
      <c r="A222" t="s">
        <v>420</v>
      </c>
      <c r="B222">
        <v>6724</v>
      </c>
      <c r="C222">
        <v>303</v>
      </c>
      <c r="D222">
        <f>IFERROR(tinder[[#This Row],[Tinder Opened]]/tinder[[#This Row],[Days on Tinder]],0)</f>
        <v>22.191419141914192</v>
      </c>
      <c r="E222">
        <f>tinder[[#This Row],[Engagement]]/MAX(tinder[Engagement])</f>
        <v>0.11151466905484518</v>
      </c>
      <c r="F22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22">
        <v>221</v>
      </c>
      <c r="H222">
        <f>IFERROR(tinder[[#This Row],[Conversations]]/tinder[[#This Row],[Tinder Opened]],0)</f>
        <v>3.2867340868530638E-2</v>
      </c>
      <c r="I222">
        <f>tinder[[#This Row],[Conversations]]/MAX(tinder[Conversations])</f>
        <v>1.7481411169118811E-2</v>
      </c>
      <c r="J222">
        <f>(tinder[[#This Row],[Norm Engagement]]*2)+(tinder[[#This Row],[Norm Swipes]]*1)+(tinder[[#This Row],[Norm Conversations]]*2)</f>
        <v>0.31112852922514234</v>
      </c>
      <c r="K22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22">
        <v>43</v>
      </c>
      <c r="M222">
        <v>0</v>
      </c>
      <c r="N222">
        <v>266</v>
      </c>
      <c r="O222">
        <v>11519</v>
      </c>
      <c r="P222">
        <v>7831</v>
      </c>
      <c r="Q222">
        <f>tinder[[#This Row],[All Swipes]]/MAX(tinder[All Swipes])</f>
        <v>5.3136368777214379E-2</v>
      </c>
      <c r="R222">
        <f>tinder[[#This Row],[Swipe Right (LIKE)]]+tinder[[#This Row],[Swipe Left (PASS)]]</f>
        <v>45103</v>
      </c>
      <c r="S222">
        <v>4999</v>
      </c>
      <c r="T222">
        <v>40104</v>
      </c>
      <c r="U222" t="s">
        <v>25</v>
      </c>
      <c r="V222" s="1">
        <v>43528</v>
      </c>
      <c r="W222" t="s">
        <v>12</v>
      </c>
      <c r="X222" t="s">
        <v>1295</v>
      </c>
      <c r="Y222" t="s">
        <v>8</v>
      </c>
      <c r="Z222">
        <v>35</v>
      </c>
      <c r="AA222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223" spans="1:27" x14ac:dyDescent="0.3">
      <c r="A223" t="s">
        <v>1252</v>
      </c>
      <c r="B223">
        <v>10207</v>
      </c>
      <c r="C223">
        <v>463</v>
      </c>
      <c r="D223">
        <f>IFERROR(tinder[[#This Row],[Tinder Opened]]/tinder[[#This Row],[Days on Tinder]],0)</f>
        <v>22.045356371490282</v>
      </c>
      <c r="E223">
        <f>tinder[[#This Row],[Engagement]]/MAX(tinder[Engagement])</f>
        <v>0.11078068528387076</v>
      </c>
      <c r="F22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23">
        <v>112</v>
      </c>
      <c r="H223">
        <f>IFERROR(tinder[[#This Row],[Conversations]]/tinder[[#This Row],[Tinder Opened]],0)</f>
        <v>1.0972861761536201E-2</v>
      </c>
      <c r="I223">
        <f>tinder[[#This Row],[Conversations]]/MAX(tinder[Conversations])</f>
        <v>8.8593576965669985E-3</v>
      </c>
      <c r="J223">
        <f>(tinder[[#This Row],[Norm Engagement]]*2)+(tinder[[#This Row],[Norm Swipes]]*1)+(tinder[[#This Row],[Norm Conversations]]*2)</f>
        <v>0.2595247561838685</v>
      </c>
      <c r="K22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23">
        <v>46</v>
      </c>
      <c r="M223">
        <v>0</v>
      </c>
      <c r="N223">
        <v>174</v>
      </c>
      <c r="O223">
        <v>827</v>
      </c>
      <c r="P223">
        <v>956</v>
      </c>
      <c r="Q223">
        <f>tinder[[#This Row],[All Swipes]]/MAX(tinder[All Swipes])</f>
        <v>2.0244670222992971E-2</v>
      </c>
      <c r="R223">
        <f>tinder[[#This Row],[Swipe Right (LIKE)]]+tinder[[#This Row],[Swipe Left (PASS)]]</f>
        <v>17184</v>
      </c>
      <c r="S223">
        <v>7335</v>
      </c>
      <c r="T223">
        <v>9849</v>
      </c>
      <c r="U223" t="s">
        <v>8</v>
      </c>
      <c r="V223" s="1">
        <v>43604</v>
      </c>
      <c r="W223" t="s">
        <v>12</v>
      </c>
      <c r="X223" t="s">
        <v>1295</v>
      </c>
      <c r="Y223" t="s">
        <v>8</v>
      </c>
      <c r="Z223">
        <v>32</v>
      </c>
      <c r="AA223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224" spans="1:27" x14ac:dyDescent="0.3">
      <c r="A224" t="s">
        <v>1188</v>
      </c>
      <c r="B224">
        <v>5458</v>
      </c>
      <c r="C224">
        <v>248</v>
      </c>
      <c r="D224">
        <f>IFERROR(tinder[[#This Row],[Tinder Opened]]/tinder[[#This Row],[Days on Tinder]],0)</f>
        <v>22.008064516129032</v>
      </c>
      <c r="E224">
        <f>tinder[[#This Row],[Engagement]]/MAX(tinder[Engagement])</f>
        <v>0.11059328902577403</v>
      </c>
      <c r="F22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24">
        <v>437</v>
      </c>
      <c r="H224">
        <f>IFERROR(tinder[[#This Row],[Conversations]]/tinder[[#This Row],[Tinder Opened]],0)</f>
        <v>8.0065958226456582E-2</v>
      </c>
      <c r="I224">
        <f>tinder[[#This Row],[Conversations]]/MAX(tinder[Conversations])</f>
        <v>3.456731529821231E-2</v>
      </c>
      <c r="J224">
        <f>(tinder[[#This Row],[Norm Engagement]]*2)+(tinder[[#This Row],[Norm Swipes]]*1)+(tinder[[#This Row],[Norm Conversations]]*2)</f>
        <v>0.30559660402223521</v>
      </c>
      <c r="K22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24">
        <v>72</v>
      </c>
      <c r="M224">
        <v>34</v>
      </c>
      <c r="N224">
        <v>1526</v>
      </c>
      <c r="O224">
        <v>6030</v>
      </c>
      <c r="P224">
        <v>4937</v>
      </c>
      <c r="Q224">
        <f>tinder[[#This Row],[All Swipes]]/MAX(tinder[All Swipes])</f>
        <v>1.5275395374262502E-2</v>
      </c>
      <c r="R224">
        <f>tinder[[#This Row],[Swipe Right (LIKE)]]+tinder[[#This Row],[Swipe Left (PASS)]]</f>
        <v>12966</v>
      </c>
      <c r="S224">
        <v>10538</v>
      </c>
      <c r="T224">
        <v>2428</v>
      </c>
      <c r="U224" t="s">
        <v>8</v>
      </c>
      <c r="V224" s="1">
        <v>44037</v>
      </c>
      <c r="W224" t="s">
        <v>12</v>
      </c>
      <c r="X224" t="s">
        <v>1295</v>
      </c>
      <c r="Y224" t="s">
        <v>8</v>
      </c>
      <c r="Z224">
        <v>30</v>
      </c>
      <c r="AA22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25" spans="1:27" x14ac:dyDescent="0.3">
      <c r="A225" t="s">
        <v>28</v>
      </c>
      <c r="B225">
        <v>88</v>
      </c>
      <c r="C225">
        <v>4</v>
      </c>
      <c r="D225">
        <f>IFERROR(tinder[[#This Row],[Tinder Opened]]/tinder[[#This Row],[Days on Tinder]],0)</f>
        <v>22</v>
      </c>
      <c r="E225">
        <f>tinder[[#This Row],[Engagement]]/MAX(tinder[Engagement])</f>
        <v>0.11055276381909548</v>
      </c>
      <c r="F22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25">
        <v>0</v>
      </c>
      <c r="H225">
        <f>IFERROR(tinder[[#This Row],[Conversations]]/tinder[[#This Row],[Tinder Opened]],0)</f>
        <v>0</v>
      </c>
      <c r="I225">
        <f>tinder[[#This Row],[Conversations]]/MAX(tinder[Conversations])</f>
        <v>0</v>
      </c>
      <c r="J225">
        <f>(tinder[[#This Row],[Norm Engagement]]*2)+(tinder[[#This Row],[Norm Swipes]]*1)+(tinder[[#This Row],[Norm Conversations]]*2)</f>
        <v>0.22177940748965466</v>
      </c>
      <c r="K22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25">
        <v>0</v>
      </c>
      <c r="M225">
        <v>0</v>
      </c>
      <c r="N225">
        <v>4</v>
      </c>
      <c r="O225">
        <v>0</v>
      </c>
      <c r="P225">
        <v>0</v>
      </c>
      <c r="Q225">
        <f>tinder[[#This Row],[All Swipes]]/MAX(tinder[All Swipes])</f>
        <v>6.7387985146368586E-4</v>
      </c>
      <c r="R225">
        <f>tinder[[#This Row],[Swipe Right (LIKE)]]+tinder[[#This Row],[Swipe Left (PASS)]]</f>
        <v>572</v>
      </c>
      <c r="S225">
        <v>278</v>
      </c>
      <c r="T225">
        <v>294</v>
      </c>
      <c r="U225" t="s">
        <v>8</v>
      </c>
      <c r="V225" s="1">
        <v>43973</v>
      </c>
      <c r="W225" t="s">
        <v>12</v>
      </c>
      <c r="X225" t="s">
        <v>1295</v>
      </c>
      <c r="Y225" t="s">
        <v>8</v>
      </c>
      <c r="Z225">
        <v>24</v>
      </c>
      <c r="AA22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26" spans="1:27" x14ac:dyDescent="0.3">
      <c r="A226" t="s">
        <v>201</v>
      </c>
      <c r="B226">
        <v>16969</v>
      </c>
      <c r="C226">
        <v>772</v>
      </c>
      <c r="D226">
        <f>IFERROR(tinder[[#This Row],[Tinder Opened]]/tinder[[#This Row],[Days on Tinder]],0)</f>
        <v>21.980569948186528</v>
      </c>
      <c r="E226">
        <f>tinder[[#This Row],[Engagement]]/MAX(tinder[Engagement])</f>
        <v>0.1104551253677715</v>
      </c>
      <c r="F22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26">
        <v>1515</v>
      </c>
      <c r="H226">
        <f>IFERROR(tinder[[#This Row],[Conversations]]/tinder[[#This Row],[Tinder Opened]],0)</f>
        <v>8.9280452590017087E-2</v>
      </c>
      <c r="I226">
        <f>tinder[[#This Row],[Conversations]]/MAX(tinder[Conversations])</f>
        <v>0.11983863312766967</v>
      </c>
      <c r="J226">
        <f>(tinder[[#This Row],[Norm Engagement]]*2)+(tinder[[#This Row],[Norm Swipes]]*1)+(tinder[[#This Row],[Norm Conversations]]*2)</f>
        <v>0.59748055387991361</v>
      </c>
      <c r="K22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26">
        <v>704</v>
      </c>
      <c r="M226">
        <v>29</v>
      </c>
      <c r="N226">
        <v>2283</v>
      </c>
      <c r="O226">
        <v>5215</v>
      </c>
      <c r="P226">
        <v>4148</v>
      </c>
      <c r="Q226">
        <f>tinder[[#This Row],[All Swipes]]/MAX(tinder[All Swipes])</f>
        <v>0.13689303688903132</v>
      </c>
      <c r="R226">
        <f>tinder[[#This Row],[Swipe Right (LIKE)]]+tinder[[#This Row],[Swipe Left (PASS)]]</f>
        <v>116197</v>
      </c>
      <c r="S226">
        <v>68705</v>
      </c>
      <c r="T226">
        <v>47492</v>
      </c>
      <c r="U226" t="s">
        <v>10</v>
      </c>
      <c r="V226" s="1">
        <v>43190</v>
      </c>
      <c r="W226" t="s">
        <v>12</v>
      </c>
      <c r="X226" t="s">
        <v>1295</v>
      </c>
      <c r="Y226" t="s">
        <v>8</v>
      </c>
      <c r="Z226">
        <v>20</v>
      </c>
      <c r="AA22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27" spans="1:27" x14ac:dyDescent="0.3">
      <c r="A227" t="s">
        <v>9</v>
      </c>
      <c r="B227">
        <v>26280</v>
      </c>
      <c r="C227">
        <v>1197</v>
      </c>
      <c r="D227">
        <f>IFERROR(tinder[[#This Row],[Tinder Opened]]/tinder[[#This Row],[Days on Tinder]],0)</f>
        <v>21.954887218045112</v>
      </c>
      <c r="E227">
        <f>tinder[[#This Row],[Engagement]]/MAX(tinder[Engagement])</f>
        <v>0.11032606642233725</v>
      </c>
      <c r="F22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27">
        <v>464</v>
      </c>
      <c r="H227">
        <f>IFERROR(tinder[[#This Row],[Conversations]]/tinder[[#This Row],[Tinder Opened]],0)</f>
        <v>1.7656012176560123E-2</v>
      </c>
      <c r="I227">
        <f>tinder[[#This Row],[Conversations]]/MAX(tinder[Conversations])</f>
        <v>3.6703053314348998E-2</v>
      </c>
      <c r="J227">
        <f>(tinder[[#This Row],[Norm Engagement]]*2)+(tinder[[#This Row],[Norm Swipes]]*1)+(tinder[[#This Row],[Norm Conversations]]*2)</f>
        <v>0.40553940853710363</v>
      </c>
      <c r="K22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27">
        <v>56</v>
      </c>
      <c r="M227">
        <v>16</v>
      </c>
      <c r="N227">
        <v>888</v>
      </c>
      <c r="O227">
        <v>2088</v>
      </c>
      <c r="P227">
        <v>1509</v>
      </c>
      <c r="Q227">
        <f>tinder[[#This Row],[All Swipes]]/MAX(tinder[All Swipes])</f>
        <v>0.11148116906373112</v>
      </c>
      <c r="R227">
        <f>tinder[[#This Row],[Swipe Right (LIKE)]]+tinder[[#This Row],[Swipe Left (PASS)]]</f>
        <v>94627</v>
      </c>
      <c r="S227">
        <v>45068</v>
      </c>
      <c r="T227">
        <v>49559</v>
      </c>
      <c r="U227" t="s">
        <v>10</v>
      </c>
      <c r="V227" s="1">
        <v>42563</v>
      </c>
      <c r="W227" t="s">
        <v>7</v>
      </c>
      <c r="X227" t="s">
        <v>1295</v>
      </c>
      <c r="Y227" t="s">
        <v>8</v>
      </c>
      <c r="Z227">
        <v>19</v>
      </c>
      <c r="AA22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28" spans="1:27" x14ac:dyDescent="0.3">
      <c r="A228" t="s">
        <v>1110</v>
      </c>
      <c r="B228">
        <v>6170</v>
      </c>
      <c r="C228">
        <v>282</v>
      </c>
      <c r="D228">
        <f>IFERROR(tinder[[#This Row],[Tinder Opened]]/tinder[[#This Row],[Days on Tinder]],0)</f>
        <v>21.879432624113477</v>
      </c>
      <c r="E228">
        <f>tinder[[#This Row],[Engagement]]/MAX(tinder[Engagement])</f>
        <v>0.10994689760861044</v>
      </c>
      <c r="F22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28">
        <v>111</v>
      </c>
      <c r="H228">
        <f>IFERROR(tinder[[#This Row],[Conversations]]/tinder[[#This Row],[Tinder Opened]],0)</f>
        <v>1.7990275526742303E-2</v>
      </c>
      <c r="I228">
        <f>tinder[[#This Row],[Conversations]]/MAX(tinder[Conversations])</f>
        <v>8.7802562885619367E-3</v>
      </c>
      <c r="J228">
        <f>(tinder[[#This Row],[Norm Engagement]]*2)+(tinder[[#This Row],[Norm Swipes]]*1)+(tinder[[#This Row],[Norm Conversations]]*2)</f>
        <v>0.2787424079244083</v>
      </c>
      <c r="K22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28">
        <v>40</v>
      </c>
      <c r="M228">
        <v>0</v>
      </c>
      <c r="N228">
        <v>192</v>
      </c>
      <c r="O228">
        <v>1316</v>
      </c>
      <c r="P228">
        <v>1389</v>
      </c>
      <c r="Q228">
        <f>tinder[[#This Row],[All Swipes]]/MAX(tinder[All Swipes])</f>
        <v>4.1288100130063524E-2</v>
      </c>
      <c r="R228">
        <f>tinder[[#This Row],[Swipe Right (LIKE)]]+tinder[[#This Row],[Swipe Left (PASS)]]</f>
        <v>35046</v>
      </c>
      <c r="S228">
        <v>32851</v>
      </c>
      <c r="T228">
        <v>2195</v>
      </c>
      <c r="U228" t="s">
        <v>8</v>
      </c>
      <c r="V228" s="1">
        <v>43799</v>
      </c>
      <c r="W228" t="s">
        <v>12</v>
      </c>
      <c r="X228" t="s">
        <v>1295</v>
      </c>
      <c r="Y228" t="s">
        <v>8</v>
      </c>
      <c r="Z228">
        <v>23</v>
      </c>
      <c r="AA22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29" spans="1:27" x14ac:dyDescent="0.3">
      <c r="A229" t="s">
        <v>617</v>
      </c>
      <c r="B229">
        <v>2973</v>
      </c>
      <c r="C229">
        <v>136</v>
      </c>
      <c r="D229">
        <f>IFERROR(tinder[[#This Row],[Tinder Opened]]/tinder[[#This Row],[Days on Tinder]],0)</f>
        <v>21.860294117647058</v>
      </c>
      <c r="E229">
        <f>tinder[[#This Row],[Engagement]]/MAX(tinder[Engagement])</f>
        <v>0.1098507242092817</v>
      </c>
      <c r="F22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29">
        <v>36</v>
      </c>
      <c r="H229">
        <f>IFERROR(tinder[[#This Row],[Conversations]]/tinder[[#This Row],[Tinder Opened]],0)</f>
        <v>1.2108980827447022E-2</v>
      </c>
      <c r="I229">
        <f>tinder[[#This Row],[Conversations]]/MAX(tinder[Conversations])</f>
        <v>2.8476506881822496E-3</v>
      </c>
      <c r="J229">
        <f>(tinder[[#This Row],[Norm Engagement]]*2)+(tinder[[#This Row],[Norm Swipes]]*1)+(tinder[[#This Row],[Norm Conversations]]*2)</f>
        <v>0.24923230426138471</v>
      </c>
      <c r="K22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29">
        <v>9</v>
      </c>
      <c r="M229">
        <v>0</v>
      </c>
      <c r="N229">
        <v>43</v>
      </c>
      <c r="O229">
        <v>810</v>
      </c>
      <c r="P229">
        <v>686</v>
      </c>
      <c r="Q229">
        <f>tinder[[#This Row],[All Swipes]]/MAX(tinder[All Swipes])</f>
        <v>2.3835554466456806E-2</v>
      </c>
      <c r="R229">
        <f>tinder[[#This Row],[Swipe Right (LIKE)]]+tinder[[#This Row],[Swipe Left (PASS)]]</f>
        <v>20232</v>
      </c>
      <c r="S229">
        <v>4789</v>
      </c>
      <c r="T229">
        <v>15443</v>
      </c>
      <c r="U229" t="s">
        <v>45</v>
      </c>
      <c r="V229" s="1">
        <v>43444</v>
      </c>
      <c r="W229" t="s">
        <v>12</v>
      </c>
      <c r="X229" t="s">
        <v>1295</v>
      </c>
      <c r="Y229" t="s">
        <v>8</v>
      </c>
      <c r="Z229">
        <v>25</v>
      </c>
      <c r="AA22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30" spans="1:27" x14ac:dyDescent="0.3">
      <c r="A230" t="s">
        <v>815</v>
      </c>
      <c r="B230">
        <v>13792</v>
      </c>
      <c r="C230">
        <v>631</v>
      </c>
      <c r="D230">
        <f>IFERROR(tinder[[#This Row],[Tinder Opened]]/tinder[[#This Row],[Days on Tinder]],0)</f>
        <v>21.857369255150555</v>
      </c>
      <c r="E230">
        <f>tinder[[#This Row],[Engagement]]/MAX(tinder[Engagement])</f>
        <v>0.10983602640779173</v>
      </c>
      <c r="F23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30">
        <v>80</v>
      </c>
      <c r="H230">
        <f>IFERROR(tinder[[#This Row],[Conversations]]/tinder[[#This Row],[Tinder Opened]],0)</f>
        <v>5.8004640371229696E-3</v>
      </c>
      <c r="I230">
        <f>tinder[[#This Row],[Conversations]]/MAX(tinder[Conversations])</f>
        <v>6.3281126404049993E-3</v>
      </c>
      <c r="J230">
        <f>(tinder[[#This Row],[Norm Engagement]]*2)+(tinder[[#This Row],[Norm Swipes]]*1)+(tinder[[#This Row],[Norm Conversations]]*2)</f>
        <v>0.3972214940583923</v>
      </c>
      <c r="K23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30">
        <v>32</v>
      </c>
      <c r="M230">
        <v>11</v>
      </c>
      <c r="N230">
        <v>2032</v>
      </c>
      <c r="O230">
        <v>2184</v>
      </c>
      <c r="P230">
        <v>2036</v>
      </c>
      <c r="Q230">
        <f>tinder[[#This Row],[All Swipes]]/MAX(tinder[All Swipes])</f>
        <v>0.16489321596199882</v>
      </c>
      <c r="R230">
        <f>tinder[[#This Row],[Swipe Right (LIKE)]]+tinder[[#This Row],[Swipe Left (PASS)]]</f>
        <v>139964</v>
      </c>
      <c r="S230">
        <v>121112</v>
      </c>
      <c r="T230">
        <v>18852</v>
      </c>
      <c r="U230" t="s">
        <v>149</v>
      </c>
      <c r="V230" s="1">
        <v>42270</v>
      </c>
      <c r="W230" t="s">
        <v>7</v>
      </c>
      <c r="X230" t="s">
        <v>1295</v>
      </c>
      <c r="Y230" t="s">
        <v>8</v>
      </c>
      <c r="Z230">
        <v>23</v>
      </c>
      <c r="AA23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31" spans="1:27" x14ac:dyDescent="0.3">
      <c r="A231" t="s">
        <v>646</v>
      </c>
      <c r="B231">
        <v>1550</v>
      </c>
      <c r="C231">
        <v>71</v>
      </c>
      <c r="D231">
        <f>IFERROR(tinder[[#This Row],[Tinder Opened]]/tinder[[#This Row],[Days on Tinder]],0)</f>
        <v>21.830985915492956</v>
      </c>
      <c r="E231">
        <f>tinder[[#This Row],[Engagement]]/MAX(tinder[Engagement])</f>
        <v>0.10970344681152239</v>
      </c>
      <c r="F23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31">
        <v>52</v>
      </c>
      <c r="H231">
        <f>IFERROR(tinder[[#This Row],[Conversations]]/tinder[[#This Row],[Tinder Opened]],0)</f>
        <v>3.3548387096774192E-2</v>
      </c>
      <c r="I231">
        <f>tinder[[#This Row],[Conversations]]/MAX(tinder[Conversations])</f>
        <v>4.1132732162632493E-3</v>
      </c>
      <c r="J231">
        <f>(tinder[[#This Row],[Norm Engagement]]*2)+(tinder[[#This Row],[Norm Swipes]]*1)+(tinder[[#This Row],[Norm Conversations]]*2)</f>
        <v>0.2457928526962378</v>
      </c>
      <c r="K23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31">
        <v>8</v>
      </c>
      <c r="M231">
        <v>0</v>
      </c>
      <c r="N231">
        <v>52</v>
      </c>
      <c r="O231">
        <v>1041</v>
      </c>
      <c r="P231">
        <v>720</v>
      </c>
      <c r="Q231">
        <f>tinder[[#This Row],[All Swipes]]/MAX(tinder[All Swipes])</f>
        <v>1.815941264066653E-2</v>
      </c>
      <c r="R231">
        <f>tinder[[#This Row],[Swipe Right (LIKE)]]+tinder[[#This Row],[Swipe Left (PASS)]]</f>
        <v>15414</v>
      </c>
      <c r="S231">
        <v>4501</v>
      </c>
      <c r="T231">
        <v>10913</v>
      </c>
      <c r="U231" t="s">
        <v>45</v>
      </c>
      <c r="V231" s="1">
        <v>43862</v>
      </c>
      <c r="W231" t="s">
        <v>12</v>
      </c>
      <c r="X231" t="s">
        <v>1295</v>
      </c>
      <c r="Y231" t="s">
        <v>647</v>
      </c>
      <c r="Z231">
        <v>35</v>
      </c>
      <c r="AA231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232" spans="1:27" x14ac:dyDescent="0.3">
      <c r="A232" t="s">
        <v>1244</v>
      </c>
      <c r="B232">
        <v>5216</v>
      </c>
      <c r="C232">
        <v>240</v>
      </c>
      <c r="D232">
        <f>IFERROR(tinder[[#This Row],[Tinder Opened]]/tinder[[#This Row],[Days on Tinder]],0)</f>
        <v>21.733333333333334</v>
      </c>
      <c r="E232">
        <f>tinder[[#This Row],[Engagement]]/MAX(tinder[Engagement])</f>
        <v>0.10921273031825796</v>
      </c>
      <c r="F23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32">
        <v>637</v>
      </c>
      <c r="H232">
        <f>IFERROR(tinder[[#This Row],[Conversations]]/tinder[[#This Row],[Tinder Opened]],0)</f>
        <v>0.12212423312883436</v>
      </c>
      <c r="I232">
        <f>tinder[[#This Row],[Conversations]]/MAX(tinder[Conversations])</f>
        <v>5.0387596899224806E-2</v>
      </c>
      <c r="J232">
        <f>(tinder[[#This Row],[Norm Engagement]]*2)+(tinder[[#This Row],[Norm Swipes]]*1)+(tinder[[#This Row],[Norm Conversations]]*2)</f>
        <v>0.36139943485380777</v>
      </c>
      <c r="K23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32">
        <v>91</v>
      </c>
      <c r="M232">
        <v>42</v>
      </c>
      <c r="N232">
        <v>803</v>
      </c>
      <c r="O232">
        <v>3999</v>
      </c>
      <c r="P232">
        <v>2961</v>
      </c>
      <c r="Q232">
        <f>tinder[[#This Row],[All Swipes]]/MAX(tinder[All Swipes])</f>
        <v>4.2198780418842244E-2</v>
      </c>
      <c r="R232">
        <f>tinder[[#This Row],[Swipe Right (LIKE)]]+tinder[[#This Row],[Swipe Left (PASS)]]</f>
        <v>35819</v>
      </c>
      <c r="S232">
        <v>9274</v>
      </c>
      <c r="T232">
        <v>26545</v>
      </c>
      <c r="U232" t="s">
        <v>8</v>
      </c>
      <c r="V232" s="1">
        <v>43969</v>
      </c>
      <c r="W232" t="s">
        <v>12</v>
      </c>
      <c r="X232" t="s">
        <v>1295</v>
      </c>
      <c r="Y232" t="s">
        <v>1245</v>
      </c>
      <c r="Z232">
        <v>30</v>
      </c>
      <c r="AA23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33" spans="1:27" x14ac:dyDescent="0.3">
      <c r="A233" t="s">
        <v>29</v>
      </c>
      <c r="B233">
        <v>1432</v>
      </c>
      <c r="C233">
        <v>66</v>
      </c>
      <c r="D233">
        <f>IFERROR(tinder[[#This Row],[Tinder Opened]]/tinder[[#This Row],[Days on Tinder]],0)</f>
        <v>21.696969696969695</v>
      </c>
      <c r="E233">
        <f>tinder[[#This Row],[Engagement]]/MAX(tinder[Engagement])</f>
        <v>0.10902999847723464</v>
      </c>
      <c r="F23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33">
        <v>5</v>
      </c>
      <c r="H233">
        <f>IFERROR(tinder[[#This Row],[Conversations]]/tinder[[#This Row],[Tinder Opened]],0)</f>
        <v>3.4916201117318434E-3</v>
      </c>
      <c r="I233">
        <f>tinder[[#This Row],[Conversations]]/MAX(tinder[Conversations])</f>
        <v>3.9550704002531246E-4</v>
      </c>
      <c r="J233">
        <f>(tinder[[#This Row],[Norm Engagement]]*2)+(tinder[[#This Row],[Norm Swipes]]*1)+(tinder[[#This Row],[Norm Conversations]]*2)</f>
        <v>0.22886849421108585</v>
      </c>
      <c r="K23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33">
        <v>3</v>
      </c>
      <c r="M233">
        <v>0</v>
      </c>
      <c r="N233">
        <v>28</v>
      </c>
      <c r="O233">
        <v>10</v>
      </c>
      <c r="P233">
        <v>12</v>
      </c>
      <c r="Q233">
        <f>tinder[[#This Row],[All Swipes]]/MAX(tinder[All Swipes])</f>
        <v>1.0017483176565947E-2</v>
      </c>
      <c r="R233">
        <f>tinder[[#This Row],[Swipe Right (LIKE)]]+tinder[[#This Row],[Swipe Left (PASS)]]</f>
        <v>8503</v>
      </c>
      <c r="S233">
        <v>4128</v>
      </c>
      <c r="T233">
        <v>4375</v>
      </c>
      <c r="U233" t="s">
        <v>8</v>
      </c>
      <c r="V233" s="1">
        <v>43832</v>
      </c>
      <c r="W233" t="s">
        <v>12</v>
      </c>
      <c r="X233" t="s">
        <v>1295</v>
      </c>
      <c r="Y233" t="s">
        <v>8</v>
      </c>
      <c r="Z233">
        <v>19</v>
      </c>
      <c r="AA23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34" spans="1:27" x14ac:dyDescent="0.3">
      <c r="A234" t="s">
        <v>825</v>
      </c>
      <c r="B234">
        <v>1887</v>
      </c>
      <c r="C234">
        <v>87</v>
      </c>
      <c r="D234">
        <f>IFERROR(tinder[[#This Row],[Tinder Opened]]/tinder[[#This Row],[Days on Tinder]],0)</f>
        <v>21.689655172413794</v>
      </c>
      <c r="E234">
        <f>tinder[[#This Row],[Engagement]]/MAX(tinder[Engagement])</f>
        <v>0.10899324207243112</v>
      </c>
      <c r="F23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34">
        <v>29</v>
      </c>
      <c r="H234">
        <f>IFERROR(tinder[[#This Row],[Conversations]]/tinder[[#This Row],[Tinder Opened]],0)</f>
        <v>1.5368309485956544E-2</v>
      </c>
      <c r="I234">
        <f>tinder[[#This Row],[Conversations]]/MAX(tinder[Conversations])</f>
        <v>2.2939408321468123E-3</v>
      </c>
      <c r="J234">
        <f>(tinder[[#This Row],[Norm Engagement]]*2)+(tinder[[#This Row],[Norm Swipes]]*1)+(tinder[[#This Row],[Norm Conversations]]*2)</f>
        <v>0.25249486683646921</v>
      </c>
      <c r="K23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34">
        <v>2</v>
      </c>
      <c r="M234">
        <v>0</v>
      </c>
      <c r="N234">
        <v>14</v>
      </c>
      <c r="O234">
        <v>357</v>
      </c>
      <c r="P234">
        <v>244</v>
      </c>
      <c r="Q234">
        <f>tinder[[#This Row],[All Swipes]]/MAX(tinder[All Swipes])</f>
        <v>2.9920501027313341E-2</v>
      </c>
      <c r="R234">
        <f>tinder[[#This Row],[Swipe Right (LIKE)]]+tinder[[#This Row],[Swipe Left (PASS)]]</f>
        <v>25397</v>
      </c>
      <c r="S234">
        <v>9468</v>
      </c>
      <c r="T234">
        <v>15929</v>
      </c>
      <c r="U234" t="s">
        <v>497</v>
      </c>
      <c r="V234" s="1">
        <v>44212</v>
      </c>
      <c r="W234" t="s">
        <v>12</v>
      </c>
      <c r="X234" t="s">
        <v>1295</v>
      </c>
      <c r="Y234" t="s">
        <v>8</v>
      </c>
      <c r="Z234">
        <v>24</v>
      </c>
      <c r="AA23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35" spans="1:27" x14ac:dyDescent="0.3">
      <c r="A235" t="s">
        <v>565</v>
      </c>
      <c r="B235">
        <v>5982</v>
      </c>
      <c r="C235">
        <v>276</v>
      </c>
      <c r="D235">
        <f>IFERROR(tinder[[#This Row],[Tinder Opened]]/tinder[[#This Row],[Days on Tinder]],0)</f>
        <v>21.673913043478262</v>
      </c>
      <c r="E235">
        <f>tinder[[#This Row],[Engagement]]/MAX(tinder[Engagement])</f>
        <v>0.10891413589687568</v>
      </c>
      <c r="F23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35">
        <v>183</v>
      </c>
      <c r="H235">
        <f>IFERROR(tinder[[#This Row],[Conversations]]/tinder[[#This Row],[Tinder Opened]],0)</f>
        <v>3.0591775325977934E-2</v>
      </c>
      <c r="I235">
        <f>tinder[[#This Row],[Conversations]]/MAX(tinder[Conversations])</f>
        <v>1.4475557664926435E-2</v>
      </c>
      <c r="J235">
        <f>(tinder[[#This Row],[Norm Engagement]]*2)+(tinder[[#This Row],[Norm Swipes]]*1)+(tinder[[#This Row],[Norm Conversations]]*2)</f>
        <v>0.25867595834752083</v>
      </c>
      <c r="K23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35">
        <v>48</v>
      </c>
      <c r="M235">
        <v>4</v>
      </c>
      <c r="N235">
        <v>324</v>
      </c>
      <c r="O235">
        <v>2510</v>
      </c>
      <c r="P235">
        <v>2124</v>
      </c>
      <c r="Q235">
        <f>tinder[[#This Row],[All Swipes]]/MAX(tinder[All Swipes])</f>
        <v>1.1896571223916609E-2</v>
      </c>
      <c r="R235">
        <f>tinder[[#This Row],[Swipe Right (LIKE)]]+tinder[[#This Row],[Swipe Left (PASS)]]</f>
        <v>10098</v>
      </c>
      <c r="S235">
        <v>3359</v>
      </c>
      <c r="T235">
        <v>6739</v>
      </c>
      <c r="U235" t="s">
        <v>10</v>
      </c>
      <c r="V235" s="1">
        <v>43822</v>
      </c>
      <c r="W235" t="s">
        <v>12</v>
      </c>
      <c r="X235" t="s">
        <v>1295</v>
      </c>
      <c r="Y235" t="s">
        <v>566</v>
      </c>
      <c r="Z235">
        <v>20</v>
      </c>
      <c r="AA23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36" spans="1:27" x14ac:dyDescent="0.3">
      <c r="A236" t="s">
        <v>1148</v>
      </c>
      <c r="B236">
        <v>1634</v>
      </c>
      <c r="C236">
        <v>76</v>
      </c>
      <c r="D236">
        <f>IFERROR(tinder[[#This Row],[Tinder Opened]]/tinder[[#This Row],[Days on Tinder]],0)</f>
        <v>21.5</v>
      </c>
      <c r="E236">
        <f>tinder[[#This Row],[Engagement]]/MAX(tinder[Engagement])</f>
        <v>0.10804020100502512</v>
      </c>
      <c r="F23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36">
        <v>75</v>
      </c>
      <c r="H236">
        <f>IFERROR(tinder[[#This Row],[Conversations]]/tinder[[#This Row],[Tinder Opened]],0)</f>
        <v>4.5899632802937573E-2</v>
      </c>
      <c r="I236">
        <f>tinder[[#This Row],[Conversations]]/MAX(tinder[Conversations])</f>
        <v>5.9326056003796866E-3</v>
      </c>
      <c r="J236">
        <f>(tinder[[#This Row],[Norm Engagement]]*2)+(tinder[[#This Row],[Norm Swipes]]*1)+(tinder[[#This Row],[Norm Conversations]]*2)</f>
        <v>0.24240339911493961</v>
      </c>
      <c r="K23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36">
        <v>13</v>
      </c>
      <c r="M236">
        <v>5</v>
      </c>
      <c r="N236">
        <v>93</v>
      </c>
      <c r="O236">
        <v>625</v>
      </c>
      <c r="P236">
        <v>398</v>
      </c>
      <c r="Q236">
        <f>tinder[[#This Row],[All Swipes]]/MAX(tinder[All Swipes])</f>
        <v>1.4457785904129989E-2</v>
      </c>
      <c r="R236">
        <f>tinder[[#This Row],[Swipe Right (LIKE)]]+tinder[[#This Row],[Swipe Left (PASS)]]</f>
        <v>12272</v>
      </c>
      <c r="S236">
        <v>4760</v>
      </c>
      <c r="T236">
        <v>7512</v>
      </c>
      <c r="U236" t="s">
        <v>8</v>
      </c>
      <c r="V236" s="1">
        <v>44114</v>
      </c>
      <c r="W236" t="s">
        <v>12</v>
      </c>
      <c r="X236" t="s">
        <v>1295</v>
      </c>
      <c r="Y236" t="s">
        <v>1149</v>
      </c>
      <c r="Z236">
        <v>29</v>
      </c>
      <c r="AA23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37" spans="1:27" x14ac:dyDescent="0.3">
      <c r="A237" t="s">
        <v>469</v>
      </c>
      <c r="B237">
        <v>1626</v>
      </c>
      <c r="C237">
        <v>76</v>
      </c>
      <c r="D237">
        <f>IFERROR(tinder[[#This Row],[Tinder Opened]]/tinder[[#This Row],[Days on Tinder]],0)</f>
        <v>21.394736842105264</v>
      </c>
      <c r="E237">
        <f>tinder[[#This Row],[Engagement]]/MAX(tinder[Engagement])</f>
        <v>0.10751124041258926</v>
      </c>
      <c r="F23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37">
        <v>38</v>
      </c>
      <c r="H237">
        <f>IFERROR(tinder[[#This Row],[Conversations]]/tinder[[#This Row],[Tinder Opened]],0)</f>
        <v>2.3370233702337023E-2</v>
      </c>
      <c r="I237">
        <f>tinder[[#This Row],[Conversations]]/MAX(tinder[Conversations])</f>
        <v>3.0058535041923747E-3</v>
      </c>
      <c r="J237">
        <f>(tinder[[#This Row],[Norm Engagement]]*2)+(tinder[[#This Row],[Norm Swipes]]*1)+(tinder[[#This Row],[Norm Conversations]]*2)</f>
        <v>0.25129398500986533</v>
      </c>
      <c r="K23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37">
        <v>13</v>
      </c>
      <c r="M237">
        <v>0</v>
      </c>
      <c r="N237">
        <v>47</v>
      </c>
      <c r="O237">
        <v>243</v>
      </c>
      <c r="P237">
        <v>212</v>
      </c>
      <c r="Q237">
        <f>tinder[[#This Row],[All Swipes]]/MAX(tinder[All Swipes])</f>
        <v>3.0259797176302047E-2</v>
      </c>
      <c r="R237">
        <f>tinder[[#This Row],[Swipe Right (LIKE)]]+tinder[[#This Row],[Swipe Left (PASS)]]</f>
        <v>25685</v>
      </c>
      <c r="S237">
        <v>5149</v>
      </c>
      <c r="T237">
        <v>20536</v>
      </c>
      <c r="U237" t="s">
        <v>75</v>
      </c>
      <c r="V237" s="1">
        <v>44133</v>
      </c>
      <c r="W237" t="s">
        <v>12</v>
      </c>
      <c r="X237" t="s">
        <v>1295</v>
      </c>
      <c r="Y237" t="s">
        <v>470</v>
      </c>
      <c r="Z237">
        <v>35</v>
      </c>
      <c r="AA237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238" spans="1:27" x14ac:dyDescent="0.3">
      <c r="A238" t="s">
        <v>240</v>
      </c>
      <c r="B238">
        <v>1276</v>
      </c>
      <c r="C238">
        <v>60</v>
      </c>
      <c r="D238">
        <f>IFERROR(tinder[[#This Row],[Tinder Opened]]/tinder[[#This Row],[Days on Tinder]],0)</f>
        <v>21.266666666666666</v>
      </c>
      <c r="E238">
        <f>tinder[[#This Row],[Engagement]]/MAX(tinder[Engagement])</f>
        <v>0.10686767169179229</v>
      </c>
      <c r="F23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38">
        <v>23</v>
      </c>
      <c r="H238">
        <f>IFERROR(tinder[[#This Row],[Conversations]]/tinder[[#This Row],[Tinder Opened]],0)</f>
        <v>1.8025078369905956E-2</v>
      </c>
      <c r="I238">
        <f>tinder[[#This Row],[Conversations]]/MAX(tinder[Conversations])</f>
        <v>1.8193323841164373E-3</v>
      </c>
      <c r="J238">
        <f>(tinder[[#This Row],[Norm Engagement]]*2)+(tinder[[#This Row],[Norm Swipes]]*1)+(tinder[[#This Row],[Norm Conversations]]*2)</f>
        <v>0.23302286491229324</v>
      </c>
      <c r="K23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38">
        <v>9</v>
      </c>
      <c r="M238">
        <v>0</v>
      </c>
      <c r="N238">
        <v>49</v>
      </c>
      <c r="O238">
        <v>119</v>
      </c>
      <c r="P238">
        <v>80</v>
      </c>
      <c r="Q238">
        <f>tinder[[#This Row],[All Swipes]]/MAX(tinder[All Swipes])</f>
        <v>1.5648856760475768E-2</v>
      </c>
      <c r="R238">
        <f>tinder[[#This Row],[Swipe Right (LIKE)]]+tinder[[#This Row],[Swipe Left (PASS)]]</f>
        <v>13283</v>
      </c>
      <c r="S238">
        <v>5241</v>
      </c>
      <c r="T238">
        <v>8042</v>
      </c>
      <c r="U238" t="s">
        <v>14</v>
      </c>
      <c r="V238" s="1">
        <v>44106</v>
      </c>
      <c r="W238" t="s">
        <v>12</v>
      </c>
      <c r="X238" t="s">
        <v>1295</v>
      </c>
      <c r="Y238" t="s">
        <v>241</v>
      </c>
      <c r="Z238">
        <v>24</v>
      </c>
      <c r="AA23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39" spans="1:27" x14ac:dyDescent="0.3">
      <c r="A239" t="s">
        <v>24</v>
      </c>
      <c r="B239">
        <v>1441</v>
      </c>
      <c r="C239">
        <v>68</v>
      </c>
      <c r="D239">
        <f>IFERROR(tinder[[#This Row],[Tinder Opened]]/tinder[[#This Row],[Days on Tinder]],0)</f>
        <v>21.191176470588236</v>
      </c>
      <c r="E239">
        <f>tinder[[#This Row],[Engagement]]/MAX(tinder[Engagement])</f>
        <v>0.10648832397280521</v>
      </c>
      <c r="F23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39">
        <v>62</v>
      </c>
      <c r="H239">
        <f>IFERROR(tinder[[#This Row],[Conversations]]/tinder[[#This Row],[Tinder Opened]],0)</f>
        <v>4.302567661346287E-2</v>
      </c>
      <c r="I239">
        <f>tinder[[#This Row],[Conversations]]/MAX(tinder[Conversations])</f>
        <v>4.9042872963138747E-3</v>
      </c>
      <c r="J239">
        <f>(tinder[[#This Row],[Norm Engagement]]*2)+(tinder[[#This Row],[Norm Swipes]]*1)+(tinder[[#This Row],[Norm Conversations]]*2)</f>
        <v>0.23077164126738559</v>
      </c>
      <c r="K23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39">
        <v>25</v>
      </c>
      <c r="M239">
        <v>1</v>
      </c>
      <c r="N239">
        <v>112</v>
      </c>
      <c r="O239">
        <v>798</v>
      </c>
      <c r="P239">
        <v>840</v>
      </c>
      <c r="Q239">
        <f>tinder[[#This Row],[All Swipes]]/MAX(tinder[All Swipes])</f>
        <v>7.9864187291474233E-3</v>
      </c>
      <c r="R239">
        <f>tinder[[#This Row],[Swipe Right (LIKE)]]+tinder[[#This Row],[Swipe Left (PASS)]]</f>
        <v>6779</v>
      </c>
      <c r="S239">
        <v>1931</v>
      </c>
      <c r="T239">
        <v>4848</v>
      </c>
      <c r="U239" t="s">
        <v>25</v>
      </c>
      <c r="V239" s="1">
        <v>43754</v>
      </c>
      <c r="W239" t="s">
        <v>12</v>
      </c>
      <c r="X239" t="s">
        <v>1295</v>
      </c>
      <c r="Y239" t="s">
        <v>8</v>
      </c>
      <c r="Z239">
        <v>18</v>
      </c>
      <c r="AA23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40" spans="1:27" x14ac:dyDescent="0.3">
      <c r="A240" t="s">
        <v>787</v>
      </c>
      <c r="B240">
        <v>11161</v>
      </c>
      <c r="C240">
        <v>530</v>
      </c>
      <c r="D240">
        <f>IFERROR(tinder[[#This Row],[Tinder Opened]]/tinder[[#This Row],[Days on Tinder]],0)</f>
        <v>21.058490566037737</v>
      </c>
      <c r="E240">
        <f>tinder[[#This Row],[Engagement]]/MAX(tinder[Engagement])</f>
        <v>0.10582156063335546</v>
      </c>
      <c r="F24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40">
        <v>941</v>
      </c>
      <c r="H240">
        <f>IFERROR(tinder[[#This Row],[Conversations]]/tinder[[#This Row],[Tinder Opened]],0)</f>
        <v>8.431144162709435E-2</v>
      </c>
      <c r="I240">
        <f>tinder[[#This Row],[Conversations]]/MAX(tinder[Conversations])</f>
        <v>7.443442493276381E-2</v>
      </c>
      <c r="J240">
        <f>(tinder[[#This Row],[Norm Engagement]]*2)+(tinder[[#This Row],[Norm Swipes]]*1)+(tinder[[#This Row],[Norm Conversations]]*2)</f>
        <v>0.45381605588087665</v>
      </c>
      <c r="K24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40">
        <v>150</v>
      </c>
      <c r="M240">
        <v>43</v>
      </c>
      <c r="N240">
        <v>1640</v>
      </c>
      <c r="O240">
        <v>9866</v>
      </c>
      <c r="P240">
        <v>7826</v>
      </c>
      <c r="Q240">
        <f>tinder[[#This Row],[All Swipes]]/MAX(tinder[All Swipes])</f>
        <v>9.3304084748638105E-2</v>
      </c>
      <c r="R240">
        <f>tinder[[#This Row],[Swipe Right (LIKE)]]+tinder[[#This Row],[Swipe Left (PASS)]]</f>
        <v>79198</v>
      </c>
      <c r="S240">
        <v>12413</v>
      </c>
      <c r="T240">
        <v>66785</v>
      </c>
      <c r="U240" t="s">
        <v>8</v>
      </c>
      <c r="V240" s="1">
        <v>43440</v>
      </c>
      <c r="W240" t="s">
        <v>12</v>
      </c>
      <c r="X240" t="s">
        <v>1295</v>
      </c>
      <c r="Y240" t="s">
        <v>8</v>
      </c>
      <c r="Z240">
        <v>35</v>
      </c>
      <c r="AA24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241" spans="1:27" x14ac:dyDescent="0.3">
      <c r="A241" t="s">
        <v>464</v>
      </c>
      <c r="B241">
        <v>779</v>
      </c>
      <c r="C241">
        <v>37</v>
      </c>
      <c r="D241">
        <f>IFERROR(tinder[[#This Row],[Tinder Opened]]/tinder[[#This Row],[Days on Tinder]],0)</f>
        <v>21.054054054054053</v>
      </c>
      <c r="E241">
        <f>tinder[[#This Row],[Engagement]]/MAX(tinder[Engagement])</f>
        <v>0.1057992666032867</v>
      </c>
      <c r="F24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41">
        <v>105</v>
      </c>
      <c r="H241">
        <f>IFERROR(tinder[[#This Row],[Conversations]]/tinder[[#This Row],[Tinder Opened]],0)</f>
        <v>0.13478818998716302</v>
      </c>
      <c r="I241">
        <f>tinder[[#This Row],[Conversations]]/MAX(tinder[Conversations])</f>
        <v>8.3056478405315621E-3</v>
      </c>
      <c r="J241">
        <f>(tinder[[#This Row],[Norm Engagement]]*2)+(tinder[[#This Row],[Norm Swipes]]*1)+(tinder[[#This Row],[Norm Conversations]]*2)</f>
        <v>0.23448091708578547</v>
      </c>
      <c r="K24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41">
        <v>16</v>
      </c>
      <c r="M241">
        <v>18</v>
      </c>
      <c r="N241">
        <v>184</v>
      </c>
      <c r="O241">
        <v>1138</v>
      </c>
      <c r="P241">
        <v>1684</v>
      </c>
      <c r="Q241">
        <f>tinder[[#This Row],[All Swipes]]/MAX(tinder[All Swipes])</f>
        <v>6.2710881981489514E-3</v>
      </c>
      <c r="R241">
        <f>tinder[[#This Row],[Swipe Right (LIKE)]]+tinder[[#This Row],[Swipe Left (PASS)]]</f>
        <v>5323</v>
      </c>
      <c r="S241">
        <v>386</v>
      </c>
      <c r="T241">
        <v>4937</v>
      </c>
      <c r="U241" t="s">
        <v>465</v>
      </c>
      <c r="V241" s="1">
        <v>44223</v>
      </c>
      <c r="W241" t="s">
        <v>12</v>
      </c>
      <c r="X241" t="s">
        <v>1296</v>
      </c>
      <c r="Y241" t="s">
        <v>466</v>
      </c>
      <c r="Z241">
        <v>19</v>
      </c>
      <c r="AA24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42" spans="1:27" x14ac:dyDescent="0.3">
      <c r="A242" t="s">
        <v>213</v>
      </c>
      <c r="B242">
        <v>1326</v>
      </c>
      <c r="C242">
        <v>63</v>
      </c>
      <c r="D242">
        <f>IFERROR(tinder[[#This Row],[Tinder Opened]]/tinder[[#This Row],[Days on Tinder]],0)</f>
        <v>21.047619047619047</v>
      </c>
      <c r="E242">
        <f>tinder[[#This Row],[Engagement]]/MAX(tinder[Engagement])</f>
        <v>0.1057669298875329</v>
      </c>
      <c r="F24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42">
        <v>174</v>
      </c>
      <c r="H242">
        <f>IFERROR(tinder[[#This Row],[Conversations]]/tinder[[#This Row],[Tinder Opened]],0)</f>
        <v>0.13122171945701358</v>
      </c>
      <c r="I242">
        <f>tinder[[#This Row],[Conversations]]/MAX(tinder[Conversations])</f>
        <v>1.3763644992880873E-2</v>
      </c>
      <c r="J242">
        <f>(tinder[[#This Row],[Norm Engagement]]*2)+(tinder[[#This Row],[Norm Swipes]]*1)+(tinder[[#This Row],[Norm Conversations]]*2)</f>
        <v>0.27891548803908811</v>
      </c>
      <c r="K24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42">
        <v>24</v>
      </c>
      <c r="M242">
        <v>41</v>
      </c>
      <c r="N242">
        <v>429</v>
      </c>
      <c r="O242">
        <v>1765</v>
      </c>
      <c r="P242">
        <v>1388</v>
      </c>
      <c r="Q242">
        <f>tinder[[#This Row],[All Swipes]]/MAX(tinder[All Swipes])</f>
        <v>3.9854338278260543E-2</v>
      </c>
      <c r="R242">
        <f>tinder[[#This Row],[Swipe Right (LIKE)]]+tinder[[#This Row],[Swipe Left (PASS)]]</f>
        <v>33829</v>
      </c>
      <c r="S242">
        <v>1254</v>
      </c>
      <c r="T242">
        <v>32575</v>
      </c>
      <c r="U242" t="s">
        <v>8</v>
      </c>
      <c r="V242" s="1">
        <v>44083</v>
      </c>
      <c r="W242" t="s">
        <v>12</v>
      </c>
      <c r="X242" t="s">
        <v>1296</v>
      </c>
      <c r="Y242" t="s">
        <v>193</v>
      </c>
      <c r="Z242">
        <v>23</v>
      </c>
      <c r="AA24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43" spans="1:27" x14ac:dyDescent="0.3">
      <c r="A243" t="s">
        <v>784</v>
      </c>
      <c r="B243">
        <v>4456</v>
      </c>
      <c r="C243">
        <v>212</v>
      </c>
      <c r="D243">
        <f>IFERROR(tinder[[#This Row],[Tinder Opened]]/tinder[[#This Row],[Days on Tinder]],0)</f>
        <v>21.018867924528301</v>
      </c>
      <c r="E243">
        <f>tinder[[#This Row],[Engagement]]/MAX(tinder[Engagement])</f>
        <v>0.10562245188205177</v>
      </c>
      <c r="F24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43">
        <v>155</v>
      </c>
      <c r="H243">
        <f>IFERROR(tinder[[#This Row],[Conversations]]/tinder[[#This Row],[Tinder Opened]],0)</f>
        <v>3.4784560143626568E-2</v>
      </c>
      <c r="I243">
        <f>tinder[[#This Row],[Conversations]]/MAX(tinder[Conversations])</f>
        <v>1.2260718240784686E-2</v>
      </c>
      <c r="J243">
        <f>(tinder[[#This Row],[Norm Engagement]]*2)+(tinder[[#This Row],[Norm Swipes]]*1)+(tinder[[#This Row],[Norm Conversations]]*2)</f>
        <v>0.2656467854776195</v>
      </c>
      <c r="K24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43">
        <v>26</v>
      </c>
      <c r="M243">
        <v>44</v>
      </c>
      <c r="N243">
        <v>499</v>
      </c>
      <c r="O243">
        <v>1643</v>
      </c>
      <c r="P243">
        <v>1967</v>
      </c>
      <c r="Q243">
        <f>tinder[[#This Row],[All Swipes]]/MAX(tinder[All Swipes])</f>
        <v>2.9880445231946617E-2</v>
      </c>
      <c r="R243">
        <f>tinder[[#This Row],[Swipe Right (LIKE)]]+tinder[[#This Row],[Swipe Left (PASS)]]</f>
        <v>25363</v>
      </c>
      <c r="S243">
        <v>2379</v>
      </c>
      <c r="T243">
        <v>22984</v>
      </c>
      <c r="U243" t="s">
        <v>27</v>
      </c>
      <c r="V243" s="1">
        <v>43940</v>
      </c>
      <c r="W243" t="s">
        <v>12</v>
      </c>
      <c r="X243" t="s">
        <v>1296</v>
      </c>
      <c r="Y243" t="s">
        <v>8</v>
      </c>
      <c r="Z243">
        <v>18</v>
      </c>
      <c r="AA24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44" spans="1:27" x14ac:dyDescent="0.3">
      <c r="A244" t="s">
        <v>245</v>
      </c>
      <c r="B244">
        <v>2118</v>
      </c>
      <c r="C244">
        <v>101</v>
      </c>
      <c r="D244">
        <f>IFERROR(tinder[[#This Row],[Tinder Opened]]/tinder[[#This Row],[Days on Tinder]],0)</f>
        <v>20.970297029702969</v>
      </c>
      <c r="E244">
        <f>tinder[[#This Row],[Engagement]]/MAX(tinder[Engagement])</f>
        <v>0.10537837703368326</v>
      </c>
      <c r="F24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44">
        <v>410</v>
      </c>
      <c r="H244">
        <f>IFERROR(tinder[[#This Row],[Conversations]]/tinder[[#This Row],[Tinder Opened]],0)</f>
        <v>0.19357884796978281</v>
      </c>
      <c r="I244">
        <f>tinder[[#This Row],[Conversations]]/MAX(tinder[Conversations])</f>
        <v>3.2431577282075623E-2</v>
      </c>
      <c r="J244">
        <f>(tinder[[#This Row],[Norm Engagement]]*2)+(tinder[[#This Row],[Norm Swipes]]*1)+(tinder[[#This Row],[Norm Conversations]]*2)</f>
        <v>0.32329337378768824</v>
      </c>
      <c r="K24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44">
        <v>194</v>
      </c>
      <c r="M244">
        <v>47</v>
      </c>
      <c r="N244">
        <v>672</v>
      </c>
      <c r="O244">
        <v>941</v>
      </c>
      <c r="P244">
        <v>683</v>
      </c>
      <c r="Q244">
        <f>tinder[[#This Row],[All Swipes]]/MAX(tinder[All Swipes])</f>
        <v>4.7673465156170478E-2</v>
      </c>
      <c r="R244">
        <f>tinder[[#This Row],[Swipe Right (LIKE)]]+tinder[[#This Row],[Swipe Left (PASS)]]</f>
        <v>40466</v>
      </c>
      <c r="S244">
        <v>14548</v>
      </c>
      <c r="T244">
        <v>25918</v>
      </c>
      <c r="U244" t="s">
        <v>8</v>
      </c>
      <c r="V244" s="1">
        <v>44057</v>
      </c>
      <c r="W244" t="s">
        <v>12</v>
      </c>
      <c r="X244" t="s">
        <v>1295</v>
      </c>
      <c r="Y244" t="s">
        <v>8</v>
      </c>
      <c r="Z244">
        <v>18</v>
      </c>
      <c r="AA24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45" spans="1:27" x14ac:dyDescent="0.3">
      <c r="A245" t="s">
        <v>258</v>
      </c>
      <c r="B245">
        <v>3962</v>
      </c>
      <c r="C245">
        <v>189</v>
      </c>
      <c r="D245">
        <f>IFERROR(tinder[[#This Row],[Tinder Opened]]/tinder[[#This Row],[Days on Tinder]],0)</f>
        <v>20.962962962962962</v>
      </c>
      <c r="E245">
        <f>tinder[[#This Row],[Engagement]]/MAX(tinder[Engagement])</f>
        <v>0.10534152242694955</v>
      </c>
      <c r="F24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45">
        <v>479</v>
      </c>
      <c r="H245">
        <f>IFERROR(tinder[[#This Row],[Conversations]]/tinder[[#This Row],[Tinder Opened]],0)</f>
        <v>0.12089853609288238</v>
      </c>
      <c r="I245">
        <f>tinder[[#This Row],[Conversations]]/MAX(tinder[Conversations])</f>
        <v>3.7889574434424936E-2</v>
      </c>
      <c r="J245">
        <f>(tinder[[#This Row],[Norm Engagement]]*2)+(tinder[[#This Row],[Norm Swipes]]*1)+(tinder[[#This Row],[Norm Conversations]]*2)</f>
        <v>0.44164423553157439</v>
      </c>
      <c r="K24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45">
        <v>83</v>
      </c>
      <c r="M245">
        <v>157</v>
      </c>
      <c r="N245">
        <v>721</v>
      </c>
      <c r="O245">
        <v>2526</v>
      </c>
      <c r="P245">
        <v>3918</v>
      </c>
      <c r="Q245">
        <f>tinder[[#This Row],[All Swipes]]/MAX(tinder[All Swipes])</f>
        <v>0.15518204180882547</v>
      </c>
      <c r="R245">
        <f>tinder[[#This Row],[Swipe Right (LIKE)]]+tinder[[#This Row],[Swipe Left (PASS)]]</f>
        <v>131721</v>
      </c>
      <c r="S245">
        <v>2866</v>
      </c>
      <c r="T245">
        <v>128855</v>
      </c>
      <c r="U245" t="s">
        <v>140</v>
      </c>
      <c r="V245" s="1">
        <v>44109</v>
      </c>
      <c r="W245" t="s">
        <v>12</v>
      </c>
      <c r="X245" t="s">
        <v>1296</v>
      </c>
      <c r="Y245" t="s">
        <v>8</v>
      </c>
      <c r="Z245">
        <v>26</v>
      </c>
      <c r="AA24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46" spans="1:27" x14ac:dyDescent="0.3">
      <c r="A246" t="s">
        <v>103</v>
      </c>
      <c r="B246">
        <v>4001</v>
      </c>
      <c r="C246">
        <v>191</v>
      </c>
      <c r="D246">
        <f>IFERROR(tinder[[#This Row],[Tinder Opened]]/tinder[[#This Row],[Days on Tinder]],0)</f>
        <v>20.947643979057592</v>
      </c>
      <c r="E246">
        <f>tinder[[#This Row],[Engagement]]/MAX(tinder[Engagement])</f>
        <v>0.10526454260832961</v>
      </c>
      <c r="F24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Power User</v>
      </c>
      <c r="G246">
        <v>151</v>
      </c>
      <c r="H246">
        <f>IFERROR(tinder[[#This Row],[Conversations]]/tinder[[#This Row],[Tinder Opened]],0)</f>
        <v>3.7740564858785304E-2</v>
      </c>
      <c r="I246">
        <f>tinder[[#This Row],[Conversations]]/MAX(tinder[Conversations])</f>
        <v>1.1944312608764437E-2</v>
      </c>
      <c r="J246">
        <f>(tinder[[#This Row],[Norm Engagement]]*2)+(tinder[[#This Row],[Norm Swipes]]*1)+(tinder[[#This Row],[Norm Conversations]]*2)</f>
        <v>0.30114006251049202</v>
      </c>
      <c r="K24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46">
        <v>47</v>
      </c>
      <c r="M246">
        <v>38</v>
      </c>
      <c r="N246">
        <v>475</v>
      </c>
      <c r="O246">
        <v>366</v>
      </c>
      <c r="P246">
        <v>365</v>
      </c>
      <c r="Q246">
        <f>tinder[[#This Row],[All Swipes]]/MAX(tinder[All Swipes])</f>
        <v>6.6722352076303934E-2</v>
      </c>
      <c r="R246">
        <f>tinder[[#This Row],[Swipe Right (LIKE)]]+tinder[[#This Row],[Swipe Left (PASS)]]</f>
        <v>56635</v>
      </c>
      <c r="S246">
        <v>42037</v>
      </c>
      <c r="T246">
        <v>14598</v>
      </c>
      <c r="U246" t="s">
        <v>8</v>
      </c>
      <c r="V246" s="1">
        <v>43662</v>
      </c>
      <c r="W246" t="s">
        <v>12</v>
      </c>
      <c r="X246" t="s">
        <v>1295</v>
      </c>
      <c r="Y246" t="s">
        <v>19</v>
      </c>
      <c r="Z246">
        <v>29</v>
      </c>
      <c r="AA24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47" spans="1:27" x14ac:dyDescent="0.3">
      <c r="A247" t="s">
        <v>57</v>
      </c>
      <c r="B247">
        <v>26901</v>
      </c>
      <c r="C247">
        <v>1285</v>
      </c>
      <c r="D247">
        <f>IFERROR(tinder[[#This Row],[Tinder Opened]]/tinder[[#This Row],[Days on Tinder]],0)</f>
        <v>20.934630350194553</v>
      </c>
      <c r="E247">
        <f>tinder[[#This Row],[Engagement]]/MAX(tinder[Engagement])</f>
        <v>0.10519914748841484</v>
      </c>
      <c r="F24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47">
        <v>817</v>
      </c>
      <c r="H247">
        <f>IFERROR(tinder[[#This Row],[Conversations]]/tinder[[#This Row],[Tinder Opened]],0)</f>
        <v>3.0370618192632245E-2</v>
      </c>
      <c r="I247">
        <f>tinder[[#This Row],[Conversations]]/MAX(tinder[Conversations])</f>
        <v>6.4625850340136057E-2</v>
      </c>
      <c r="J247">
        <f>(tinder[[#This Row],[Norm Engagement]]*2)+(tinder[[#This Row],[Norm Swipes]]*1)+(tinder[[#This Row],[Norm Conversations]]*2)</f>
        <v>0.44395293056879059</v>
      </c>
      <c r="K24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47">
        <v>104</v>
      </c>
      <c r="M247">
        <v>229</v>
      </c>
      <c r="N247">
        <v>3777</v>
      </c>
      <c r="O247">
        <v>6876</v>
      </c>
      <c r="P247">
        <v>8250</v>
      </c>
      <c r="Q247">
        <f>tinder[[#This Row],[All Swipes]]/MAX(tinder[All Swipes])</f>
        <v>0.10430293491168875</v>
      </c>
      <c r="R247">
        <f>tinder[[#This Row],[Swipe Right (LIKE)]]+tinder[[#This Row],[Swipe Left (PASS)]]</f>
        <v>88534</v>
      </c>
      <c r="S247">
        <v>49442</v>
      </c>
      <c r="T247">
        <v>39092</v>
      </c>
      <c r="U247" t="s">
        <v>8</v>
      </c>
      <c r="V247" s="1">
        <v>42126</v>
      </c>
      <c r="W247" t="s">
        <v>12</v>
      </c>
      <c r="X247" t="s">
        <v>1295</v>
      </c>
      <c r="Y247" t="s">
        <v>58</v>
      </c>
      <c r="Z247">
        <v>25</v>
      </c>
      <c r="AA24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48" spans="1:27" x14ac:dyDescent="0.3">
      <c r="A248" t="s">
        <v>1145</v>
      </c>
      <c r="B248">
        <v>5380</v>
      </c>
      <c r="C248">
        <v>257</v>
      </c>
      <c r="D248">
        <f>IFERROR(tinder[[#This Row],[Tinder Opened]]/tinder[[#This Row],[Days on Tinder]],0)</f>
        <v>20.933852140077821</v>
      </c>
      <c r="E248">
        <f>tinder[[#This Row],[Engagement]]/MAX(tinder[Engagement])</f>
        <v>0.10519523688481318</v>
      </c>
      <c r="F24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48">
        <v>250</v>
      </c>
      <c r="H248">
        <f>IFERROR(tinder[[#This Row],[Conversations]]/tinder[[#This Row],[Tinder Opened]],0)</f>
        <v>4.6468401486988845E-2</v>
      </c>
      <c r="I248">
        <f>tinder[[#This Row],[Conversations]]/MAX(tinder[Conversations])</f>
        <v>1.9775352001265623E-2</v>
      </c>
      <c r="J248">
        <f>(tinder[[#This Row],[Norm Engagement]]*2)+(tinder[[#This Row],[Norm Swipes]]*1)+(tinder[[#This Row],[Norm Conversations]]*2)</f>
        <v>0.28204707587021416</v>
      </c>
      <c r="K24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48">
        <v>68</v>
      </c>
      <c r="M248">
        <v>26</v>
      </c>
      <c r="N248">
        <v>474</v>
      </c>
      <c r="O248">
        <v>2092</v>
      </c>
      <c r="P248">
        <v>1883</v>
      </c>
      <c r="Q248">
        <f>tinder[[#This Row],[All Swipes]]/MAX(tinder[All Swipes])</f>
        <v>3.2105898098056584E-2</v>
      </c>
      <c r="R248">
        <f>tinder[[#This Row],[Swipe Right (LIKE)]]+tinder[[#This Row],[Swipe Left (PASS)]]</f>
        <v>27252</v>
      </c>
      <c r="S248">
        <v>19690</v>
      </c>
      <c r="T248">
        <v>7562</v>
      </c>
      <c r="U248" t="s">
        <v>8</v>
      </c>
      <c r="V248" s="1">
        <v>44011</v>
      </c>
      <c r="W248" t="s">
        <v>12</v>
      </c>
      <c r="X248" t="s">
        <v>1295</v>
      </c>
      <c r="Y248" t="s">
        <v>8</v>
      </c>
      <c r="Z248">
        <v>21</v>
      </c>
      <c r="AA24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49" spans="1:27" x14ac:dyDescent="0.3">
      <c r="A249" t="s">
        <v>1103</v>
      </c>
      <c r="B249">
        <v>5293</v>
      </c>
      <c r="C249">
        <v>253</v>
      </c>
      <c r="D249">
        <f>IFERROR(tinder[[#This Row],[Tinder Opened]]/tinder[[#This Row],[Days on Tinder]],0)</f>
        <v>20.920948616600789</v>
      </c>
      <c r="E249">
        <f>tinder[[#This Row],[Engagement]]/MAX(tinder[Engagement])</f>
        <v>0.10513039505829543</v>
      </c>
      <c r="F24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49">
        <v>36</v>
      </c>
      <c r="H249">
        <f>IFERROR(tinder[[#This Row],[Conversations]]/tinder[[#This Row],[Tinder Opened]],0)</f>
        <v>6.8014358586812769E-3</v>
      </c>
      <c r="I249">
        <f>tinder[[#This Row],[Conversations]]/MAX(tinder[Conversations])</f>
        <v>2.8476506881822496E-3</v>
      </c>
      <c r="J249">
        <f>(tinder[[#This Row],[Norm Engagement]]*2)+(tinder[[#This Row],[Norm Swipes]]*1)+(tinder[[#This Row],[Norm Conversations]]*2)</f>
        <v>0.26896168987941366</v>
      </c>
      <c r="K24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49">
        <v>1</v>
      </c>
      <c r="M249">
        <v>0</v>
      </c>
      <c r="N249">
        <v>49</v>
      </c>
      <c r="O249">
        <v>1247</v>
      </c>
      <c r="P249">
        <v>1225</v>
      </c>
      <c r="Q249">
        <f>tinder[[#This Row],[All Swipes]]/MAX(tinder[All Swipes])</f>
        <v>5.3005598386458311E-2</v>
      </c>
      <c r="R249">
        <f>tinder[[#This Row],[Swipe Right (LIKE)]]+tinder[[#This Row],[Swipe Left (PASS)]]</f>
        <v>44992</v>
      </c>
      <c r="S249">
        <v>494</v>
      </c>
      <c r="T249">
        <v>44498</v>
      </c>
      <c r="U249" t="s">
        <v>65</v>
      </c>
      <c r="V249" s="1">
        <v>44045</v>
      </c>
      <c r="W249" t="s">
        <v>12</v>
      </c>
      <c r="X249" t="s">
        <v>1295</v>
      </c>
      <c r="Y249" t="s">
        <v>8</v>
      </c>
      <c r="Z249">
        <v>28</v>
      </c>
      <c r="AA24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50" spans="1:27" x14ac:dyDescent="0.3">
      <c r="A250" t="s">
        <v>292</v>
      </c>
      <c r="B250">
        <v>1869</v>
      </c>
      <c r="C250">
        <v>90</v>
      </c>
      <c r="D250">
        <f>IFERROR(tinder[[#This Row],[Tinder Opened]]/tinder[[#This Row],[Days on Tinder]],0)</f>
        <v>20.766666666666666</v>
      </c>
      <c r="E250">
        <f>tinder[[#This Row],[Engagement]]/MAX(tinder[Engagement])</f>
        <v>0.10435510887772194</v>
      </c>
      <c r="F25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50">
        <v>374</v>
      </c>
      <c r="H250">
        <f>IFERROR(tinder[[#This Row],[Conversations]]/tinder[[#This Row],[Tinder Opened]],0)</f>
        <v>0.20010700909577314</v>
      </c>
      <c r="I250">
        <f>tinder[[#This Row],[Conversations]]/MAX(tinder[Conversations])</f>
        <v>2.9583926593893372E-2</v>
      </c>
      <c r="J250">
        <f>(tinder[[#This Row],[Norm Engagement]]*2)+(tinder[[#This Row],[Norm Swipes]]*1)+(tinder[[#This Row],[Norm Conversations]]*2)</f>
        <v>0.3071598469700727</v>
      </c>
      <c r="K25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50">
        <v>142</v>
      </c>
      <c r="M250">
        <v>21</v>
      </c>
      <c r="N250">
        <v>468</v>
      </c>
      <c r="O250">
        <v>1270</v>
      </c>
      <c r="P250">
        <v>982</v>
      </c>
      <c r="Q250">
        <f>tinder[[#This Row],[All Swipes]]/MAX(tinder[All Swipes])</f>
        <v>3.9281776026842095E-2</v>
      </c>
      <c r="R250">
        <f>tinder[[#This Row],[Swipe Right (LIKE)]]+tinder[[#This Row],[Swipe Left (PASS)]]</f>
        <v>33343</v>
      </c>
      <c r="S250">
        <v>25070</v>
      </c>
      <c r="T250">
        <v>8273</v>
      </c>
      <c r="U250" t="s">
        <v>293</v>
      </c>
      <c r="V250" s="1">
        <v>44155</v>
      </c>
      <c r="W250" t="s">
        <v>12</v>
      </c>
      <c r="X250" t="s">
        <v>1295</v>
      </c>
      <c r="Y250" t="s">
        <v>8</v>
      </c>
      <c r="Z250">
        <v>32</v>
      </c>
      <c r="AA25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251" spans="1:27" x14ac:dyDescent="0.3">
      <c r="A251" t="s">
        <v>847</v>
      </c>
      <c r="B251">
        <v>1869</v>
      </c>
      <c r="C251">
        <v>90</v>
      </c>
      <c r="D251">
        <f>IFERROR(tinder[[#This Row],[Tinder Opened]]/tinder[[#This Row],[Days on Tinder]],0)</f>
        <v>20.766666666666666</v>
      </c>
      <c r="E251">
        <f>tinder[[#This Row],[Engagement]]/MAX(tinder[Engagement])</f>
        <v>0.10435510887772194</v>
      </c>
      <c r="F25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51">
        <v>106</v>
      </c>
      <c r="H251">
        <f>IFERROR(tinder[[#This Row],[Conversations]]/tinder[[#This Row],[Tinder Opened]],0)</f>
        <v>5.6714820759764577E-2</v>
      </c>
      <c r="I251">
        <f>tinder[[#This Row],[Conversations]]/MAX(tinder[Conversations])</f>
        <v>8.3847492485366239E-3</v>
      </c>
      <c r="J251">
        <f>(tinder[[#This Row],[Norm Engagement]]*2)+(tinder[[#This Row],[Norm Swipes]]*1)+(tinder[[#This Row],[Norm Conversations]]*2)</f>
        <v>0.23990098069616569</v>
      </c>
      <c r="K25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51">
        <v>28</v>
      </c>
      <c r="M251">
        <v>0</v>
      </c>
      <c r="N251">
        <v>44</v>
      </c>
      <c r="O251">
        <v>1384</v>
      </c>
      <c r="P251">
        <v>1482</v>
      </c>
      <c r="Q251">
        <f>tinder[[#This Row],[All Swipes]]/MAX(tinder[All Swipes])</f>
        <v>1.4421264443648565E-2</v>
      </c>
      <c r="R251">
        <f>tinder[[#This Row],[Swipe Right (LIKE)]]+tinder[[#This Row],[Swipe Left (PASS)]]</f>
        <v>12241</v>
      </c>
      <c r="S251">
        <v>4627</v>
      </c>
      <c r="T251">
        <v>7614</v>
      </c>
      <c r="U251" t="s">
        <v>8</v>
      </c>
      <c r="V251" s="1">
        <v>44208</v>
      </c>
      <c r="W251" t="s">
        <v>12</v>
      </c>
      <c r="X251" t="s">
        <v>1295</v>
      </c>
      <c r="Y251" t="s">
        <v>8</v>
      </c>
      <c r="Z251">
        <v>22</v>
      </c>
      <c r="AA25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52" spans="1:27" x14ac:dyDescent="0.3">
      <c r="A252" t="s">
        <v>1179</v>
      </c>
      <c r="B252">
        <v>31481</v>
      </c>
      <c r="C252">
        <v>1535</v>
      </c>
      <c r="D252">
        <f>IFERROR(tinder[[#This Row],[Tinder Opened]]/tinder[[#This Row],[Days on Tinder]],0)</f>
        <v>20.508794788273615</v>
      </c>
      <c r="E252">
        <f>tinder[[#This Row],[Engagement]]/MAX(tinder[Engagement])</f>
        <v>0.10305927029283224</v>
      </c>
      <c r="F25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52">
        <v>1890</v>
      </c>
      <c r="H252">
        <f>IFERROR(tinder[[#This Row],[Conversations]]/tinder[[#This Row],[Tinder Opened]],0)</f>
        <v>6.0036212318541345E-2</v>
      </c>
      <c r="I252">
        <f>tinder[[#This Row],[Conversations]]/MAX(tinder[Conversations])</f>
        <v>0.14950166112956811</v>
      </c>
      <c r="J252">
        <f>(tinder[[#This Row],[Norm Engagement]]*2)+(tinder[[#This Row],[Norm Swipes]]*1)+(tinder[[#This Row],[Norm Conversations]]*2)</f>
        <v>0.70041507126688507</v>
      </c>
      <c r="K25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52">
        <v>848</v>
      </c>
      <c r="M252">
        <v>11</v>
      </c>
      <c r="N252">
        <v>1861</v>
      </c>
      <c r="O252">
        <v>12068</v>
      </c>
      <c r="P252">
        <v>13549</v>
      </c>
      <c r="Q252">
        <f>tinder[[#This Row],[All Swipes]]/MAX(tinder[All Swipes])</f>
        <v>0.19529320842208442</v>
      </c>
      <c r="R252">
        <f>tinder[[#This Row],[Swipe Right (LIKE)]]+tinder[[#This Row],[Swipe Left (PASS)]]</f>
        <v>165768</v>
      </c>
      <c r="S252">
        <v>163362</v>
      </c>
      <c r="T252">
        <v>2406</v>
      </c>
      <c r="U252" t="s">
        <v>45</v>
      </c>
      <c r="V252" s="1">
        <v>42732</v>
      </c>
      <c r="W252" t="s">
        <v>7</v>
      </c>
      <c r="X252" t="s">
        <v>1295</v>
      </c>
      <c r="Y252" t="s">
        <v>8</v>
      </c>
      <c r="Z252">
        <v>25</v>
      </c>
      <c r="AA25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53" spans="1:27" x14ac:dyDescent="0.3">
      <c r="A253" t="s">
        <v>665</v>
      </c>
      <c r="B253">
        <v>982</v>
      </c>
      <c r="C253">
        <v>48</v>
      </c>
      <c r="D253">
        <f>IFERROR(tinder[[#This Row],[Tinder Opened]]/tinder[[#This Row],[Days on Tinder]],0)</f>
        <v>20.458333333333332</v>
      </c>
      <c r="E253">
        <f>tinder[[#This Row],[Engagement]]/MAX(tinder[Engagement])</f>
        <v>0.10280569514237856</v>
      </c>
      <c r="F25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53">
        <v>10</v>
      </c>
      <c r="H253">
        <f>IFERROR(tinder[[#This Row],[Conversations]]/tinder[[#This Row],[Tinder Opened]],0)</f>
        <v>1.0183299389002037E-2</v>
      </c>
      <c r="I253">
        <f>tinder[[#This Row],[Conversations]]/MAX(tinder[Conversations])</f>
        <v>7.9101408005062491E-4</v>
      </c>
      <c r="J253">
        <f>(tinder[[#This Row],[Norm Engagement]]*2)+(tinder[[#This Row],[Norm Swipes]]*1)+(tinder[[#This Row],[Norm Conversations]]*2)</f>
        <v>0.21139574262347893</v>
      </c>
      <c r="K25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53">
        <v>4</v>
      </c>
      <c r="M253">
        <v>0</v>
      </c>
      <c r="N253">
        <v>14</v>
      </c>
      <c r="O253">
        <v>31</v>
      </c>
      <c r="P253">
        <v>10</v>
      </c>
      <c r="Q253">
        <f>tinder[[#This Row],[All Swipes]]/MAX(tinder[All Swipes])</f>
        <v>4.2023241786205727E-3</v>
      </c>
      <c r="R253">
        <f>tinder[[#This Row],[Swipe Right (LIKE)]]+tinder[[#This Row],[Swipe Left (PASS)]]</f>
        <v>3567</v>
      </c>
      <c r="S253">
        <v>1777</v>
      </c>
      <c r="T253">
        <v>1790</v>
      </c>
      <c r="U253" t="s">
        <v>497</v>
      </c>
      <c r="V253" s="1">
        <v>44232</v>
      </c>
      <c r="W253" t="s">
        <v>12</v>
      </c>
      <c r="X253" t="s">
        <v>1295</v>
      </c>
      <c r="Y253" t="s">
        <v>8</v>
      </c>
      <c r="Z253">
        <v>20</v>
      </c>
      <c r="AA25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54" spans="1:27" x14ac:dyDescent="0.3">
      <c r="A254" t="s">
        <v>1230</v>
      </c>
      <c r="B254">
        <v>5537</v>
      </c>
      <c r="C254">
        <v>271</v>
      </c>
      <c r="D254">
        <f>IFERROR(tinder[[#This Row],[Tinder Opened]]/tinder[[#This Row],[Days on Tinder]],0)</f>
        <v>20.431734317343174</v>
      </c>
      <c r="E254">
        <f>tinder[[#This Row],[Engagement]]/MAX(tinder[Engagement])</f>
        <v>0.10267203174544309</v>
      </c>
      <c r="F25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54">
        <v>362</v>
      </c>
      <c r="H254">
        <f>IFERROR(tinder[[#This Row],[Conversations]]/tinder[[#This Row],[Tinder Opened]],0)</f>
        <v>6.5378363734874476E-2</v>
      </c>
      <c r="I254">
        <f>tinder[[#This Row],[Conversations]]/MAX(tinder[Conversations])</f>
        <v>2.8634709697832623E-2</v>
      </c>
      <c r="J254">
        <f>(tinder[[#This Row],[Norm Engagement]]*2)+(tinder[[#This Row],[Norm Swipes]]*1)+(tinder[[#This Row],[Norm Conversations]]*2)</f>
        <v>0.31716711995277075</v>
      </c>
      <c r="K25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54">
        <v>122</v>
      </c>
      <c r="M254">
        <v>2</v>
      </c>
      <c r="N254">
        <v>248</v>
      </c>
      <c r="O254">
        <v>3595</v>
      </c>
      <c r="P254">
        <v>4323</v>
      </c>
      <c r="Q254">
        <f>tinder[[#This Row],[All Swipes]]/MAX(tinder[All Swipes])</f>
        <v>5.4553637066219296E-2</v>
      </c>
      <c r="R254">
        <f>tinder[[#This Row],[Swipe Right (LIKE)]]+tinder[[#This Row],[Swipe Left (PASS)]]</f>
        <v>46306</v>
      </c>
      <c r="S254">
        <v>11942</v>
      </c>
      <c r="T254">
        <v>34364</v>
      </c>
      <c r="U254" t="s">
        <v>65</v>
      </c>
      <c r="V254" s="1">
        <v>44026</v>
      </c>
      <c r="W254" t="s">
        <v>12</v>
      </c>
      <c r="X254" t="s">
        <v>1295</v>
      </c>
      <c r="Y254" t="s">
        <v>8</v>
      </c>
      <c r="Z254">
        <v>34</v>
      </c>
      <c r="AA254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255" spans="1:27" x14ac:dyDescent="0.3">
      <c r="A255" t="s">
        <v>1129</v>
      </c>
      <c r="B255">
        <v>17008</v>
      </c>
      <c r="C255">
        <v>836</v>
      </c>
      <c r="D255">
        <f>IFERROR(tinder[[#This Row],[Tinder Opened]]/tinder[[#This Row],[Days on Tinder]],0)</f>
        <v>20.344497607655502</v>
      </c>
      <c r="E255">
        <f>tinder[[#This Row],[Engagement]]/MAX(tinder[Engagement])</f>
        <v>0.10223365631987689</v>
      </c>
      <c r="F25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55">
        <v>775</v>
      </c>
      <c r="H255">
        <f>IFERROR(tinder[[#This Row],[Conversations]]/tinder[[#This Row],[Tinder Opened]],0)</f>
        <v>4.556679209783631E-2</v>
      </c>
      <c r="I255">
        <f>tinder[[#This Row],[Conversations]]/MAX(tinder[Conversations])</f>
        <v>6.1303591203923431E-2</v>
      </c>
      <c r="J255">
        <f>(tinder[[#This Row],[Norm Engagement]]*2)+(tinder[[#This Row],[Norm Swipes]]*1)+(tinder[[#This Row],[Norm Conversations]]*2)</f>
        <v>0.45491727840700952</v>
      </c>
      <c r="K25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55">
        <v>403</v>
      </c>
      <c r="M255">
        <v>12</v>
      </c>
      <c r="N255">
        <v>1307</v>
      </c>
      <c r="O255">
        <v>3024</v>
      </c>
      <c r="P255">
        <v>2077</v>
      </c>
      <c r="Q255">
        <f>tinder[[#This Row],[All Swipes]]/MAX(tinder[All Swipes])</f>
        <v>0.12784278335940888</v>
      </c>
      <c r="R255">
        <f>tinder[[#This Row],[Swipe Right (LIKE)]]+tinder[[#This Row],[Swipe Left (PASS)]]</f>
        <v>108515</v>
      </c>
      <c r="S255">
        <v>35284</v>
      </c>
      <c r="T255">
        <v>73231</v>
      </c>
      <c r="U255" t="s">
        <v>8</v>
      </c>
      <c r="V255" s="1">
        <v>43382</v>
      </c>
      <c r="W255" t="s">
        <v>12</v>
      </c>
      <c r="X255" t="s">
        <v>1295</v>
      </c>
      <c r="Y255" t="s">
        <v>8</v>
      </c>
      <c r="Z255">
        <v>18</v>
      </c>
      <c r="AA25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56" spans="1:27" x14ac:dyDescent="0.3">
      <c r="A256" t="s">
        <v>467</v>
      </c>
      <c r="B256">
        <v>2156</v>
      </c>
      <c r="C256">
        <v>106</v>
      </c>
      <c r="D256">
        <f>IFERROR(tinder[[#This Row],[Tinder Opened]]/tinder[[#This Row],[Days on Tinder]],0)</f>
        <v>20.339622641509433</v>
      </c>
      <c r="E256">
        <f>tinder[[#This Row],[Engagement]]/MAX(tinder[Engagement])</f>
        <v>0.10220915900255996</v>
      </c>
      <c r="F25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56">
        <v>44</v>
      </c>
      <c r="H256">
        <f>IFERROR(tinder[[#This Row],[Conversations]]/tinder[[#This Row],[Tinder Opened]],0)</f>
        <v>2.0408163265306121E-2</v>
      </c>
      <c r="I256">
        <f>tinder[[#This Row],[Conversations]]/MAX(tinder[Conversations])</f>
        <v>3.4804619522227497E-3</v>
      </c>
      <c r="J256">
        <f>(tinder[[#This Row],[Norm Engagement]]*2)+(tinder[[#This Row],[Norm Swipes]]*1)+(tinder[[#This Row],[Norm Conversations]]*2)</f>
        <v>0.22811667381471329</v>
      </c>
      <c r="K25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56">
        <v>10</v>
      </c>
      <c r="M256">
        <v>4</v>
      </c>
      <c r="N256">
        <v>78</v>
      </c>
      <c r="O256">
        <v>2103</v>
      </c>
      <c r="P256">
        <v>2464</v>
      </c>
      <c r="Q256">
        <f>tinder[[#This Row],[All Swipes]]/MAX(tinder[All Swipes])</f>
        <v>1.6737431905147877E-2</v>
      </c>
      <c r="R256">
        <f>tinder[[#This Row],[Swipe Right (LIKE)]]+tinder[[#This Row],[Swipe Left (PASS)]]</f>
        <v>14207</v>
      </c>
      <c r="S256">
        <v>6586</v>
      </c>
      <c r="T256">
        <v>7621</v>
      </c>
      <c r="U256" t="s">
        <v>8</v>
      </c>
      <c r="V256" s="1">
        <v>43488</v>
      </c>
      <c r="W256" t="s">
        <v>12</v>
      </c>
      <c r="X256" t="s">
        <v>1295</v>
      </c>
      <c r="Y256" t="s">
        <v>8</v>
      </c>
      <c r="Z256">
        <v>38</v>
      </c>
      <c r="AA256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257" spans="1:27" x14ac:dyDescent="0.3">
      <c r="A257" t="s">
        <v>37</v>
      </c>
      <c r="B257">
        <v>6339</v>
      </c>
      <c r="C257">
        <v>312</v>
      </c>
      <c r="D257">
        <f>IFERROR(tinder[[#This Row],[Tinder Opened]]/tinder[[#This Row],[Days on Tinder]],0)</f>
        <v>20.317307692307693</v>
      </c>
      <c r="E257">
        <f>tinder[[#This Row],[Engagement]]/MAX(tinder[Engagement])</f>
        <v>0.10209702357943565</v>
      </c>
      <c r="F25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57">
        <v>222</v>
      </c>
      <c r="H257">
        <f>IFERROR(tinder[[#This Row],[Conversations]]/tinder[[#This Row],[Tinder Opened]],0)</f>
        <v>3.5021296734500711E-2</v>
      </c>
      <c r="I257">
        <f>tinder[[#This Row],[Conversations]]/MAX(tinder[Conversations])</f>
        <v>1.7560512577123873E-2</v>
      </c>
      <c r="J257">
        <f>(tinder[[#This Row],[Norm Engagement]]*2)+(tinder[[#This Row],[Norm Swipes]]*1)+(tinder[[#This Row],[Norm Conversations]]*2)</f>
        <v>0.28592705889207137</v>
      </c>
      <c r="K25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57">
        <v>67</v>
      </c>
      <c r="M257">
        <v>4</v>
      </c>
      <c r="N257">
        <v>258</v>
      </c>
      <c r="O257">
        <v>2893</v>
      </c>
      <c r="P257">
        <v>2261</v>
      </c>
      <c r="Q257">
        <f>tinder[[#This Row],[All Swipes]]/MAX(tinder[All Swipes])</f>
        <v>4.6611986578952332E-2</v>
      </c>
      <c r="R257">
        <f>tinder[[#This Row],[Swipe Right (LIKE)]]+tinder[[#This Row],[Swipe Left (PASS)]]</f>
        <v>39565</v>
      </c>
      <c r="S257">
        <v>8620</v>
      </c>
      <c r="T257">
        <v>30945</v>
      </c>
      <c r="U257" t="s">
        <v>10</v>
      </c>
      <c r="V257" s="1">
        <v>43370</v>
      </c>
      <c r="W257" t="s">
        <v>12</v>
      </c>
      <c r="X257" t="s">
        <v>1295</v>
      </c>
      <c r="Y257" t="s">
        <v>8</v>
      </c>
      <c r="Z257">
        <v>28</v>
      </c>
      <c r="AA25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58" spans="1:27" x14ac:dyDescent="0.3">
      <c r="A258" t="s">
        <v>977</v>
      </c>
      <c r="B258">
        <v>121</v>
      </c>
      <c r="C258">
        <v>6</v>
      </c>
      <c r="D258">
        <f>IFERROR(tinder[[#This Row],[Tinder Opened]]/tinder[[#This Row],[Days on Tinder]],0)</f>
        <v>20.166666666666668</v>
      </c>
      <c r="E258">
        <f>tinder[[#This Row],[Engagement]]/MAX(tinder[Engagement])</f>
        <v>0.10134003350083752</v>
      </c>
      <c r="F25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58">
        <v>532</v>
      </c>
      <c r="H258">
        <f>IFERROR(tinder[[#This Row],[Conversations]]/tinder[[#This Row],[Tinder Opened]],0)</f>
        <v>4.3966942148760326</v>
      </c>
      <c r="I258">
        <f>tinder[[#This Row],[Conversations]]/MAX(tinder[Conversations])</f>
        <v>4.2081949058693245E-2</v>
      </c>
      <c r="J258">
        <f>(tinder[[#This Row],[Norm Engagement]]*2)+(tinder[[#This Row],[Norm Swipes]]*1)+(tinder[[#This Row],[Norm Conversations]]*2)</f>
        <v>0.29304083228461919</v>
      </c>
      <c r="K25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58">
        <v>145</v>
      </c>
      <c r="M258">
        <v>30</v>
      </c>
      <c r="N258">
        <v>2</v>
      </c>
      <c r="O258">
        <v>3598</v>
      </c>
      <c r="P258">
        <v>3703</v>
      </c>
      <c r="Q258">
        <f>tinder[[#This Row],[All Swipes]]/MAX(tinder[All Swipes])</f>
        <v>6.1968671655576709E-3</v>
      </c>
      <c r="R258">
        <f>tinder[[#This Row],[Swipe Right (LIKE)]]+tinder[[#This Row],[Swipe Left (PASS)]]</f>
        <v>5260</v>
      </c>
      <c r="S258">
        <v>127</v>
      </c>
      <c r="T258">
        <v>5133</v>
      </c>
      <c r="U258" t="s">
        <v>65</v>
      </c>
      <c r="V258" s="1">
        <v>44059</v>
      </c>
      <c r="W258" t="s">
        <v>12</v>
      </c>
      <c r="X258" t="s">
        <v>1295</v>
      </c>
      <c r="Y258" t="s">
        <v>8</v>
      </c>
      <c r="Z258">
        <v>26</v>
      </c>
      <c r="AA25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59" spans="1:27" x14ac:dyDescent="0.3">
      <c r="A259" t="s">
        <v>812</v>
      </c>
      <c r="B259">
        <v>22881</v>
      </c>
      <c r="C259">
        <v>1136</v>
      </c>
      <c r="D259">
        <f>IFERROR(tinder[[#This Row],[Tinder Opened]]/tinder[[#This Row],[Days on Tinder]],0)</f>
        <v>20.141725352112676</v>
      </c>
      <c r="E259">
        <f>tinder[[#This Row],[Engagement]]/MAX(tinder[Engagement])</f>
        <v>0.10121470026187275</v>
      </c>
      <c r="F25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59">
        <v>172</v>
      </c>
      <c r="H259">
        <f>IFERROR(tinder[[#This Row],[Conversations]]/tinder[[#This Row],[Tinder Opened]],0)</f>
        <v>7.5171539705432451E-3</v>
      </c>
      <c r="I259">
        <f>tinder[[#This Row],[Conversations]]/MAX(tinder[Conversations])</f>
        <v>1.3605442176870748E-2</v>
      </c>
      <c r="J259">
        <f>(tinder[[#This Row],[Norm Engagement]]*2)+(tinder[[#This Row],[Norm Swipes]]*1)+(tinder[[#This Row],[Norm Conversations]]*2)</f>
        <v>0.68950909036654473</v>
      </c>
      <c r="K25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59">
        <v>39</v>
      </c>
      <c r="M259">
        <v>4</v>
      </c>
      <c r="N259">
        <v>336</v>
      </c>
      <c r="O259">
        <v>5360</v>
      </c>
      <c r="P259">
        <v>5890</v>
      </c>
      <c r="Q259">
        <f>tinder[[#This Row],[All Swipes]]/MAX(tinder[All Swipes])</f>
        <v>0.45986880548905767</v>
      </c>
      <c r="R259">
        <f>tinder[[#This Row],[Swipe Right (LIKE)]]+tinder[[#This Row],[Swipe Left (PASS)]]</f>
        <v>390344</v>
      </c>
      <c r="S259">
        <v>76091</v>
      </c>
      <c r="T259">
        <v>314253</v>
      </c>
      <c r="U259" t="s">
        <v>497</v>
      </c>
      <c r="V259" s="1">
        <v>43158</v>
      </c>
      <c r="W259" t="s">
        <v>12</v>
      </c>
      <c r="X259" t="s">
        <v>1295</v>
      </c>
      <c r="Y259" t="s">
        <v>8</v>
      </c>
      <c r="Z259">
        <v>20</v>
      </c>
      <c r="AA25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60" spans="1:27" x14ac:dyDescent="0.3">
      <c r="A260" t="s">
        <v>1102</v>
      </c>
      <c r="B260">
        <v>6646</v>
      </c>
      <c r="C260">
        <v>330</v>
      </c>
      <c r="D260">
        <f>IFERROR(tinder[[#This Row],[Tinder Opened]]/tinder[[#This Row],[Days on Tinder]],0)</f>
        <v>20.139393939393941</v>
      </c>
      <c r="E260">
        <f>tinder[[#This Row],[Engagement]]/MAX(tinder[Engagement])</f>
        <v>0.10120298462007005</v>
      </c>
      <c r="F26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60">
        <v>306</v>
      </c>
      <c r="H260">
        <f>IFERROR(tinder[[#This Row],[Conversations]]/tinder[[#This Row],[Tinder Opened]],0)</f>
        <v>4.6042732470659042E-2</v>
      </c>
      <c r="I260">
        <f>tinder[[#This Row],[Conversations]]/MAX(tinder[Conversations])</f>
        <v>2.4205030849549121E-2</v>
      </c>
      <c r="J260">
        <f>(tinder[[#This Row],[Norm Engagement]]*2)+(tinder[[#This Row],[Norm Swipes]]*1)+(tinder[[#This Row],[Norm Conversations]]*2)</f>
        <v>0.28554322741055838</v>
      </c>
      <c r="K26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60">
        <v>94</v>
      </c>
      <c r="M260">
        <v>0</v>
      </c>
      <c r="N260">
        <v>659</v>
      </c>
      <c r="O260">
        <v>2841</v>
      </c>
      <c r="P260">
        <v>2463</v>
      </c>
      <c r="Q260">
        <f>tinder[[#This Row],[All Swipes]]/MAX(tinder[All Swipes])</f>
        <v>3.4727196471320047E-2</v>
      </c>
      <c r="R260">
        <f>tinder[[#This Row],[Swipe Right (LIKE)]]+tinder[[#This Row],[Swipe Left (PASS)]]</f>
        <v>29477</v>
      </c>
      <c r="S260">
        <v>18805</v>
      </c>
      <c r="T260">
        <v>10672</v>
      </c>
      <c r="U260" t="s">
        <v>8</v>
      </c>
      <c r="V260" s="1">
        <v>43129</v>
      </c>
      <c r="W260" t="s">
        <v>7</v>
      </c>
      <c r="X260" t="s">
        <v>1295</v>
      </c>
      <c r="Y260" t="s">
        <v>8</v>
      </c>
      <c r="Z260">
        <v>18</v>
      </c>
      <c r="AA26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61" spans="1:27" x14ac:dyDescent="0.3">
      <c r="A261" t="s">
        <v>650</v>
      </c>
      <c r="B261">
        <v>43260</v>
      </c>
      <c r="C261">
        <v>2157</v>
      </c>
      <c r="D261">
        <f>IFERROR(tinder[[#This Row],[Tinder Opened]]/tinder[[#This Row],[Days on Tinder]],0)</f>
        <v>20.055632823365787</v>
      </c>
      <c r="E261">
        <f>tinder[[#This Row],[Engagement]]/MAX(tinder[Engagement])</f>
        <v>0.10078207448927531</v>
      </c>
      <c r="F26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61">
        <v>8084</v>
      </c>
      <c r="H261">
        <f>IFERROR(tinder[[#This Row],[Conversations]]/tinder[[#This Row],[Tinder Opened]],0)</f>
        <v>0.18687008784096162</v>
      </c>
      <c r="I261">
        <f>tinder[[#This Row],[Conversations]]/MAX(tinder[Conversations])</f>
        <v>0.63945578231292521</v>
      </c>
      <c r="J261">
        <f>(tinder[[#This Row],[Norm Engagement]]*2)+(tinder[[#This Row],[Norm Swipes]]*1)+(tinder[[#This Row],[Norm Conversations]]*2)</f>
        <v>1.6312563303694008</v>
      </c>
      <c r="K26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61">
        <v>1026</v>
      </c>
      <c r="M261">
        <v>4408</v>
      </c>
      <c r="N261">
        <v>14874</v>
      </c>
      <c r="O261">
        <v>19609</v>
      </c>
      <c r="P261">
        <v>32576</v>
      </c>
      <c r="Q261">
        <f>tinder[[#This Row],[All Swipes]]/MAX(tinder[All Swipes])</f>
        <v>0.15078061676499971</v>
      </c>
      <c r="R261">
        <f>tinder[[#This Row],[Swipe Right (LIKE)]]+tinder[[#This Row],[Swipe Left (PASS)]]</f>
        <v>127985</v>
      </c>
      <c r="S261">
        <v>19449</v>
      </c>
      <c r="T261">
        <v>108536</v>
      </c>
      <c r="U261" t="s">
        <v>75</v>
      </c>
      <c r="V261" s="1">
        <v>41777</v>
      </c>
      <c r="W261" t="s">
        <v>7</v>
      </c>
      <c r="X261" t="s">
        <v>1296</v>
      </c>
      <c r="Y261" t="s">
        <v>145</v>
      </c>
      <c r="Z261">
        <v>28</v>
      </c>
      <c r="AA26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62" spans="1:27" x14ac:dyDescent="0.3">
      <c r="A262" t="s">
        <v>892</v>
      </c>
      <c r="B262">
        <v>7426</v>
      </c>
      <c r="C262">
        <v>371</v>
      </c>
      <c r="D262">
        <f>IFERROR(tinder[[#This Row],[Tinder Opened]]/tinder[[#This Row],[Days on Tinder]],0)</f>
        <v>20.016172506738545</v>
      </c>
      <c r="E262">
        <f>tinder[[#This Row],[Engagement]]/MAX(tinder[Engagement])</f>
        <v>0.10058378144089722</v>
      </c>
      <c r="F26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62">
        <v>199</v>
      </c>
      <c r="H262">
        <f>IFERROR(tinder[[#This Row],[Conversations]]/tinder[[#This Row],[Tinder Opened]],0)</f>
        <v>2.6797737678427146E-2</v>
      </c>
      <c r="I262">
        <f>tinder[[#This Row],[Conversations]]/MAX(tinder[Conversations])</f>
        <v>1.5741180193007437E-2</v>
      </c>
      <c r="J262">
        <f>(tinder[[#This Row],[Norm Engagement]]*2)+(tinder[[#This Row],[Norm Swipes]]*1)+(tinder[[#This Row],[Norm Conversations]]*2)</f>
        <v>0.29463508848618408</v>
      </c>
      <c r="K26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62">
        <v>63</v>
      </c>
      <c r="M262">
        <v>11</v>
      </c>
      <c r="N262">
        <v>403</v>
      </c>
      <c r="O262">
        <v>1905</v>
      </c>
      <c r="P262">
        <v>1919</v>
      </c>
      <c r="Q262">
        <f>tinder[[#This Row],[All Swipes]]/MAX(tinder[All Swipes])</f>
        <v>6.1985165218374771E-2</v>
      </c>
      <c r="R262">
        <f>tinder[[#This Row],[Swipe Right (LIKE)]]+tinder[[#This Row],[Swipe Left (PASS)]]</f>
        <v>52614</v>
      </c>
      <c r="S262">
        <v>6702</v>
      </c>
      <c r="T262">
        <v>45912</v>
      </c>
      <c r="U262" t="s">
        <v>10</v>
      </c>
      <c r="V262" s="1">
        <v>43805</v>
      </c>
      <c r="W262" t="s">
        <v>12</v>
      </c>
      <c r="X262" t="s">
        <v>1295</v>
      </c>
      <c r="Y262" t="s">
        <v>893</v>
      </c>
      <c r="Z262">
        <v>18</v>
      </c>
      <c r="AA26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63" spans="1:27" x14ac:dyDescent="0.3">
      <c r="A263" t="s">
        <v>447</v>
      </c>
      <c r="B263">
        <v>1339</v>
      </c>
      <c r="C263">
        <v>67</v>
      </c>
      <c r="D263">
        <f>IFERROR(tinder[[#This Row],[Tinder Opened]]/tinder[[#This Row],[Days on Tinder]],0)</f>
        <v>19.985074626865671</v>
      </c>
      <c r="E263">
        <f>tinder[[#This Row],[Engagement]]/MAX(tinder[Engagement])</f>
        <v>0.10042751068776719</v>
      </c>
      <c r="F26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63">
        <v>22</v>
      </c>
      <c r="H263">
        <f>IFERROR(tinder[[#This Row],[Conversations]]/tinder[[#This Row],[Tinder Opened]],0)</f>
        <v>1.6430171769977596E-2</v>
      </c>
      <c r="I263">
        <f>tinder[[#This Row],[Conversations]]/MAX(tinder[Conversations])</f>
        <v>1.7402309761113748E-3</v>
      </c>
      <c r="J263">
        <f>(tinder[[#This Row],[Norm Engagement]]*2)+(tinder[[#This Row],[Norm Swipes]]*1)+(tinder[[#This Row],[Norm Conversations]]*2)</f>
        <v>0.23817673985449556</v>
      </c>
      <c r="K26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63">
        <v>8</v>
      </c>
      <c r="M263">
        <v>0</v>
      </c>
      <c r="N263">
        <v>43</v>
      </c>
      <c r="O263">
        <v>126</v>
      </c>
      <c r="P263">
        <v>182</v>
      </c>
      <c r="Q263">
        <f>tinder[[#This Row],[All Swipes]]/MAX(tinder[All Swipes])</f>
        <v>3.3841256526738424E-2</v>
      </c>
      <c r="R263">
        <f>tinder[[#This Row],[Swipe Right (LIKE)]]+tinder[[#This Row],[Swipe Left (PASS)]]</f>
        <v>28725</v>
      </c>
      <c r="S263">
        <v>218</v>
      </c>
      <c r="T263">
        <v>28507</v>
      </c>
      <c r="U263" t="s">
        <v>75</v>
      </c>
      <c r="V263" s="1">
        <v>44163</v>
      </c>
      <c r="W263" t="s">
        <v>12</v>
      </c>
      <c r="X263" t="s">
        <v>1296</v>
      </c>
      <c r="Y263" t="s">
        <v>8</v>
      </c>
      <c r="Z263">
        <v>30</v>
      </c>
      <c r="AA26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64" spans="1:27" x14ac:dyDescent="0.3">
      <c r="A264" t="s">
        <v>980</v>
      </c>
      <c r="B264">
        <v>2956</v>
      </c>
      <c r="C264">
        <v>148</v>
      </c>
      <c r="D264">
        <f>IFERROR(tinder[[#This Row],[Tinder Opened]]/tinder[[#This Row],[Days on Tinder]],0)</f>
        <v>19.972972972972972</v>
      </c>
      <c r="E264">
        <f>tinder[[#This Row],[Engagement]]/MAX(tinder[Engagement])</f>
        <v>0.1003666983566481</v>
      </c>
      <c r="F26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64">
        <v>60</v>
      </c>
      <c r="H264">
        <f>IFERROR(tinder[[#This Row],[Conversations]]/tinder[[#This Row],[Tinder Opened]],0)</f>
        <v>2.0297699594046009E-2</v>
      </c>
      <c r="I264">
        <f>tinder[[#This Row],[Conversations]]/MAX(tinder[Conversations])</f>
        <v>4.7460844803037493E-3</v>
      </c>
      <c r="J264">
        <f>(tinder[[#This Row],[Norm Engagement]]*2)+(tinder[[#This Row],[Norm Swipes]]*1)+(tinder[[#This Row],[Norm Conversations]]*2)</f>
        <v>0.23410824460549784</v>
      </c>
      <c r="K26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64">
        <v>21</v>
      </c>
      <c r="M264">
        <v>0</v>
      </c>
      <c r="N264">
        <v>82</v>
      </c>
      <c r="O264">
        <v>488</v>
      </c>
      <c r="P264">
        <v>484</v>
      </c>
      <c r="Q264">
        <f>tinder[[#This Row],[All Swipes]]/MAX(tinder[All Swipes])</f>
        <v>2.3882678931594126E-2</v>
      </c>
      <c r="R264">
        <f>tinder[[#This Row],[Swipe Right (LIKE)]]+tinder[[#This Row],[Swipe Left (PASS)]]</f>
        <v>20272</v>
      </c>
      <c r="S264">
        <v>14121</v>
      </c>
      <c r="T264">
        <v>6151</v>
      </c>
      <c r="U264" t="s">
        <v>238</v>
      </c>
      <c r="V264" s="1">
        <v>43901</v>
      </c>
      <c r="W264" t="s">
        <v>12</v>
      </c>
      <c r="X264" t="s">
        <v>1295</v>
      </c>
      <c r="Y264" t="s">
        <v>8</v>
      </c>
      <c r="Z264">
        <v>18</v>
      </c>
      <c r="AA26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65" spans="1:27" x14ac:dyDescent="0.3">
      <c r="A265" t="s">
        <v>350</v>
      </c>
      <c r="B265">
        <v>179</v>
      </c>
      <c r="C265">
        <v>9</v>
      </c>
      <c r="D265">
        <f>IFERROR(tinder[[#This Row],[Tinder Opened]]/tinder[[#This Row],[Days on Tinder]],0)</f>
        <v>19.888888888888889</v>
      </c>
      <c r="E265">
        <f>tinder[[#This Row],[Engagement]]/MAX(tinder[Engagement])</f>
        <v>9.9944165270798441E-2</v>
      </c>
      <c r="F26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65">
        <v>8</v>
      </c>
      <c r="H265">
        <f>IFERROR(tinder[[#This Row],[Conversations]]/tinder[[#This Row],[Tinder Opened]],0)</f>
        <v>4.4692737430167599E-2</v>
      </c>
      <c r="I265">
        <f>tinder[[#This Row],[Conversations]]/MAX(tinder[Conversations])</f>
        <v>6.3281126404049991E-4</v>
      </c>
      <c r="J265">
        <f>(tinder[[#This Row],[Norm Engagement]]*2)+(tinder[[#This Row],[Norm Swipes]]*1)+(tinder[[#This Row],[Norm Conversations]]*2)</f>
        <v>0.20759115500743588</v>
      </c>
      <c r="K26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65">
        <v>4</v>
      </c>
      <c r="M265">
        <v>0</v>
      </c>
      <c r="N265">
        <v>14</v>
      </c>
      <c r="O265">
        <v>21</v>
      </c>
      <c r="P265">
        <v>7</v>
      </c>
      <c r="Q265">
        <f>tinder[[#This Row],[All Swipes]]/MAX(tinder[All Swipes])</f>
        <v>6.4372019377580067E-3</v>
      </c>
      <c r="R265">
        <f>tinder[[#This Row],[Swipe Right (LIKE)]]+tinder[[#This Row],[Swipe Left (PASS)]]</f>
        <v>5464</v>
      </c>
      <c r="S265">
        <v>1288</v>
      </c>
      <c r="T265">
        <v>4176</v>
      </c>
      <c r="U265" t="s">
        <v>45</v>
      </c>
      <c r="V265" s="1">
        <v>44205</v>
      </c>
      <c r="W265" t="s">
        <v>12</v>
      </c>
      <c r="X265" t="s">
        <v>1295</v>
      </c>
      <c r="Y265" t="s">
        <v>8</v>
      </c>
      <c r="Z265">
        <v>18</v>
      </c>
      <c r="AA26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66" spans="1:27" x14ac:dyDescent="0.3">
      <c r="A266" t="s">
        <v>323</v>
      </c>
      <c r="B266">
        <v>613</v>
      </c>
      <c r="C266">
        <v>31</v>
      </c>
      <c r="D266">
        <f>IFERROR(tinder[[#This Row],[Tinder Opened]]/tinder[[#This Row],[Days on Tinder]],0)</f>
        <v>19.774193548387096</v>
      </c>
      <c r="E266">
        <f>tinder[[#This Row],[Engagement]]/MAX(tinder[Engagement])</f>
        <v>9.9367806775814554E-2</v>
      </c>
      <c r="F26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66">
        <v>128</v>
      </c>
      <c r="H266">
        <f>IFERROR(tinder[[#This Row],[Conversations]]/tinder[[#This Row],[Tinder Opened]],0)</f>
        <v>0.20880913539967375</v>
      </c>
      <c r="I266">
        <f>tinder[[#This Row],[Conversations]]/MAX(tinder[Conversations])</f>
        <v>1.0124980224647999E-2</v>
      </c>
      <c r="J266">
        <f>(tinder[[#This Row],[Norm Engagement]]*2)+(tinder[[#This Row],[Norm Swipes]]*1)+(tinder[[#This Row],[Norm Conversations]]*2)</f>
        <v>0.23683514328331376</v>
      </c>
      <c r="K26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66">
        <v>38</v>
      </c>
      <c r="M266">
        <v>0</v>
      </c>
      <c r="N266">
        <v>137</v>
      </c>
      <c r="O266">
        <v>1886</v>
      </c>
      <c r="P266">
        <v>1642</v>
      </c>
      <c r="Q266">
        <f>tinder[[#This Row],[All Swipes]]/MAX(tinder[All Swipes])</f>
        <v>1.7849569282388646E-2</v>
      </c>
      <c r="R266">
        <f>tinder[[#This Row],[Swipe Right (LIKE)]]+tinder[[#This Row],[Swipe Left (PASS)]]</f>
        <v>15151</v>
      </c>
      <c r="S266">
        <v>1192</v>
      </c>
      <c r="T266">
        <v>13959</v>
      </c>
      <c r="U266" t="s">
        <v>8</v>
      </c>
      <c r="V266" s="1">
        <v>44086</v>
      </c>
      <c r="W266" t="s">
        <v>12</v>
      </c>
      <c r="X266" t="s">
        <v>1295</v>
      </c>
      <c r="Y266" t="s">
        <v>8</v>
      </c>
      <c r="Z266">
        <v>29</v>
      </c>
      <c r="AA26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67" spans="1:27" x14ac:dyDescent="0.3">
      <c r="A267" t="s">
        <v>1158</v>
      </c>
      <c r="B267">
        <v>1303</v>
      </c>
      <c r="C267">
        <v>66</v>
      </c>
      <c r="D267">
        <f>IFERROR(tinder[[#This Row],[Tinder Opened]]/tinder[[#This Row],[Days on Tinder]],0)</f>
        <v>19.742424242424242</v>
      </c>
      <c r="E267">
        <f>tinder[[#This Row],[Engagement]]/MAX(tinder[Engagement])</f>
        <v>9.9208162022232371E-2</v>
      </c>
      <c r="F26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67">
        <v>136</v>
      </c>
      <c r="H267">
        <f>IFERROR(tinder[[#This Row],[Conversations]]/tinder[[#This Row],[Tinder Opened]],0)</f>
        <v>0.10437452033768227</v>
      </c>
      <c r="I267">
        <f>tinder[[#This Row],[Conversations]]/MAX(tinder[Conversations])</f>
        <v>1.0757791488688499E-2</v>
      </c>
      <c r="J267">
        <f>(tinder[[#This Row],[Norm Engagement]]*2)+(tinder[[#This Row],[Norm Swipes]]*1)+(tinder[[#This Row],[Norm Conversations]]*2)</f>
        <v>0.22486937285660452</v>
      </c>
      <c r="K26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67">
        <v>28</v>
      </c>
      <c r="M267">
        <v>6</v>
      </c>
      <c r="N267">
        <v>182</v>
      </c>
      <c r="O267">
        <v>1501</v>
      </c>
      <c r="P267">
        <v>1301</v>
      </c>
      <c r="Q267">
        <f>tinder[[#This Row],[All Swipes]]/MAX(tinder[All Swipes])</f>
        <v>4.9374658347627757E-3</v>
      </c>
      <c r="R267">
        <f>tinder[[#This Row],[Swipe Right (LIKE)]]+tinder[[#This Row],[Swipe Left (PASS)]]</f>
        <v>4191</v>
      </c>
      <c r="S267">
        <v>1920</v>
      </c>
      <c r="T267">
        <v>2271</v>
      </c>
      <c r="U267" t="s">
        <v>8</v>
      </c>
      <c r="V267" s="1">
        <v>44227</v>
      </c>
      <c r="W267" t="s">
        <v>12</v>
      </c>
      <c r="X267" t="s">
        <v>1295</v>
      </c>
      <c r="Y267" t="s">
        <v>8</v>
      </c>
      <c r="Z267">
        <v>18</v>
      </c>
      <c r="AA26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68" spans="1:27" x14ac:dyDescent="0.3">
      <c r="A268" t="s">
        <v>277</v>
      </c>
      <c r="B268">
        <v>7599</v>
      </c>
      <c r="C268">
        <v>385</v>
      </c>
      <c r="D268">
        <f>IFERROR(tinder[[#This Row],[Tinder Opened]]/tinder[[#This Row],[Days on Tinder]],0)</f>
        <v>19.737662337662339</v>
      </c>
      <c r="E268">
        <f>tinder[[#This Row],[Engagement]]/MAX(tinder[Engagement])</f>
        <v>9.9184232852574564E-2</v>
      </c>
      <c r="F26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68">
        <v>1413</v>
      </c>
      <c r="H268">
        <f>IFERROR(tinder[[#This Row],[Conversations]]/tinder[[#This Row],[Tinder Opened]],0)</f>
        <v>0.18594551914725621</v>
      </c>
      <c r="I268">
        <f>tinder[[#This Row],[Conversations]]/MAX(tinder[Conversations])</f>
        <v>0.1117702895111533</v>
      </c>
      <c r="J268">
        <f>(tinder[[#This Row],[Norm Engagement]]*2)+(tinder[[#This Row],[Norm Swipes]]*1)+(tinder[[#This Row],[Norm Conversations]]*2)</f>
        <v>0.56743881796452944</v>
      </c>
      <c r="K26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68">
        <v>410</v>
      </c>
      <c r="M268">
        <v>253</v>
      </c>
      <c r="N268">
        <v>2820</v>
      </c>
      <c r="O268">
        <v>4852</v>
      </c>
      <c r="P268">
        <v>5591</v>
      </c>
      <c r="Q268">
        <f>tinder[[#This Row],[All Swipes]]/MAX(tinder[All Swipes])</f>
        <v>0.14552977323707375</v>
      </c>
      <c r="R268">
        <f>tinder[[#This Row],[Swipe Right (LIKE)]]+tinder[[#This Row],[Swipe Left (PASS)]]</f>
        <v>123528</v>
      </c>
      <c r="S268">
        <v>33559</v>
      </c>
      <c r="T268">
        <v>89969</v>
      </c>
      <c r="U268" t="s">
        <v>8</v>
      </c>
      <c r="V268" s="1">
        <v>43606</v>
      </c>
      <c r="W268" t="s">
        <v>12</v>
      </c>
      <c r="X268" t="s">
        <v>1295</v>
      </c>
      <c r="Y268" t="s">
        <v>173</v>
      </c>
      <c r="Z268">
        <v>21</v>
      </c>
      <c r="AA26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69" spans="1:27" x14ac:dyDescent="0.3">
      <c r="A269" t="s">
        <v>1278</v>
      </c>
      <c r="B269">
        <v>18449</v>
      </c>
      <c r="C269">
        <v>936</v>
      </c>
      <c r="D269">
        <f>IFERROR(tinder[[#This Row],[Tinder Opened]]/tinder[[#This Row],[Days on Tinder]],0)</f>
        <v>19.710470085470085</v>
      </c>
      <c r="E269">
        <f>tinder[[#This Row],[Engagement]]/MAX(tinder[Engagement])</f>
        <v>9.9047588369196402E-2</v>
      </c>
      <c r="F26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69">
        <v>1736</v>
      </c>
      <c r="H269">
        <f>IFERROR(tinder[[#This Row],[Conversations]]/tinder[[#This Row],[Tinder Opened]],0)</f>
        <v>9.4097241042874952E-2</v>
      </c>
      <c r="I269">
        <f>tinder[[#This Row],[Conversations]]/MAX(tinder[Conversations])</f>
        <v>0.13732004429678848</v>
      </c>
      <c r="J269">
        <f>(tinder[[#This Row],[Norm Engagement]]*2)+(tinder[[#This Row],[Norm Swipes]]*1)+(tinder[[#This Row],[Norm Conversations]]*2)</f>
        <v>0.55368920587974457</v>
      </c>
      <c r="K26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69">
        <v>654</v>
      </c>
      <c r="M269">
        <v>266</v>
      </c>
      <c r="N269">
        <v>1718</v>
      </c>
      <c r="O269">
        <v>5458</v>
      </c>
      <c r="P269">
        <v>4093</v>
      </c>
      <c r="Q269">
        <f>tinder[[#This Row],[All Swipes]]/MAX(tinder[All Swipes])</f>
        <v>8.0953940547774786E-2</v>
      </c>
      <c r="R269">
        <f>tinder[[#This Row],[Swipe Right (LIKE)]]+tinder[[#This Row],[Swipe Left (PASS)]]</f>
        <v>68715</v>
      </c>
      <c r="S269">
        <v>41559</v>
      </c>
      <c r="T269">
        <v>27156</v>
      </c>
      <c r="U269" t="s">
        <v>8</v>
      </c>
      <c r="V269" s="1">
        <v>43283</v>
      </c>
      <c r="W269" t="s">
        <v>12</v>
      </c>
      <c r="X269" t="s">
        <v>1295</v>
      </c>
      <c r="Y269" t="s">
        <v>1279</v>
      </c>
      <c r="Z269">
        <v>51</v>
      </c>
      <c r="AA269" t="str">
        <f>_xlfn.IFS(tinder[[#This Row],[Age]]&lt;=20,"Teen",tinder[[#This Row],[Age]]&lt;=30,"Young Adult",tinder[[#This Row],[Age]]&lt;=40,"Adult",tinder[[#This Row],[Age]]&lt;=50,"Middle-Aged",TRUE,"Senior")</f>
        <v>Senior</v>
      </c>
    </row>
    <row r="270" spans="1:27" x14ac:dyDescent="0.3">
      <c r="A270" t="s">
        <v>1183</v>
      </c>
      <c r="B270">
        <v>10085</v>
      </c>
      <c r="C270">
        <v>512</v>
      </c>
      <c r="D270">
        <f>IFERROR(tinder[[#This Row],[Tinder Opened]]/tinder[[#This Row],[Days on Tinder]],0)</f>
        <v>19.697265625</v>
      </c>
      <c r="E270">
        <f>tinder[[#This Row],[Engagement]]/MAX(tinder[Engagement])</f>
        <v>9.8981234296482409E-2</v>
      </c>
      <c r="F27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70">
        <v>123</v>
      </c>
      <c r="H270">
        <f>IFERROR(tinder[[#This Row],[Conversations]]/tinder[[#This Row],[Tinder Opened]],0)</f>
        <v>1.2196331184928111E-2</v>
      </c>
      <c r="I270">
        <f>tinder[[#This Row],[Conversations]]/MAX(tinder[Conversations])</f>
        <v>9.7294731846226858E-3</v>
      </c>
      <c r="J270">
        <f>(tinder[[#This Row],[Norm Engagement]]*2)+(tinder[[#This Row],[Norm Swipes]]*1)+(tinder[[#This Row],[Norm Conversations]]*2)</f>
        <v>0.30612968624833109</v>
      </c>
      <c r="K27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70">
        <v>37</v>
      </c>
      <c r="M270">
        <v>0</v>
      </c>
      <c r="N270">
        <v>122</v>
      </c>
      <c r="O270">
        <v>925</v>
      </c>
      <c r="P270">
        <v>1355</v>
      </c>
      <c r="Q270">
        <f>tinder[[#This Row],[All Swipes]]/MAX(tinder[All Swipes])</f>
        <v>8.8708271286120896E-2</v>
      </c>
      <c r="R270">
        <f>tinder[[#This Row],[Swipe Right (LIKE)]]+tinder[[#This Row],[Swipe Left (PASS)]]</f>
        <v>75297</v>
      </c>
      <c r="S270">
        <v>2711</v>
      </c>
      <c r="T270">
        <v>72586</v>
      </c>
      <c r="U270" t="s">
        <v>8</v>
      </c>
      <c r="V270" s="1">
        <v>43751</v>
      </c>
      <c r="W270" t="s">
        <v>12</v>
      </c>
      <c r="X270" t="s">
        <v>1295</v>
      </c>
      <c r="Y270" t="s">
        <v>8</v>
      </c>
      <c r="Z270">
        <v>31</v>
      </c>
      <c r="AA27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271" spans="1:27" x14ac:dyDescent="0.3">
      <c r="A271" t="s">
        <v>551</v>
      </c>
      <c r="B271">
        <v>2007</v>
      </c>
      <c r="C271">
        <v>102</v>
      </c>
      <c r="D271">
        <f>IFERROR(tinder[[#This Row],[Tinder Opened]]/tinder[[#This Row],[Days on Tinder]],0)</f>
        <v>19.676470588235293</v>
      </c>
      <c r="E271">
        <f>tinder[[#This Row],[Engagement]]/MAX(tinder[Engagement])</f>
        <v>9.8876736624297953E-2</v>
      </c>
      <c r="F27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71">
        <v>68</v>
      </c>
      <c r="H271">
        <f>IFERROR(tinder[[#This Row],[Conversations]]/tinder[[#This Row],[Tinder Opened]],0)</f>
        <v>3.3881415047334329E-2</v>
      </c>
      <c r="I271">
        <f>tinder[[#This Row],[Conversations]]/MAX(tinder[Conversations])</f>
        <v>5.3788957443442493E-3</v>
      </c>
      <c r="J271">
        <f>(tinder[[#This Row],[Norm Engagement]]*2)+(tinder[[#This Row],[Norm Swipes]]*1)+(tinder[[#This Row],[Norm Conversations]]*2)</f>
        <v>0.23122172259858767</v>
      </c>
      <c r="K27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71">
        <v>11</v>
      </c>
      <c r="M271">
        <v>10</v>
      </c>
      <c r="N271">
        <v>217</v>
      </c>
      <c r="O271">
        <v>736</v>
      </c>
      <c r="P271">
        <v>617</v>
      </c>
      <c r="Q271">
        <f>tinder[[#This Row],[All Swipes]]/MAX(tinder[All Swipes])</f>
        <v>2.2710457861303275E-2</v>
      </c>
      <c r="R271">
        <f>tinder[[#This Row],[Swipe Right (LIKE)]]+tinder[[#This Row],[Swipe Left (PASS)]]</f>
        <v>19277</v>
      </c>
      <c r="S271">
        <v>3517</v>
      </c>
      <c r="T271">
        <v>15760</v>
      </c>
      <c r="U271" t="s">
        <v>8</v>
      </c>
      <c r="V271" s="1">
        <v>44177</v>
      </c>
      <c r="W271" t="s">
        <v>12</v>
      </c>
      <c r="X271" t="s">
        <v>1295</v>
      </c>
      <c r="Y271" t="s">
        <v>8</v>
      </c>
      <c r="Z271">
        <v>24</v>
      </c>
      <c r="AA27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72" spans="1:27" x14ac:dyDescent="0.3">
      <c r="A272" t="s">
        <v>372</v>
      </c>
      <c r="B272">
        <v>5027</v>
      </c>
      <c r="C272">
        <v>256</v>
      </c>
      <c r="D272">
        <f>IFERROR(tinder[[#This Row],[Tinder Opened]]/tinder[[#This Row],[Days on Tinder]],0)</f>
        <v>19.63671875</v>
      </c>
      <c r="E272">
        <f>tinder[[#This Row],[Engagement]]/MAX(tinder[Engagement])</f>
        <v>9.8676978643216076E-2</v>
      </c>
      <c r="F27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72">
        <v>73</v>
      </c>
      <c r="H272">
        <f>IFERROR(tinder[[#This Row],[Conversations]]/tinder[[#This Row],[Tinder Opened]],0)</f>
        <v>1.4521583449373383E-2</v>
      </c>
      <c r="I272">
        <f>tinder[[#This Row],[Conversations]]/MAX(tinder[Conversations])</f>
        <v>5.774402784369562E-3</v>
      </c>
      <c r="J272">
        <f>(tinder[[#This Row],[Norm Engagement]]*2)+(tinder[[#This Row],[Norm Swipes]]*1)+(tinder[[#This Row],[Norm Conversations]]*2)</f>
        <v>0.27085258472469304</v>
      </c>
      <c r="K27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72">
        <v>14</v>
      </c>
      <c r="M272">
        <v>0</v>
      </c>
      <c r="N272">
        <v>97</v>
      </c>
      <c r="O272">
        <v>1301</v>
      </c>
      <c r="P272">
        <v>1008</v>
      </c>
      <c r="Q272">
        <f>tinder[[#This Row],[All Swipes]]/MAX(tinder[All Swipes])</f>
        <v>6.1949821869521783E-2</v>
      </c>
      <c r="R272">
        <f>tinder[[#This Row],[Swipe Right (LIKE)]]+tinder[[#This Row],[Swipe Left (PASS)]]</f>
        <v>52584</v>
      </c>
      <c r="S272">
        <v>2201</v>
      </c>
      <c r="T272">
        <v>50383</v>
      </c>
      <c r="U272" t="s">
        <v>262</v>
      </c>
      <c r="V272" s="1">
        <v>43867</v>
      </c>
      <c r="W272" t="s">
        <v>12</v>
      </c>
      <c r="X272" t="s">
        <v>1295</v>
      </c>
      <c r="Y272" t="s">
        <v>8</v>
      </c>
      <c r="Z272">
        <v>20</v>
      </c>
      <c r="AA27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73" spans="1:27" x14ac:dyDescent="0.3">
      <c r="A273" t="s">
        <v>1290</v>
      </c>
      <c r="B273">
        <v>1119</v>
      </c>
      <c r="C273">
        <v>57</v>
      </c>
      <c r="D273">
        <f>IFERROR(tinder[[#This Row],[Tinder Opened]]/tinder[[#This Row],[Days on Tinder]],0)</f>
        <v>19.631578947368421</v>
      </c>
      <c r="E273">
        <f>tinder[[#This Row],[Engagement]]/MAX(tinder[Engagement])</f>
        <v>9.8651150489288547E-2</v>
      </c>
      <c r="F27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73">
        <v>23</v>
      </c>
      <c r="H273">
        <f>IFERROR(tinder[[#This Row],[Conversations]]/tinder[[#This Row],[Tinder Opened]],0)</f>
        <v>2.0554066130473638E-2</v>
      </c>
      <c r="I273">
        <f>tinder[[#This Row],[Conversations]]/MAX(tinder[Conversations])</f>
        <v>1.8193323841164373E-3</v>
      </c>
      <c r="J273">
        <f>(tinder[[#This Row],[Norm Engagement]]*2)+(tinder[[#This Row],[Norm Swipes]]*1)+(tinder[[#This Row],[Norm Conversations]]*2)</f>
        <v>0.21831222170805481</v>
      </c>
      <c r="K27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73">
        <v>8</v>
      </c>
      <c r="M273">
        <v>3</v>
      </c>
      <c r="N273">
        <v>11</v>
      </c>
      <c r="O273">
        <v>140</v>
      </c>
      <c r="P273">
        <v>116</v>
      </c>
      <c r="Q273">
        <f>tinder[[#This Row],[All Swipes]]/MAX(tinder[All Swipes])</f>
        <v>1.7371255961244839E-2</v>
      </c>
      <c r="R273">
        <f>tinder[[#This Row],[Swipe Right (LIKE)]]+tinder[[#This Row],[Swipe Left (PASS)]]</f>
        <v>14745</v>
      </c>
      <c r="S273">
        <v>7912</v>
      </c>
      <c r="T273">
        <v>6833</v>
      </c>
      <c r="U273" t="s">
        <v>25</v>
      </c>
      <c r="V273" s="1">
        <v>44242</v>
      </c>
      <c r="W273" t="s">
        <v>12</v>
      </c>
      <c r="X273" t="s">
        <v>1295</v>
      </c>
      <c r="Y273" t="s">
        <v>8</v>
      </c>
      <c r="Z273">
        <v>22</v>
      </c>
      <c r="AA27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74" spans="1:27" x14ac:dyDescent="0.3">
      <c r="A274" t="s">
        <v>155</v>
      </c>
      <c r="B274">
        <v>682</v>
      </c>
      <c r="C274">
        <v>35</v>
      </c>
      <c r="D274">
        <f>IFERROR(tinder[[#This Row],[Tinder Opened]]/tinder[[#This Row],[Days on Tinder]],0)</f>
        <v>19.485714285714284</v>
      </c>
      <c r="E274">
        <f>tinder[[#This Row],[Engagement]]/MAX(tinder[Engagement])</f>
        <v>9.7918162239770276E-2</v>
      </c>
      <c r="F27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74">
        <v>12</v>
      </c>
      <c r="H274">
        <f>IFERROR(tinder[[#This Row],[Conversations]]/tinder[[#This Row],[Tinder Opened]],0)</f>
        <v>1.7595307917888565E-2</v>
      </c>
      <c r="I274">
        <f>tinder[[#This Row],[Conversations]]/MAX(tinder[Conversations])</f>
        <v>9.4921689606074992E-4</v>
      </c>
      <c r="J274">
        <f>(tinder[[#This Row],[Norm Engagement]]*2)+(tinder[[#This Row],[Norm Swipes]]*1)+(tinder[[#This Row],[Norm Conversations]]*2)</f>
        <v>0.2357795170886495</v>
      </c>
      <c r="K27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74">
        <v>4</v>
      </c>
      <c r="M274">
        <v>5</v>
      </c>
      <c r="N274">
        <v>33</v>
      </c>
      <c r="O274">
        <v>15</v>
      </c>
      <c r="P274">
        <v>19</v>
      </c>
      <c r="Q274">
        <f>tinder[[#This Row],[All Swipes]]/MAX(tinder[All Swipes])</f>
        <v>3.8044758816987427E-2</v>
      </c>
      <c r="R274">
        <f>tinder[[#This Row],[Swipe Right (LIKE)]]+tinder[[#This Row],[Swipe Left (PASS)]]</f>
        <v>32293</v>
      </c>
      <c r="S274">
        <v>4296</v>
      </c>
      <c r="T274">
        <v>27997</v>
      </c>
      <c r="U274" t="s">
        <v>14</v>
      </c>
      <c r="V274" s="1">
        <v>44064</v>
      </c>
      <c r="W274" t="s">
        <v>12</v>
      </c>
      <c r="X274" t="s">
        <v>1295</v>
      </c>
      <c r="Y274" t="s">
        <v>8</v>
      </c>
      <c r="Z274">
        <v>27</v>
      </c>
      <c r="AA27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75" spans="1:27" x14ac:dyDescent="0.3">
      <c r="A275" t="s">
        <v>1104</v>
      </c>
      <c r="B275">
        <v>6111</v>
      </c>
      <c r="C275">
        <v>315</v>
      </c>
      <c r="D275">
        <f>IFERROR(tinder[[#This Row],[Tinder Opened]]/tinder[[#This Row],[Days on Tinder]],0)</f>
        <v>19.399999999999999</v>
      </c>
      <c r="E275">
        <f>tinder[[#This Row],[Engagement]]/MAX(tinder[Engagement])</f>
        <v>9.7487437185929643E-2</v>
      </c>
      <c r="F27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75">
        <v>630</v>
      </c>
      <c r="H275">
        <f>IFERROR(tinder[[#This Row],[Conversations]]/tinder[[#This Row],[Tinder Opened]],0)</f>
        <v>0.10309278350515463</v>
      </c>
      <c r="I275">
        <f>tinder[[#This Row],[Conversations]]/MAX(tinder[Conversations])</f>
        <v>4.9833887043189369E-2</v>
      </c>
      <c r="J275">
        <f>(tinder[[#This Row],[Norm Engagement]]*2)+(tinder[[#This Row],[Norm Swipes]]*1)+(tinder[[#This Row],[Norm Conversations]]*2)</f>
        <v>0.37966343034736355</v>
      </c>
      <c r="K27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75">
        <v>287</v>
      </c>
      <c r="M275">
        <v>104</v>
      </c>
      <c r="N275">
        <v>1160</v>
      </c>
      <c r="O275">
        <v>4085</v>
      </c>
      <c r="P275">
        <v>3509</v>
      </c>
      <c r="Q275">
        <f>tinder[[#This Row],[All Swipes]]/MAX(tinder[All Swipes])</f>
        <v>8.5020781889125555E-2</v>
      </c>
      <c r="R275">
        <f>tinder[[#This Row],[Swipe Right (LIKE)]]+tinder[[#This Row],[Swipe Left (PASS)]]</f>
        <v>72167</v>
      </c>
      <c r="S275">
        <v>22168</v>
      </c>
      <c r="T275">
        <v>49999</v>
      </c>
      <c r="U275" t="s">
        <v>8</v>
      </c>
      <c r="V275" s="1">
        <v>43938</v>
      </c>
      <c r="W275" t="s">
        <v>12</v>
      </c>
      <c r="X275" t="s">
        <v>1295</v>
      </c>
      <c r="Y275" t="s">
        <v>8</v>
      </c>
      <c r="Z275">
        <v>19</v>
      </c>
      <c r="AA27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76" spans="1:27" x14ac:dyDescent="0.3">
      <c r="A276" t="s">
        <v>1205</v>
      </c>
      <c r="B276">
        <v>7837</v>
      </c>
      <c r="C276">
        <v>408</v>
      </c>
      <c r="D276">
        <f>IFERROR(tinder[[#This Row],[Tinder Opened]]/tinder[[#This Row],[Days on Tinder]],0)</f>
        <v>19.208333333333332</v>
      </c>
      <c r="E276">
        <f>tinder[[#This Row],[Engagement]]/MAX(tinder[Engagement])</f>
        <v>9.6524288107202677E-2</v>
      </c>
      <c r="F27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76">
        <v>90</v>
      </c>
      <c r="H276">
        <f>IFERROR(tinder[[#This Row],[Conversations]]/tinder[[#This Row],[Tinder Opened]],0)</f>
        <v>1.1483986219216537E-2</v>
      </c>
      <c r="I276">
        <f>tinder[[#This Row],[Conversations]]/MAX(tinder[Conversations])</f>
        <v>7.1191267204556239E-3</v>
      </c>
      <c r="J276">
        <f>(tinder[[#This Row],[Norm Engagement]]*2)+(tinder[[#This Row],[Norm Swipes]]*1)+(tinder[[#This Row],[Norm Conversations]]*2)</f>
        <v>0.29141460293008992</v>
      </c>
      <c r="K27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76">
        <v>43</v>
      </c>
      <c r="M276">
        <v>6</v>
      </c>
      <c r="N276">
        <v>126</v>
      </c>
      <c r="O276">
        <v>402</v>
      </c>
      <c r="P276">
        <v>362</v>
      </c>
      <c r="Q276">
        <f>tinder[[#This Row],[All Swipes]]/MAX(tinder[All Swipes])</f>
        <v>8.4127773274773332E-2</v>
      </c>
      <c r="R276">
        <f>tinder[[#This Row],[Swipe Right (LIKE)]]+tinder[[#This Row],[Swipe Left (PASS)]]</f>
        <v>71409</v>
      </c>
      <c r="S276">
        <v>36565</v>
      </c>
      <c r="T276">
        <v>34844</v>
      </c>
      <c r="U276" t="s">
        <v>10</v>
      </c>
      <c r="V276" s="1">
        <v>43531</v>
      </c>
      <c r="W276" t="s">
        <v>12</v>
      </c>
      <c r="X276" t="s">
        <v>1295</v>
      </c>
      <c r="Y276" t="s">
        <v>8</v>
      </c>
      <c r="Z276">
        <v>18</v>
      </c>
      <c r="AA27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77" spans="1:27" x14ac:dyDescent="0.3">
      <c r="A277" t="s">
        <v>1253</v>
      </c>
      <c r="B277">
        <v>4263</v>
      </c>
      <c r="C277">
        <v>223</v>
      </c>
      <c r="D277">
        <f>IFERROR(tinder[[#This Row],[Tinder Opened]]/tinder[[#This Row],[Days on Tinder]],0)</f>
        <v>19.116591928251122</v>
      </c>
      <c r="E277">
        <f>tinder[[#This Row],[Engagement]]/MAX(tinder[Engagement])</f>
        <v>9.6063276021362415E-2</v>
      </c>
      <c r="F27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77">
        <v>698</v>
      </c>
      <c r="H277">
        <f>IFERROR(tinder[[#This Row],[Conversations]]/tinder[[#This Row],[Tinder Opened]],0)</f>
        <v>0.16373445930096175</v>
      </c>
      <c r="I277">
        <f>tinder[[#This Row],[Conversations]]/MAX(tinder[Conversations])</f>
        <v>5.5212782787533617E-2</v>
      </c>
      <c r="J277">
        <f>(tinder[[#This Row],[Norm Engagement]]*2)+(tinder[[#This Row],[Norm Swipes]]*1)+(tinder[[#This Row],[Norm Conversations]]*2)</f>
        <v>0.38678592093912434</v>
      </c>
      <c r="K27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77">
        <v>137</v>
      </c>
      <c r="M277">
        <v>157</v>
      </c>
      <c r="N277">
        <v>481</v>
      </c>
      <c r="O277">
        <v>6457</v>
      </c>
      <c r="P277">
        <v>7263</v>
      </c>
      <c r="Q277">
        <f>tinder[[#This Row],[All Swipes]]/MAX(tinder[All Swipes])</f>
        <v>8.4233803321332304E-2</v>
      </c>
      <c r="R277">
        <f>tinder[[#This Row],[Swipe Right (LIKE)]]+tinder[[#This Row],[Swipe Left (PASS)]]</f>
        <v>71499</v>
      </c>
      <c r="S277">
        <v>777</v>
      </c>
      <c r="T277">
        <v>70722</v>
      </c>
      <c r="U277" t="s">
        <v>65</v>
      </c>
      <c r="V277" s="1">
        <v>43941</v>
      </c>
      <c r="W277" t="s">
        <v>12</v>
      </c>
      <c r="X277" t="s">
        <v>1296</v>
      </c>
      <c r="Y277" t="s">
        <v>1254</v>
      </c>
      <c r="Z277">
        <v>18</v>
      </c>
      <c r="AA27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78" spans="1:27" x14ac:dyDescent="0.3">
      <c r="A278" t="s">
        <v>957</v>
      </c>
      <c r="B278">
        <v>10540</v>
      </c>
      <c r="C278">
        <v>552</v>
      </c>
      <c r="D278">
        <f>IFERROR(tinder[[#This Row],[Tinder Opened]]/tinder[[#This Row],[Days on Tinder]],0)</f>
        <v>19.094202898550726</v>
      </c>
      <c r="E278">
        <f>tinder[[#This Row],[Engagement]]/MAX(tinder[Engagement])</f>
        <v>9.5950768334425757E-2</v>
      </c>
      <c r="F27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78">
        <v>889</v>
      </c>
      <c r="H278">
        <f>IFERROR(tinder[[#This Row],[Conversations]]/tinder[[#This Row],[Tinder Opened]],0)</f>
        <v>8.4345351043643269E-2</v>
      </c>
      <c r="I278">
        <f>tinder[[#This Row],[Conversations]]/MAX(tinder[Conversations])</f>
        <v>7.0321151716500552E-2</v>
      </c>
      <c r="J278">
        <f>(tinder[[#This Row],[Norm Engagement]]*2)+(tinder[[#This Row],[Norm Swipes]]*1)+(tinder[[#This Row],[Norm Conversations]]*2)</f>
        <v>0.42178226162076837</v>
      </c>
      <c r="K27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78">
        <v>183</v>
      </c>
      <c r="M278">
        <v>24</v>
      </c>
      <c r="N278">
        <v>1204</v>
      </c>
      <c r="O278">
        <v>9267</v>
      </c>
      <c r="P278">
        <v>6562</v>
      </c>
      <c r="Q278">
        <f>tinder[[#This Row],[All Swipes]]/MAX(tinder[All Swipes])</f>
        <v>8.9238421518915756E-2</v>
      </c>
      <c r="R278">
        <f>tinder[[#This Row],[Swipe Right (LIKE)]]+tinder[[#This Row],[Swipe Left (PASS)]]</f>
        <v>75747</v>
      </c>
      <c r="S278">
        <v>26670</v>
      </c>
      <c r="T278">
        <v>49077</v>
      </c>
      <c r="U278" t="s">
        <v>8</v>
      </c>
      <c r="V278" s="1">
        <v>43675</v>
      </c>
      <c r="W278" t="s">
        <v>12</v>
      </c>
      <c r="X278" t="s">
        <v>1295</v>
      </c>
      <c r="Y278" t="s">
        <v>958</v>
      </c>
      <c r="Z278">
        <v>30</v>
      </c>
      <c r="AA27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79" spans="1:27" x14ac:dyDescent="0.3">
      <c r="A279" t="s">
        <v>613</v>
      </c>
      <c r="B279">
        <v>3214</v>
      </c>
      <c r="C279">
        <v>169</v>
      </c>
      <c r="D279">
        <f>IFERROR(tinder[[#This Row],[Tinder Opened]]/tinder[[#This Row],[Days on Tinder]],0)</f>
        <v>19.017751479289942</v>
      </c>
      <c r="E279">
        <f>tinder[[#This Row],[Engagement]]/MAX(tinder[Engagement])</f>
        <v>9.5566590348190664E-2</v>
      </c>
      <c r="F27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79">
        <v>84</v>
      </c>
      <c r="H279">
        <f>IFERROR(tinder[[#This Row],[Conversations]]/tinder[[#This Row],[Tinder Opened]],0)</f>
        <v>2.613565650280025E-2</v>
      </c>
      <c r="I279">
        <f>tinder[[#This Row],[Conversations]]/MAX(tinder[Conversations])</f>
        <v>6.6445182724252493E-3</v>
      </c>
      <c r="J279">
        <f>(tinder[[#This Row],[Norm Engagement]]*2)+(tinder[[#This Row],[Norm Swipes]]*1)+(tinder[[#This Row],[Norm Conversations]]*2)</f>
        <v>0.23428027835223822</v>
      </c>
      <c r="K27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79">
        <v>28</v>
      </c>
      <c r="M279">
        <v>3</v>
      </c>
      <c r="N279">
        <v>148</v>
      </c>
      <c r="O279">
        <v>380</v>
      </c>
      <c r="P279">
        <v>301</v>
      </c>
      <c r="Q279">
        <f>tinder[[#This Row],[All Swipes]]/MAX(tinder[All Swipes])</f>
        <v>2.985806111100639E-2</v>
      </c>
      <c r="R279">
        <f>tinder[[#This Row],[Swipe Right (LIKE)]]+tinder[[#This Row],[Swipe Left (PASS)]]</f>
        <v>25344</v>
      </c>
      <c r="S279">
        <v>9282</v>
      </c>
      <c r="T279">
        <v>16062</v>
      </c>
      <c r="U279" t="s">
        <v>122</v>
      </c>
      <c r="V279" s="1">
        <v>44024</v>
      </c>
      <c r="W279" t="s">
        <v>12</v>
      </c>
      <c r="X279" t="s">
        <v>1295</v>
      </c>
      <c r="Y279" t="s">
        <v>8</v>
      </c>
      <c r="Z279">
        <v>26</v>
      </c>
      <c r="AA27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80" spans="1:27" x14ac:dyDescent="0.3">
      <c r="A280" t="s">
        <v>555</v>
      </c>
      <c r="B280">
        <v>1004</v>
      </c>
      <c r="C280">
        <v>53</v>
      </c>
      <c r="D280">
        <f>IFERROR(tinder[[#This Row],[Tinder Opened]]/tinder[[#This Row],[Days on Tinder]],0)</f>
        <v>18.943396226415093</v>
      </c>
      <c r="E280">
        <f>tinder[[#This Row],[Engagement]]/MAX(tinder[Engagement])</f>
        <v>9.5192945861382369E-2</v>
      </c>
      <c r="F28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80">
        <v>19</v>
      </c>
      <c r="H280">
        <f>IFERROR(tinder[[#This Row],[Conversations]]/tinder[[#This Row],[Tinder Opened]],0)</f>
        <v>1.8924302788844622E-2</v>
      </c>
      <c r="I280">
        <f>tinder[[#This Row],[Conversations]]/MAX(tinder[Conversations])</f>
        <v>1.5029267520961873E-3</v>
      </c>
      <c r="J280">
        <f>(tinder[[#This Row],[Norm Engagement]]*2)+(tinder[[#This Row],[Norm Swipes]]*1)+(tinder[[#This Row],[Norm Conversations]]*2)</f>
        <v>0.20224525411463126</v>
      </c>
      <c r="K28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80">
        <v>7</v>
      </c>
      <c r="M280">
        <v>3</v>
      </c>
      <c r="N280">
        <v>37</v>
      </c>
      <c r="O280">
        <v>119</v>
      </c>
      <c r="P280">
        <v>144</v>
      </c>
      <c r="Q280">
        <f>tinder[[#This Row],[All Swipes]]/MAX(tinder[All Swipes])</f>
        <v>8.8535088876741247E-3</v>
      </c>
      <c r="R280">
        <f>tinder[[#This Row],[Swipe Right (LIKE)]]+tinder[[#This Row],[Swipe Left (PASS)]]</f>
        <v>7515</v>
      </c>
      <c r="S280">
        <v>2451</v>
      </c>
      <c r="T280">
        <v>5064</v>
      </c>
      <c r="U280" t="s">
        <v>8</v>
      </c>
      <c r="V280" s="1">
        <v>44225</v>
      </c>
      <c r="W280" t="s">
        <v>12</v>
      </c>
      <c r="X280" t="s">
        <v>1295</v>
      </c>
      <c r="Y280" t="s">
        <v>8</v>
      </c>
      <c r="Z280">
        <v>24</v>
      </c>
      <c r="AA28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81" spans="1:27" x14ac:dyDescent="0.3">
      <c r="A281" t="s">
        <v>230</v>
      </c>
      <c r="B281">
        <v>2296</v>
      </c>
      <c r="C281">
        <v>122</v>
      </c>
      <c r="D281">
        <f>IFERROR(tinder[[#This Row],[Tinder Opened]]/tinder[[#This Row],[Days on Tinder]],0)</f>
        <v>18.819672131147541</v>
      </c>
      <c r="E281">
        <f>tinder[[#This Row],[Engagement]]/MAX(tinder[Engagement])</f>
        <v>9.4571216739434888E-2</v>
      </c>
      <c r="F28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81">
        <v>84</v>
      </c>
      <c r="H281">
        <f>IFERROR(tinder[[#This Row],[Conversations]]/tinder[[#This Row],[Tinder Opened]],0)</f>
        <v>3.6585365853658534E-2</v>
      </c>
      <c r="I281">
        <f>tinder[[#This Row],[Conversations]]/MAX(tinder[Conversations])</f>
        <v>6.6445182724252493E-3</v>
      </c>
      <c r="J281">
        <f>(tinder[[#This Row],[Norm Engagement]]*2)+(tinder[[#This Row],[Norm Swipes]]*1)+(tinder[[#This Row],[Norm Conversations]]*2)</f>
        <v>0.22802123270491384</v>
      </c>
      <c r="K28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81">
        <v>22</v>
      </c>
      <c r="M281">
        <v>14</v>
      </c>
      <c r="N281">
        <v>210</v>
      </c>
      <c r="O281">
        <v>821</v>
      </c>
      <c r="P281">
        <v>888</v>
      </c>
      <c r="Q281">
        <f>tinder[[#This Row],[All Swipes]]/MAX(tinder[All Swipes])</f>
        <v>2.5589762681193569E-2</v>
      </c>
      <c r="R281">
        <f>tinder[[#This Row],[Swipe Right (LIKE)]]+tinder[[#This Row],[Swipe Left (PASS)]]</f>
        <v>21721</v>
      </c>
      <c r="S281">
        <v>1991</v>
      </c>
      <c r="T281">
        <v>19730</v>
      </c>
      <c r="U281" t="s">
        <v>8</v>
      </c>
      <c r="V281" s="1">
        <v>43471</v>
      </c>
      <c r="W281" t="s">
        <v>12</v>
      </c>
      <c r="X281" t="s">
        <v>1296</v>
      </c>
      <c r="Y281" t="s">
        <v>8</v>
      </c>
      <c r="Z281">
        <v>23</v>
      </c>
      <c r="AA28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82" spans="1:27" x14ac:dyDescent="0.3">
      <c r="A282" t="s">
        <v>1288</v>
      </c>
      <c r="B282">
        <v>2103</v>
      </c>
      <c r="C282">
        <v>112</v>
      </c>
      <c r="D282">
        <f>IFERROR(tinder[[#This Row],[Tinder Opened]]/tinder[[#This Row],[Days on Tinder]],0)</f>
        <v>18.776785714285715</v>
      </c>
      <c r="E282">
        <f>tinder[[#This Row],[Engagement]]/MAX(tinder[Engagement])</f>
        <v>9.4355707106963393E-2</v>
      </c>
      <c r="F28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82">
        <v>1642</v>
      </c>
      <c r="H282">
        <f>IFERROR(tinder[[#This Row],[Conversations]]/tinder[[#This Row],[Tinder Opened]],0)</f>
        <v>0.78078934854969095</v>
      </c>
      <c r="I282">
        <f>tinder[[#This Row],[Conversations]]/MAX(tinder[Conversations])</f>
        <v>0.12988451194431261</v>
      </c>
      <c r="J282">
        <f>(tinder[[#This Row],[Norm Engagement]]*2)+(tinder[[#This Row],[Norm Swipes]]*1)+(tinder[[#This Row],[Norm Conversations]]*2)</f>
        <v>0.45430973444003858</v>
      </c>
      <c r="K28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82">
        <v>783</v>
      </c>
      <c r="M282">
        <v>38</v>
      </c>
      <c r="N282">
        <v>890</v>
      </c>
      <c r="O282">
        <v>7448</v>
      </c>
      <c r="P282">
        <v>6152</v>
      </c>
      <c r="Q282">
        <f>tinder[[#This Row],[All Swipes]]/MAX(tinder[All Swipes])</f>
        <v>5.8292963374865694E-3</v>
      </c>
      <c r="R282">
        <f>tinder[[#This Row],[Swipe Right (LIKE)]]+tinder[[#This Row],[Swipe Left (PASS)]]</f>
        <v>4948</v>
      </c>
      <c r="S282">
        <v>3145</v>
      </c>
      <c r="T282">
        <v>1803</v>
      </c>
      <c r="U282" t="s">
        <v>61</v>
      </c>
      <c r="V282" s="1">
        <v>44184</v>
      </c>
      <c r="W282" t="s">
        <v>12</v>
      </c>
      <c r="X282" t="s">
        <v>1295</v>
      </c>
      <c r="Y282" t="s">
        <v>1289</v>
      </c>
      <c r="Z282">
        <v>19</v>
      </c>
      <c r="AA28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83" spans="1:27" x14ac:dyDescent="0.3">
      <c r="A283" t="s">
        <v>571</v>
      </c>
      <c r="B283">
        <v>131</v>
      </c>
      <c r="C283">
        <v>7</v>
      </c>
      <c r="D283">
        <f>IFERROR(tinder[[#This Row],[Tinder Opened]]/tinder[[#This Row],[Days on Tinder]],0)</f>
        <v>18.714285714285715</v>
      </c>
      <c r="E283">
        <f>tinder[[#This Row],[Engagement]]/MAX(tinder[Engagement])</f>
        <v>9.4041636755204605E-2</v>
      </c>
      <c r="F28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83">
        <v>4</v>
      </c>
      <c r="H283">
        <f>IFERROR(tinder[[#This Row],[Conversations]]/tinder[[#This Row],[Tinder Opened]],0)</f>
        <v>3.0534351145038167E-2</v>
      </c>
      <c r="I283">
        <f>tinder[[#This Row],[Conversations]]/MAX(tinder[Conversations])</f>
        <v>3.1640563202024995E-4</v>
      </c>
      <c r="J283">
        <f>(tinder[[#This Row],[Norm Engagement]]*2)+(tinder[[#This Row],[Norm Swipes]]*1)+(tinder[[#This Row],[Norm Conversations]]*2)</f>
        <v>0.19036308483099906</v>
      </c>
      <c r="K28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83">
        <v>1</v>
      </c>
      <c r="M283">
        <v>0</v>
      </c>
      <c r="N283">
        <v>5</v>
      </c>
      <c r="O283">
        <v>89</v>
      </c>
      <c r="P283">
        <v>71</v>
      </c>
      <c r="Q283">
        <f>tinder[[#This Row],[All Swipes]]/MAX(tinder[All Swipes])</f>
        <v>1.6470000565493581E-3</v>
      </c>
      <c r="R283">
        <f>tinder[[#This Row],[Swipe Right (LIKE)]]+tinder[[#This Row],[Swipe Left (PASS)]]</f>
        <v>1398</v>
      </c>
      <c r="S283">
        <v>1210</v>
      </c>
      <c r="T283">
        <v>188</v>
      </c>
      <c r="U283" t="s">
        <v>311</v>
      </c>
      <c r="V283" s="1">
        <v>44275</v>
      </c>
      <c r="W283" t="s">
        <v>12</v>
      </c>
      <c r="X283" t="s">
        <v>1295</v>
      </c>
      <c r="Y283" t="s">
        <v>572</v>
      </c>
      <c r="Z283">
        <v>23</v>
      </c>
      <c r="AA28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84" spans="1:27" x14ac:dyDescent="0.3">
      <c r="A284" t="s">
        <v>265</v>
      </c>
      <c r="B284">
        <v>8353</v>
      </c>
      <c r="C284">
        <v>447</v>
      </c>
      <c r="D284">
        <f>IFERROR(tinder[[#This Row],[Tinder Opened]]/tinder[[#This Row],[Days on Tinder]],0)</f>
        <v>18.686800894854585</v>
      </c>
      <c r="E284">
        <f>tinder[[#This Row],[Engagement]]/MAX(tinder[Engagement])</f>
        <v>9.3903522084696406E-2</v>
      </c>
      <c r="F28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84">
        <v>910</v>
      </c>
      <c r="H284">
        <f>IFERROR(tinder[[#This Row],[Conversations]]/tinder[[#This Row],[Tinder Opened]],0)</f>
        <v>0.1089428947683467</v>
      </c>
      <c r="I284">
        <f>tinder[[#This Row],[Conversations]]/MAX(tinder[Conversations])</f>
        <v>7.1982281284606861E-2</v>
      </c>
      <c r="J284">
        <f>(tinder[[#This Row],[Norm Engagement]]*2)+(tinder[[#This Row],[Norm Swipes]]*1)+(tinder[[#This Row],[Norm Conversations]]*2)</f>
        <v>0.34584532825186737</v>
      </c>
      <c r="K28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84">
        <v>241</v>
      </c>
      <c r="M284">
        <v>6</v>
      </c>
      <c r="N284">
        <v>1286</v>
      </c>
      <c r="O284">
        <v>9303</v>
      </c>
      <c r="P284">
        <v>6277</v>
      </c>
      <c r="Q284">
        <f>tinder[[#This Row],[All Swipes]]/MAX(tinder[All Swipes])</f>
        <v>1.4073721513260825E-2</v>
      </c>
      <c r="R284">
        <f>tinder[[#This Row],[Swipe Right (LIKE)]]+tinder[[#This Row],[Swipe Left (PASS)]]</f>
        <v>11946</v>
      </c>
      <c r="S284">
        <v>9238</v>
      </c>
      <c r="T284">
        <v>2708</v>
      </c>
      <c r="U284" t="s">
        <v>8</v>
      </c>
      <c r="V284" s="1">
        <v>43597</v>
      </c>
      <c r="W284" t="s">
        <v>12</v>
      </c>
      <c r="X284" t="s">
        <v>1295</v>
      </c>
      <c r="Y284" t="s">
        <v>8</v>
      </c>
      <c r="Z284">
        <v>18</v>
      </c>
      <c r="AA28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85" spans="1:27" x14ac:dyDescent="0.3">
      <c r="A285" t="s">
        <v>146</v>
      </c>
      <c r="B285">
        <v>5022</v>
      </c>
      <c r="C285">
        <v>270</v>
      </c>
      <c r="D285">
        <f>IFERROR(tinder[[#This Row],[Tinder Opened]]/tinder[[#This Row],[Days on Tinder]],0)</f>
        <v>18.600000000000001</v>
      </c>
      <c r="E285">
        <f>tinder[[#This Row],[Engagement]]/MAX(tinder[Engagement])</f>
        <v>9.3467336683417099E-2</v>
      </c>
      <c r="F28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85">
        <v>432</v>
      </c>
      <c r="H285">
        <f>IFERROR(tinder[[#This Row],[Conversations]]/tinder[[#This Row],[Tinder Opened]],0)</f>
        <v>8.6021505376344093E-2</v>
      </c>
      <c r="I285">
        <f>tinder[[#This Row],[Conversations]]/MAX(tinder[Conversations])</f>
        <v>3.4171808258186998E-2</v>
      </c>
      <c r="J285">
        <f>(tinder[[#This Row],[Norm Engagement]]*2)+(tinder[[#This Row],[Norm Swipes]]*1)+(tinder[[#This Row],[Norm Conversations]]*2)</f>
        <v>0.28958018805666391</v>
      </c>
      <c r="K28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85">
        <v>101</v>
      </c>
      <c r="M285">
        <v>100</v>
      </c>
      <c r="N285">
        <v>809</v>
      </c>
      <c r="O285">
        <v>1644</v>
      </c>
      <c r="P285">
        <v>1412</v>
      </c>
      <c r="Q285">
        <f>tinder[[#This Row],[All Swipes]]/MAX(tinder[All Swipes])</f>
        <v>3.4301898173455733E-2</v>
      </c>
      <c r="R285">
        <f>tinder[[#This Row],[Swipe Right (LIKE)]]+tinder[[#This Row],[Swipe Left (PASS)]]</f>
        <v>29116</v>
      </c>
      <c r="S285">
        <v>14827</v>
      </c>
      <c r="T285">
        <v>14289</v>
      </c>
      <c r="U285" t="s">
        <v>147</v>
      </c>
      <c r="V285" s="1">
        <v>43809</v>
      </c>
      <c r="W285" t="s">
        <v>12</v>
      </c>
      <c r="X285" t="s">
        <v>1295</v>
      </c>
      <c r="Y285" t="s">
        <v>8</v>
      </c>
      <c r="Z285">
        <v>19</v>
      </c>
      <c r="AA28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86" spans="1:27" x14ac:dyDescent="0.3">
      <c r="A286" t="s">
        <v>313</v>
      </c>
      <c r="B286">
        <v>444</v>
      </c>
      <c r="C286">
        <v>24</v>
      </c>
      <c r="D286">
        <f>IFERROR(tinder[[#This Row],[Tinder Opened]]/tinder[[#This Row],[Days on Tinder]],0)</f>
        <v>18.5</v>
      </c>
      <c r="E286">
        <f>tinder[[#This Row],[Engagement]]/MAX(tinder[Engagement])</f>
        <v>9.2964824120603015E-2</v>
      </c>
      <c r="F28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86">
        <v>25</v>
      </c>
      <c r="H286">
        <f>IFERROR(tinder[[#This Row],[Conversations]]/tinder[[#This Row],[Tinder Opened]],0)</f>
        <v>5.6306306306306307E-2</v>
      </c>
      <c r="I286">
        <f>tinder[[#This Row],[Conversations]]/MAX(tinder[Conversations])</f>
        <v>1.9775352001265623E-3</v>
      </c>
      <c r="J286">
        <f>(tinder[[#This Row],[Norm Engagement]]*2)+(tinder[[#This Row],[Norm Swipes]]*1)+(tinder[[#This Row],[Norm Conversations]]*2)</f>
        <v>0.19193934532144633</v>
      </c>
      <c r="K28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86">
        <v>4</v>
      </c>
      <c r="M286">
        <v>0</v>
      </c>
      <c r="N286">
        <v>24</v>
      </c>
      <c r="O286">
        <v>491</v>
      </c>
      <c r="P286">
        <v>367</v>
      </c>
      <c r="Q286">
        <f>tinder[[#This Row],[All Swipes]]/MAX(tinder[All Swipes])</f>
        <v>2.0546266799871819E-3</v>
      </c>
      <c r="R286">
        <f>tinder[[#This Row],[Swipe Right (LIKE)]]+tinder[[#This Row],[Swipe Left (PASS)]]</f>
        <v>1744</v>
      </c>
      <c r="S286">
        <v>191</v>
      </c>
      <c r="T286">
        <v>1553</v>
      </c>
      <c r="U286" t="s">
        <v>262</v>
      </c>
      <c r="V286" s="1">
        <v>44162</v>
      </c>
      <c r="W286" t="s">
        <v>12</v>
      </c>
      <c r="X286" t="s">
        <v>1295</v>
      </c>
      <c r="Y286" t="s">
        <v>8</v>
      </c>
      <c r="Z286">
        <v>23</v>
      </c>
      <c r="AA28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87" spans="1:27" x14ac:dyDescent="0.3">
      <c r="A287" t="s">
        <v>1285</v>
      </c>
      <c r="B287">
        <v>2495</v>
      </c>
      <c r="C287">
        <v>135</v>
      </c>
      <c r="D287">
        <f>IFERROR(tinder[[#This Row],[Tinder Opened]]/tinder[[#This Row],[Days on Tinder]],0)</f>
        <v>18.481481481481481</v>
      </c>
      <c r="E287">
        <f>tinder[[#This Row],[Engagement]]/MAX(tinder[Engagement])</f>
        <v>9.2871766238600412E-2</v>
      </c>
      <c r="F28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87">
        <v>49</v>
      </c>
      <c r="H287">
        <f>IFERROR(tinder[[#This Row],[Conversations]]/tinder[[#This Row],[Tinder Opened]],0)</f>
        <v>1.9639278557114229E-2</v>
      </c>
      <c r="I287">
        <f>tinder[[#This Row],[Conversations]]/MAX(tinder[Conversations])</f>
        <v>3.875968992248062E-3</v>
      </c>
      <c r="J287">
        <f>(tinder[[#This Row],[Norm Engagement]]*2)+(tinder[[#This Row],[Norm Swipes]]*1)+(tinder[[#This Row],[Norm Conversations]]*2)</f>
        <v>0.24058577036179307</v>
      </c>
      <c r="K28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87">
        <v>26</v>
      </c>
      <c r="M287">
        <v>1</v>
      </c>
      <c r="N287">
        <v>61</v>
      </c>
      <c r="O287">
        <v>236</v>
      </c>
      <c r="P287">
        <v>209</v>
      </c>
      <c r="Q287">
        <f>tinder[[#This Row],[All Swipes]]/MAX(tinder[All Swipes])</f>
        <v>4.7090299900096132E-2</v>
      </c>
      <c r="R287">
        <f>tinder[[#This Row],[Swipe Right (LIKE)]]+tinder[[#This Row],[Swipe Left (PASS)]]</f>
        <v>39971</v>
      </c>
      <c r="S287">
        <v>1793</v>
      </c>
      <c r="T287">
        <v>38178</v>
      </c>
      <c r="U287" t="s">
        <v>286</v>
      </c>
      <c r="V287" s="1">
        <v>44129</v>
      </c>
      <c r="W287" t="s">
        <v>12</v>
      </c>
      <c r="X287" t="s">
        <v>1295</v>
      </c>
      <c r="Y287" t="s">
        <v>19</v>
      </c>
      <c r="Z287">
        <v>23</v>
      </c>
      <c r="AA28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88" spans="1:27" x14ac:dyDescent="0.3">
      <c r="A288" t="s">
        <v>247</v>
      </c>
      <c r="B288">
        <v>9015</v>
      </c>
      <c r="C288">
        <v>490</v>
      </c>
      <c r="D288">
        <f>IFERROR(tinder[[#This Row],[Tinder Opened]]/tinder[[#This Row],[Days on Tinder]],0)</f>
        <v>18.397959183673468</v>
      </c>
      <c r="E288">
        <f>tinder[[#This Row],[Engagement]]/MAX(tinder[Engagement])</f>
        <v>9.2452056199364155E-2</v>
      </c>
      <c r="F28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88">
        <v>339</v>
      </c>
      <c r="H288">
        <f>IFERROR(tinder[[#This Row],[Conversations]]/tinder[[#This Row],[Tinder Opened]],0)</f>
        <v>3.7603993344425955E-2</v>
      </c>
      <c r="I288">
        <f>tinder[[#This Row],[Conversations]]/MAX(tinder[Conversations])</f>
        <v>2.6815377313716183E-2</v>
      </c>
      <c r="J288">
        <f>(tinder[[#This Row],[Norm Engagement]]*2)+(tinder[[#This Row],[Norm Swipes]]*1)+(tinder[[#This Row],[Norm Conversations]]*2)</f>
        <v>0.29396384103230572</v>
      </c>
      <c r="K28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88">
        <v>106</v>
      </c>
      <c r="M288">
        <v>5</v>
      </c>
      <c r="N288">
        <v>717</v>
      </c>
      <c r="O288">
        <v>1880</v>
      </c>
      <c r="P288">
        <v>1691</v>
      </c>
      <c r="Q288">
        <f>tinder[[#This Row],[All Swipes]]/MAX(tinder[All Swipes])</f>
        <v>5.5428974006145028E-2</v>
      </c>
      <c r="R288">
        <f>tinder[[#This Row],[Swipe Right (LIKE)]]+tinder[[#This Row],[Swipe Left (PASS)]]</f>
        <v>47049</v>
      </c>
      <c r="S288">
        <v>19997</v>
      </c>
      <c r="T288">
        <v>27052</v>
      </c>
      <c r="U288" t="s">
        <v>8</v>
      </c>
      <c r="V288" s="1">
        <v>43346</v>
      </c>
      <c r="W288" t="s">
        <v>12</v>
      </c>
      <c r="X288" t="s">
        <v>1295</v>
      </c>
      <c r="Y288" t="s">
        <v>8</v>
      </c>
      <c r="Z288">
        <v>21</v>
      </c>
      <c r="AA28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89" spans="1:27" x14ac:dyDescent="0.3">
      <c r="A289" t="s">
        <v>540</v>
      </c>
      <c r="B289">
        <v>7347</v>
      </c>
      <c r="C289">
        <v>400</v>
      </c>
      <c r="D289">
        <f>IFERROR(tinder[[#This Row],[Tinder Opened]]/tinder[[#This Row],[Days on Tinder]],0)</f>
        <v>18.3675</v>
      </c>
      <c r="E289">
        <f>tinder[[#This Row],[Engagement]]/MAX(tinder[Engagement])</f>
        <v>9.2298994974874371E-2</v>
      </c>
      <c r="F28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89">
        <v>295</v>
      </c>
      <c r="H289">
        <f>IFERROR(tinder[[#This Row],[Conversations]]/tinder[[#This Row],[Tinder Opened]],0)</f>
        <v>4.0152443174084659E-2</v>
      </c>
      <c r="I289">
        <f>tinder[[#This Row],[Conversations]]/MAX(tinder[Conversations])</f>
        <v>2.3334915361493434E-2</v>
      </c>
      <c r="J289">
        <f>(tinder[[#This Row],[Norm Engagement]]*2)+(tinder[[#This Row],[Norm Swipes]]*1)+(tinder[[#This Row],[Norm Conversations]]*2)</f>
        <v>0.27377997878474103</v>
      </c>
      <c r="K28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89">
        <v>131</v>
      </c>
      <c r="M289">
        <v>7</v>
      </c>
      <c r="N289">
        <v>489</v>
      </c>
      <c r="O289">
        <v>1871</v>
      </c>
      <c r="P289">
        <v>1667</v>
      </c>
      <c r="Q289">
        <f>tinder[[#This Row],[All Swipes]]/MAX(tinder[All Swipes])</f>
        <v>4.2512158112005427E-2</v>
      </c>
      <c r="R289">
        <f>tinder[[#This Row],[Swipe Right (LIKE)]]+tinder[[#This Row],[Swipe Left (PASS)]]</f>
        <v>36085</v>
      </c>
      <c r="S289">
        <v>16309</v>
      </c>
      <c r="T289">
        <v>19776</v>
      </c>
      <c r="U289" t="s">
        <v>10</v>
      </c>
      <c r="V289" s="1">
        <v>43632</v>
      </c>
      <c r="W289" t="s">
        <v>12</v>
      </c>
      <c r="X289" t="s">
        <v>1295</v>
      </c>
      <c r="Y289" t="s">
        <v>108</v>
      </c>
      <c r="Z289">
        <v>29</v>
      </c>
      <c r="AA28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90" spans="1:27" x14ac:dyDescent="0.3">
      <c r="A290" t="s">
        <v>1259</v>
      </c>
      <c r="B290">
        <v>421</v>
      </c>
      <c r="C290">
        <v>23</v>
      </c>
      <c r="D290">
        <f>IFERROR(tinder[[#This Row],[Tinder Opened]]/tinder[[#This Row],[Days on Tinder]],0)</f>
        <v>18.304347826086957</v>
      </c>
      <c r="E290">
        <f>tinder[[#This Row],[Engagement]]/MAX(tinder[Engagement])</f>
        <v>9.1981647367271144E-2</v>
      </c>
      <c r="F29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90">
        <v>137</v>
      </c>
      <c r="H290">
        <f>IFERROR(tinder[[#This Row],[Conversations]]/tinder[[#This Row],[Tinder Opened]],0)</f>
        <v>0.32541567695961993</v>
      </c>
      <c r="I290">
        <f>tinder[[#This Row],[Conversations]]/MAX(tinder[Conversations])</f>
        <v>1.083689289669356E-2</v>
      </c>
      <c r="J290">
        <f>(tinder[[#This Row],[Norm Engagement]]*2)+(tinder[[#This Row],[Norm Swipes]]*1)+(tinder[[#This Row],[Norm Conversations]]*2)</f>
        <v>0.21500188986234348</v>
      </c>
      <c r="K29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90">
        <v>62</v>
      </c>
      <c r="M290">
        <v>13</v>
      </c>
      <c r="N290">
        <v>38</v>
      </c>
      <c r="O290">
        <v>628</v>
      </c>
      <c r="P290">
        <v>682</v>
      </c>
      <c r="Q290">
        <f>tinder[[#This Row],[All Swipes]]/MAX(tinder[All Swipes])</f>
        <v>9.3648093344140537E-3</v>
      </c>
      <c r="R290">
        <f>tinder[[#This Row],[Swipe Right (LIKE)]]+tinder[[#This Row],[Swipe Left (PASS)]]</f>
        <v>7949</v>
      </c>
      <c r="S290">
        <v>2853</v>
      </c>
      <c r="T290">
        <v>5096</v>
      </c>
      <c r="U290" t="s">
        <v>10</v>
      </c>
      <c r="V290" s="1">
        <v>43939</v>
      </c>
      <c r="W290" t="s">
        <v>12</v>
      </c>
      <c r="X290" t="s">
        <v>1295</v>
      </c>
      <c r="Y290" t="s">
        <v>19</v>
      </c>
      <c r="Z290">
        <v>18</v>
      </c>
      <c r="AA29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291" spans="1:27" x14ac:dyDescent="0.3">
      <c r="A291" t="s">
        <v>703</v>
      </c>
      <c r="B291">
        <v>3014</v>
      </c>
      <c r="C291">
        <v>165</v>
      </c>
      <c r="D291">
        <f>IFERROR(tinder[[#This Row],[Tinder Opened]]/tinder[[#This Row],[Days on Tinder]],0)</f>
        <v>18.266666666666666</v>
      </c>
      <c r="E291">
        <f>tinder[[#This Row],[Engagement]]/MAX(tinder[Engagement])</f>
        <v>9.1792294807370181E-2</v>
      </c>
      <c r="F29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91">
        <v>6</v>
      </c>
      <c r="H291">
        <f>IFERROR(tinder[[#This Row],[Conversations]]/tinder[[#This Row],[Tinder Opened]],0)</f>
        <v>1.9907100199071004E-3</v>
      </c>
      <c r="I291">
        <f>tinder[[#This Row],[Conversations]]/MAX(tinder[Conversations])</f>
        <v>4.7460844803037496E-4</v>
      </c>
      <c r="J291">
        <f>(tinder[[#This Row],[Norm Engagement]]*2)+(tinder[[#This Row],[Norm Swipes]]*1)+(tinder[[#This Row],[Norm Conversations]]*2)</f>
        <v>0.20940492109865055</v>
      </c>
      <c r="K29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91">
        <v>2</v>
      </c>
      <c r="M291">
        <v>0</v>
      </c>
      <c r="N291">
        <v>15</v>
      </c>
      <c r="O291">
        <v>73</v>
      </c>
      <c r="P291">
        <v>91</v>
      </c>
      <c r="Q291">
        <f>tinder[[#This Row],[All Swipes]]/MAX(tinder[All Swipes])</f>
        <v>2.4871114587849429E-2</v>
      </c>
      <c r="R291">
        <f>tinder[[#This Row],[Swipe Right (LIKE)]]+tinder[[#This Row],[Swipe Left (PASS)]]</f>
        <v>21111</v>
      </c>
      <c r="S291">
        <v>1189</v>
      </c>
      <c r="T291">
        <v>19922</v>
      </c>
      <c r="U291" t="s">
        <v>65</v>
      </c>
      <c r="V291" s="1">
        <v>44077</v>
      </c>
      <c r="W291" t="s">
        <v>12</v>
      </c>
      <c r="X291" t="s">
        <v>1295</v>
      </c>
      <c r="Y291" t="s">
        <v>8</v>
      </c>
      <c r="Z291">
        <v>27</v>
      </c>
      <c r="AA29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92" spans="1:27" x14ac:dyDescent="0.3">
      <c r="A292" t="s">
        <v>124</v>
      </c>
      <c r="B292">
        <v>3881</v>
      </c>
      <c r="C292">
        <v>213</v>
      </c>
      <c r="D292">
        <f>IFERROR(tinder[[#This Row],[Tinder Opened]]/tinder[[#This Row],[Days on Tinder]],0)</f>
        <v>18.220657276995304</v>
      </c>
      <c r="E292">
        <f>tinder[[#This Row],[Engagement]]/MAX(tinder[Engagement])</f>
        <v>9.1561091844197515E-2</v>
      </c>
      <c r="F29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92">
        <v>351</v>
      </c>
      <c r="H292">
        <f>IFERROR(tinder[[#This Row],[Conversations]]/tinder[[#This Row],[Tinder Opened]],0)</f>
        <v>9.0440608090698274E-2</v>
      </c>
      <c r="I292">
        <f>tinder[[#This Row],[Conversations]]/MAX(tinder[Conversations])</f>
        <v>2.7764594209776935E-2</v>
      </c>
      <c r="J292">
        <f>(tinder[[#This Row],[Norm Engagement]]*2)+(tinder[[#This Row],[Norm Swipes]]*1)+(tinder[[#This Row],[Norm Conversations]]*2)</f>
        <v>0.27767160735327889</v>
      </c>
      <c r="K29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92">
        <v>115</v>
      </c>
      <c r="M292">
        <v>41</v>
      </c>
      <c r="N292">
        <v>616</v>
      </c>
      <c r="O292">
        <v>2391</v>
      </c>
      <c r="P292">
        <v>3160</v>
      </c>
      <c r="Q292">
        <f>tinder[[#This Row],[All Swipes]]/MAX(tinder[All Swipes])</f>
        <v>3.9020235245329965E-2</v>
      </c>
      <c r="R292">
        <f>tinder[[#This Row],[Swipe Right (LIKE)]]+tinder[[#This Row],[Swipe Left (PASS)]]</f>
        <v>33121</v>
      </c>
      <c r="S292">
        <v>1669</v>
      </c>
      <c r="T292">
        <v>31452</v>
      </c>
      <c r="U292" t="s">
        <v>125</v>
      </c>
      <c r="V292" s="1">
        <v>43893</v>
      </c>
      <c r="W292" t="s">
        <v>12</v>
      </c>
      <c r="X292" t="s">
        <v>1296</v>
      </c>
      <c r="Y292" t="s">
        <v>8</v>
      </c>
      <c r="Z292">
        <v>26</v>
      </c>
      <c r="AA29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93" spans="1:27" x14ac:dyDescent="0.3">
      <c r="A293" t="s">
        <v>736</v>
      </c>
      <c r="B293">
        <v>583</v>
      </c>
      <c r="C293">
        <v>32</v>
      </c>
      <c r="D293">
        <f>IFERROR(tinder[[#This Row],[Tinder Opened]]/tinder[[#This Row],[Days on Tinder]],0)</f>
        <v>18.21875</v>
      </c>
      <c r="E293">
        <f>tinder[[#This Row],[Engagement]]/MAX(tinder[Engagement])</f>
        <v>9.155150753768844E-2</v>
      </c>
      <c r="F29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93">
        <v>85</v>
      </c>
      <c r="H293">
        <f>IFERROR(tinder[[#This Row],[Conversations]]/tinder[[#This Row],[Tinder Opened]],0)</f>
        <v>0.14579759862778729</v>
      </c>
      <c r="I293">
        <f>tinder[[#This Row],[Conversations]]/MAX(tinder[Conversations])</f>
        <v>6.723619680430312E-3</v>
      </c>
      <c r="J293">
        <f>(tinder[[#This Row],[Norm Engagement]]*2)+(tinder[[#This Row],[Norm Swipes]]*1)+(tinder[[#This Row],[Norm Conversations]]*2)</f>
        <v>0.20061827388921671</v>
      </c>
      <c r="K29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93">
        <v>21</v>
      </c>
      <c r="M293">
        <v>3</v>
      </c>
      <c r="N293">
        <v>54</v>
      </c>
      <c r="O293">
        <v>1497</v>
      </c>
      <c r="P293">
        <v>984</v>
      </c>
      <c r="Q293">
        <f>tinder[[#This Row],[All Swipes]]/MAX(tinder[All Swipes])</f>
        <v>4.0680194529792088E-3</v>
      </c>
      <c r="R293">
        <f>tinder[[#This Row],[Swipe Right (LIKE)]]+tinder[[#This Row],[Swipe Left (PASS)]]</f>
        <v>3453</v>
      </c>
      <c r="S293">
        <v>1353</v>
      </c>
      <c r="T293">
        <v>2100</v>
      </c>
      <c r="U293" t="s">
        <v>197</v>
      </c>
      <c r="V293" s="1">
        <v>44262</v>
      </c>
      <c r="W293" t="s">
        <v>12</v>
      </c>
      <c r="X293" t="s">
        <v>1295</v>
      </c>
      <c r="Y293" t="s">
        <v>737</v>
      </c>
      <c r="Z293">
        <v>29</v>
      </c>
      <c r="AA29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94" spans="1:27" x14ac:dyDescent="0.3">
      <c r="A294" t="s">
        <v>1153</v>
      </c>
      <c r="B294">
        <v>2183</v>
      </c>
      <c r="C294">
        <v>120</v>
      </c>
      <c r="D294">
        <f>IFERROR(tinder[[#This Row],[Tinder Opened]]/tinder[[#This Row],[Days on Tinder]],0)</f>
        <v>18.191666666666666</v>
      </c>
      <c r="E294">
        <f>tinder[[#This Row],[Engagement]]/MAX(tinder[Engagement])</f>
        <v>9.1415410385259632E-2</v>
      </c>
      <c r="F29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94">
        <v>418</v>
      </c>
      <c r="H294">
        <f>IFERROR(tinder[[#This Row],[Conversations]]/tinder[[#This Row],[Tinder Opened]],0)</f>
        <v>0.19147961520842877</v>
      </c>
      <c r="I294">
        <f>tinder[[#This Row],[Conversations]]/MAX(tinder[Conversations])</f>
        <v>3.3064388546116118E-2</v>
      </c>
      <c r="J294">
        <f>(tinder[[#This Row],[Norm Engagement]]*2)+(tinder[[#This Row],[Norm Swipes]]*1)+(tinder[[#This Row],[Norm Conversations]]*2)</f>
        <v>0.25218055505488735</v>
      </c>
      <c r="K29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94">
        <v>213</v>
      </c>
      <c r="M294">
        <v>8</v>
      </c>
      <c r="N294">
        <v>431</v>
      </c>
      <c r="O294">
        <v>2040</v>
      </c>
      <c r="P294">
        <v>1764</v>
      </c>
      <c r="Q294">
        <f>tinder[[#This Row],[All Swipes]]/MAX(tinder[All Swipes])</f>
        <v>3.2209571921358693E-3</v>
      </c>
      <c r="R294">
        <f>tinder[[#This Row],[Swipe Right (LIKE)]]+tinder[[#This Row],[Swipe Left (PASS)]]</f>
        <v>2734</v>
      </c>
      <c r="S294">
        <v>952</v>
      </c>
      <c r="T294">
        <v>1782</v>
      </c>
      <c r="U294" t="s">
        <v>10</v>
      </c>
      <c r="V294" s="1">
        <v>44139</v>
      </c>
      <c r="W294" t="s">
        <v>12</v>
      </c>
      <c r="X294" t="s">
        <v>1295</v>
      </c>
      <c r="Y294" t="s">
        <v>108</v>
      </c>
      <c r="Z294">
        <v>24</v>
      </c>
      <c r="AA29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95" spans="1:27" x14ac:dyDescent="0.3">
      <c r="A295" t="s">
        <v>283</v>
      </c>
      <c r="B295">
        <v>13771</v>
      </c>
      <c r="C295">
        <v>758</v>
      </c>
      <c r="D295">
        <f>IFERROR(tinder[[#This Row],[Tinder Opened]]/tinder[[#This Row],[Days on Tinder]],0)</f>
        <v>18.16754617414248</v>
      </c>
      <c r="E295">
        <f>tinder[[#This Row],[Engagement]]/MAX(tinder[Engagement])</f>
        <v>9.129420188011296E-2</v>
      </c>
      <c r="F29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95">
        <v>425</v>
      </c>
      <c r="H295">
        <f>IFERROR(tinder[[#This Row],[Conversations]]/tinder[[#This Row],[Tinder Opened]],0)</f>
        <v>3.0861956284946628E-2</v>
      </c>
      <c r="I295">
        <f>tinder[[#This Row],[Conversations]]/MAX(tinder[Conversations])</f>
        <v>3.3618098402151561E-2</v>
      </c>
      <c r="J295">
        <f>(tinder[[#This Row],[Norm Engagement]]*2)+(tinder[[#This Row],[Norm Swipes]]*1)+(tinder[[#This Row],[Norm Conversations]]*2)</f>
        <v>0.41015616830123525</v>
      </c>
      <c r="K29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95">
        <v>47</v>
      </c>
      <c r="M295">
        <v>95</v>
      </c>
      <c r="N295">
        <v>1736</v>
      </c>
      <c r="O295">
        <v>9235</v>
      </c>
      <c r="P295">
        <v>7262</v>
      </c>
      <c r="Q295">
        <f>tinder[[#This Row],[All Swipes]]/MAX(tinder[All Swipes])</f>
        <v>0.16033156773670618</v>
      </c>
      <c r="R295">
        <f>tinder[[#This Row],[Swipe Right (LIKE)]]+tinder[[#This Row],[Swipe Left (PASS)]]</f>
        <v>136092</v>
      </c>
      <c r="S295">
        <v>38127</v>
      </c>
      <c r="T295">
        <v>97965</v>
      </c>
      <c r="U295" t="s">
        <v>8</v>
      </c>
      <c r="V295" s="1">
        <v>43325</v>
      </c>
      <c r="W295" t="s">
        <v>12</v>
      </c>
      <c r="X295" t="s">
        <v>1295</v>
      </c>
      <c r="Y295" t="s">
        <v>284</v>
      </c>
      <c r="Z295">
        <v>28</v>
      </c>
      <c r="AA29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96" spans="1:27" x14ac:dyDescent="0.3">
      <c r="A296" t="s">
        <v>618</v>
      </c>
      <c r="B296">
        <v>1616</v>
      </c>
      <c r="C296">
        <v>89</v>
      </c>
      <c r="D296">
        <f>IFERROR(tinder[[#This Row],[Tinder Opened]]/tinder[[#This Row],[Days on Tinder]],0)</f>
        <v>18.157303370786519</v>
      </c>
      <c r="E296">
        <f>tinder[[#This Row],[Engagement]]/MAX(tinder[Engagement])</f>
        <v>9.124273050646492E-2</v>
      </c>
      <c r="F29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96">
        <v>20</v>
      </c>
      <c r="H296">
        <f>IFERROR(tinder[[#This Row],[Conversations]]/tinder[[#This Row],[Tinder Opened]],0)</f>
        <v>1.2376237623762377E-2</v>
      </c>
      <c r="I296">
        <f>tinder[[#This Row],[Conversations]]/MAX(tinder[Conversations])</f>
        <v>1.5820281601012498E-3</v>
      </c>
      <c r="J296">
        <f>(tinder[[#This Row],[Norm Engagement]]*2)+(tinder[[#This Row],[Norm Swipes]]*1)+(tinder[[#This Row],[Norm Conversations]]*2)</f>
        <v>0.19604870867731058</v>
      </c>
      <c r="K29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96">
        <v>2</v>
      </c>
      <c r="M296">
        <v>1</v>
      </c>
      <c r="N296">
        <v>56</v>
      </c>
      <c r="O296">
        <v>188</v>
      </c>
      <c r="P296">
        <v>197</v>
      </c>
      <c r="Q296">
        <f>tinder[[#This Row],[All Swipes]]/MAX(tinder[All Swipes])</f>
        <v>1.0399191344178244E-2</v>
      </c>
      <c r="R296">
        <f>tinder[[#This Row],[Swipe Right (LIKE)]]+tinder[[#This Row],[Swipe Left (PASS)]]</f>
        <v>8827</v>
      </c>
      <c r="S296">
        <v>4173</v>
      </c>
      <c r="T296">
        <v>4654</v>
      </c>
      <c r="U296" t="s">
        <v>262</v>
      </c>
      <c r="V296" s="1">
        <v>44171</v>
      </c>
      <c r="W296" t="s">
        <v>12</v>
      </c>
      <c r="X296" t="s">
        <v>1295</v>
      </c>
      <c r="Y296" t="s">
        <v>77</v>
      </c>
      <c r="Z296">
        <v>22</v>
      </c>
      <c r="AA29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97" spans="1:27" x14ac:dyDescent="0.3">
      <c r="A297" t="s">
        <v>1085</v>
      </c>
      <c r="B297">
        <v>145</v>
      </c>
      <c r="C297">
        <v>8</v>
      </c>
      <c r="D297">
        <f>IFERROR(tinder[[#This Row],[Tinder Opened]]/tinder[[#This Row],[Days on Tinder]],0)</f>
        <v>18.125</v>
      </c>
      <c r="E297">
        <f>tinder[[#This Row],[Engagement]]/MAX(tinder[Engagement])</f>
        <v>9.1080402010050257E-2</v>
      </c>
      <c r="F29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97">
        <v>8</v>
      </c>
      <c r="H297">
        <f>IFERROR(tinder[[#This Row],[Conversations]]/tinder[[#This Row],[Tinder Opened]],0)</f>
        <v>5.5172413793103448E-2</v>
      </c>
      <c r="I297">
        <f>tinder[[#This Row],[Conversations]]/MAX(tinder[Conversations])</f>
        <v>6.3281126404049991E-4</v>
      </c>
      <c r="J297">
        <f>(tinder[[#This Row],[Norm Engagement]]*2)+(tinder[[#This Row],[Norm Swipes]]*1)+(tinder[[#This Row],[Norm Conversations]]*2)</f>
        <v>0.18360667762733177</v>
      </c>
      <c r="K29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97">
        <v>2</v>
      </c>
      <c r="M297">
        <v>1</v>
      </c>
      <c r="N297">
        <v>2</v>
      </c>
      <c r="O297">
        <v>69</v>
      </c>
      <c r="P297">
        <v>65</v>
      </c>
      <c r="Q297">
        <f>tinder[[#This Row],[All Swipes]]/MAX(tinder[All Swipes])</f>
        <v>1.8025107915025165E-4</v>
      </c>
      <c r="R297">
        <f>tinder[[#This Row],[Swipe Right (LIKE)]]+tinder[[#This Row],[Swipe Left (PASS)]]</f>
        <v>153</v>
      </c>
      <c r="S297">
        <v>59</v>
      </c>
      <c r="T297">
        <v>94</v>
      </c>
      <c r="U297" t="s">
        <v>262</v>
      </c>
      <c r="V297" s="1">
        <v>44293</v>
      </c>
      <c r="W297" t="s">
        <v>12</v>
      </c>
      <c r="X297" t="s">
        <v>1295</v>
      </c>
      <c r="Y297" t="s">
        <v>1086</v>
      </c>
      <c r="Z297">
        <v>30</v>
      </c>
      <c r="AA29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98" spans="1:27" x14ac:dyDescent="0.3">
      <c r="A298" t="s">
        <v>326</v>
      </c>
      <c r="B298">
        <v>1358</v>
      </c>
      <c r="C298">
        <v>75</v>
      </c>
      <c r="D298">
        <f>IFERROR(tinder[[#This Row],[Tinder Opened]]/tinder[[#This Row],[Days on Tinder]],0)</f>
        <v>18.106666666666666</v>
      </c>
      <c r="E298">
        <f>tinder[[#This Row],[Engagement]]/MAX(tinder[Engagement])</f>
        <v>9.0988274706867669E-2</v>
      </c>
      <c r="F29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98">
        <v>70</v>
      </c>
      <c r="H298">
        <f>IFERROR(tinder[[#This Row],[Conversations]]/tinder[[#This Row],[Tinder Opened]],0)</f>
        <v>5.1546391752577317E-2</v>
      </c>
      <c r="I298">
        <f>tinder[[#This Row],[Conversations]]/MAX(tinder[Conversations])</f>
        <v>5.5370985603543747E-3</v>
      </c>
      <c r="J298">
        <f>(tinder[[#This Row],[Norm Engagement]]*2)+(tinder[[#This Row],[Norm Swipes]]*1)+(tinder[[#This Row],[Norm Conversations]]*2)</f>
        <v>0.21342972148307843</v>
      </c>
      <c r="K29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298">
        <v>16</v>
      </c>
      <c r="M298">
        <v>2</v>
      </c>
      <c r="N298">
        <v>92</v>
      </c>
      <c r="O298">
        <v>581</v>
      </c>
      <c r="P298">
        <v>437</v>
      </c>
      <c r="Q298">
        <f>tinder[[#This Row],[All Swipes]]/MAX(tinder[All Swipes])</f>
        <v>2.0378974948634332E-2</v>
      </c>
      <c r="R298">
        <f>tinder[[#This Row],[Swipe Right (LIKE)]]+tinder[[#This Row],[Swipe Left (PASS)]]</f>
        <v>17298</v>
      </c>
      <c r="S298">
        <v>15343</v>
      </c>
      <c r="T298">
        <v>1955</v>
      </c>
      <c r="U298" t="s">
        <v>197</v>
      </c>
      <c r="V298" s="1">
        <v>44122</v>
      </c>
      <c r="W298" t="s">
        <v>12</v>
      </c>
      <c r="X298" t="s">
        <v>1295</v>
      </c>
      <c r="Y298" t="s">
        <v>8</v>
      </c>
      <c r="Z298">
        <v>24</v>
      </c>
      <c r="AA29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299" spans="1:27" x14ac:dyDescent="0.3">
      <c r="A299" t="s">
        <v>1045</v>
      </c>
      <c r="B299">
        <v>10641</v>
      </c>
      <c r="C299">
        <v>589</v>
      </c>
      <c r="D299">
        <f>IFERROR(tinder[[#This Row],[Tinder Opened]]/tinder[[#This Row],[Days on Tinder]],0)</f>
        <v>18.066213921901529</v>
      </c>
      <c r="E299">
        <f>tinder[[#This Row],[Engagement]]/MAX(tinder[Engagement])</f>
        <v>9.0784994582419745E-2</v>
      </c>
      <c r="F29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299">
        <v>1014</v>
      </c>
      <c r="H299">
        <f>IFERROR(tinder[[#This Row],[Conversations]]/tinder[[#This Row],[Tinder Opened]],0)</f>
        <v>9.5291795883845509E-2</v>
      </c>
      <c r="I299">
        <f>tinder[[#This Row],[Conversations]]/MAX(tinder[Conversations])</f>
        <v>8.0208827717133363E-2</v>
      </c>
      <c r="J299">
        <f>(tinder[[#This Row],[Norm Engagement]]*2)+(tinder[[#This Row],[Norm Swipes]]*1)+(tinder[[#This Row],[Norm Conversations]]*2)</f>
        <v>0.57102432628276911</v>
      </c>
      <c r="K29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299">
        <v>260</v>
      </c>
      <c r="M299">
        <v>61</v>
      </c>
      <c r="N299">
        <v>1099</v>
      </c>
      <c r="O299">
        <v>9400</v>
      </c>
      <c r="P299">
        <v>9670</v>
      </c>
      <c r="Q299">
        <f>tinder[[#This Row],[All Swipes]]/MAX(tinder[All Swipes])</f>
        <v>0.2290366816836629</v>
      </c>
      <c r="R299">
        <f>tinder[[#This Row],[Swipe Right (LIKE)]]+tinder[[#This Row],[Swipe Left (PASS)]]</f>
        <v>194410</v>
      </c>
      <c r="S299">
        <v>1978</v>
      </c>
      <c r="T299">
        <v>192432</v>
      </c>
      <c r="U299" t="s">
        <v>262</v>
      </c>
      <c r="V299" s="1">
        <v>43506</v>
      </c>
      <c r="W299" t="s">
        <v>12</v>
      </c>
      <c r="X299" t="s">
        <v>1296</v>
      </c>
      <c r="Y299" t="s">
        <v>8</v>
      </c>
      <c r="Z299">
        <v>25</v>
      </c>
      <c r="AA29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00" spans="1:27" x14ac:dyDescent="0.3">
      <c r="A300" t="s">
        <v>879</v>
      </c>
      <c r="B300">
        <v>5359</v>
      </c>
      <c r="C300">
        <v>297</v>
      </c>
      <c r="D300">
        <f>IFERROR(tinder[[#This Row],[Tinder Opened]]/tinder[[#This Row],[Days on Tinder]],0)</f>
        <v>18.043771043771045</v>
      </c>
      <c r="E300">
        <f>tinder[[#This Row],[Engagement]]/MAX(tinder[Engagement])</f>
        <v>9.0672216300357017E-2</v>
      </c>
      <c r="F30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00">
        <v>77</v>
      </c>
      <c r="H300">
        <f>IFERROR(tinder[[#This Row],[Conversations]]/tinder[[#This Row],[Tinder Opened]],0)</f>
        <v>1.4368352304534428E-2</v>
      </c>
      <c r="I300">
        <f>tinder[[#This Row],[Conversations]]/MAX(tinder[Conversations])</f>
        <v>6.090808416389812E-3</v>
      </c>
      <c r="J300">
        <f>(tinder[[#This Row],[Norm Engagement]]*2)+(tinder[[#This Row],[Norm Swipes]]*1)+(tinder[[#This Row],[Norm Conversations]]*2)</f>
        <v>0.22490740888006394</v>
      </c>
      <c r="K30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00">
        <v>19</v>
      </c>
      <c r="M300">
        <v>4</v>
      </c>
      <c r="N300">
        <v>283</v>
      </c>
      <c r="O300">
        <v>1867</v>
      </c>
      <c r="P300">
        <v>1985</v>
      </c>
      <c r="Q300">
        <f>tinder[[#This Row],[All Swipes]]/MAX(tinder[All Swipes])</f>
        <v>3.1381359446570278E-2</v>
      </c>
      <c r="R300">
        <f>tinder[[#This Row],[Swipe Right (LIKE)]]+tinder[[#This Row],[Swipe Left (PASS)]]</f>
        <v>26637</v>
      </c>
      <c r="S300">
        <v>13731</v>
      </c>
      <c r="T300">
        <v>12906</v>
      </c>
      <c r="U300" t="s">
        <v>8</v>
      </c>
      <c r="V300" s="1">
        <v>44001</v>
      </c>
      <c r="W300" t="s">
        <v>12</v>
      </c>
      <c r="X300" t="s">
        <v>1295</v>
      </c>
      <c r="Y300" t="s">
        <v>880</v>
      </c>
      <c r="Z300">
        <v>26</v>
      </c>
      <c r="AA30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01" spans="1:27" x14ac:dyDescent="0.3">
      <c r="A301" t="s">
        <v>987</v>
      </c>
      <c r="B301">
        <v>19969</v>
      </c>
      <c r="C301">
        <v>1114</v>
      </c>
      <c r="D301">
        <f>IFERROR(tinder[[#This Row],[Tinder Opened]]/tinder[[#This Row],[Days on Tinder]],0)</f>
        <v>17.925493716337524</v>
      </c>
      <c r="E301">
        <f>tinder[[#This Row],[Engagement]]/MAX(tinder[Engagement])</f>
        <v>9.0077857871042832E-2</v>
      </c>
      <c r="F30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01">
        <v>737</v>
      </c>
      <c r="H301">
        <f>IFERROR(tinder[[#This Row],[Conversations]]/tinder[[#This Row],[Tinder Opened]],0)</f>
        <v>3.690720616956282E-2</v>
      </c>
      <c r="I301">
        <f>tinder[[#This Row],[Conversations]]/MAX(tinder[Conversations])</f>
        <v>5.8297737699731053E-2</v>
      </c>
      <c r="J301">
        <f>(tinder[[#This Row],[Norm Engagement]]*2)+(tinder[[#This Row],[Norm Swipes]]*1)+(tinder[[#This Row],[Norm Conversations]]*2)</f>
        <v>0.46786719272492983</v>
      </c>
      <c r="K30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01">
        <v>241</v>
      </c>
      <c r="M301">
        <v>4</v>
      </c>
      <c r="N301">
        <v>1689</v>
      </c>
      <c r="O301">
        <v>9212</v>
      </c>
      <c r="P301">
        <v>10386</v>
      </c>
      <c r="Q301">
        <f>tinder[[#This Row],[All Swipes]]/MAX(tinder[All Swipes])</f>
        <v>0.17111600158338203</v>
      </c>
      <c r="R301">
        <f>tinder[[#This Row],[Swipe Right (LIKE)]]+tinder[[#This Row],[Swipe Left (PASS)]]</f>
        <v>145246</v>
      </c>
      <c r="S301">
        <v>37339</v>
      </c>
      <c r="T301">
        <v>107907</v>
      </c>
      <c r="U301" t="s">
        <v>262</v>
      </c>
      <c r="V301" s="1">
        <v>42899</v>
      </c>
      <c r="W301" t="s">
        <v>12</v>
      </c>
      <c r="X301" t="s">
        <v>1295</v>
      </c>
      <c r="Y301" t="s">
        <v>8</v>
      </c>
      <c r="Z301">
        <v>23</v>
      </c>
      <c r="AA30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02" spans="1:27" x14ac:dyDescent="0.3">
      <c r="A302" t="s">
        <v>985</v>
      </c>
      <c r="B302">
        <v>2039</v>
      </c>
      <c r="C302">
        <v>114</v>
      </c>
      <c r="D302">
        <f>IFERROR(tinder[[#This Row],[Tinder Opened]]/tinder[[#This Row],[Days on Tinder]],0)</f>
        <v>17.885964912280702</v>
      </c>
      <c r="E302">
        <f>tinder[[#This Row],[Engagement]]/MAX(tinder[Engagement])</f>
        <v>8.9879220664727144E-2</v>
      </c>
      <c r="F30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02">
        <v>87</v>
      </c>
      <c r="H302">
        <f>IFERROR(tinder[[#This Row],[Conversations]]/tinder[[#This Row],[Tinder Opened]],0)</f>
        <v>4.2667974497302599E-2</v>
      </c>
      <c r="I302">
        <f>tinder[[#This Row],[Conversations]]/MAX(tinder[Conversations])</f>
        <v>6.8818224964404366E-3</v>
      </c>
      <c r="J302">
        <f>(tinder[[#This Row],[Norm Engagement]]*2)+(tinder[[#This Row],[Norm Swipes]]*1)+(tinder[[#This Row],[Norm Conversations]]*2)</f>
        <v>0.1955354790953272</v>
      </c>
      <c r="K30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02">
        <v>33</v>
      </c>
      <c r="M302">
        <v>0</v>
      </c>
      <c r="N302">
        <v>78</v>
      </c>
      <c r="O302">
        <v>3738</v>
      </c>
      <c r="P302">
        <v>3631</v>
      </c>
      <c r="Q302">
        <f>tinder[[#This Row],[All Swipes]]/MAX(tinder[All Swipes])</f>
        <v>2.0133927729920264E-3</v>
      </c>
      <c r="R302">
        <f>tinder[[#This Row],[Swipe Right (LIKE)]]+tinder[[#This Row],[Swipe Left (PASS)]]</f>
        <v>1709</v>
      </c>
      <c r="S302">
        <v>381</v>
      </c>
      <c r="T302">
        <v>1328</v>
      </c>
      <c r="U302" t="s">
        <v>262</v>
      </c>
      <c r="V302" s="1">
        <v>44008</v>
      </c>
      <c r="W302" t="s">
        <v>12</v>
      </c>
      <c r="X302" t="s">
        <v>1295</v>
      </c>
      <c r="Y302" t="s">
        <v>986</v>
      </c>
      <c r="Z302">
        <v>26</v>
      </c>
      <c r="AA30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03" spans="1:27" x14ac:dyDescent="0.3">
      <c r="A303" t="s">
        <v>487</v>
      </c>
      <c r="B303">
        <v>7163</v>
      </c>
      <c r="C303">
        <v>402</v>
      </c>
      <c r="D303">
        <f>IFERROR(tinder[[#This Row],[Tinder Opened]]/tinder[[#This Row],[Days on Tinder]],0)</f>
        <v>17.818407960199004</v>
      </c>
      <c r="E303">
        <f>tinder[[#This Row],[Engagement]]/MAX(tinder[Engagement])</f>
        <v>8.9539738493462334E-2</v>
      </c>
      <c r="F30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03">
        <v>1550</v>
      </c>
      <c r="H303">
        <f>IFERROR(tinder[[#This Row],[Conversations]]/tinder[[#This Row],[Tinder Opened]],0)</f>
        <v>0.21638978081809299</v>
      </c>
      <c r="I303">
        <f>tinder[[#This Row],[Conversations]]/MAX(tinder[Conversations])</f>
        <v>0.12260718240784686</v>
      </c>
      <c r="J303">
        <f>(tinder[[#This Row],[Norm Engagement]]*2)+(tinder[[#This Row],[Norm Swipes]]*1)+(tinder[[#This Row],[Norm Conversations]]*2)</f>
        <v>0.65638065449229432</v>
      </c>
      <c r="K30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03">
        <v>432</v>
      </c>
      <c r="M303">
        <v>143</v>
      </c>
      <c r="N303">
        <v>2404</v>
      </c>
      <c r="O303">
        <v>10256</v>
      </c>
      <c r="P303">
        <v>13343</v>
      </c>
      <c r="Q303">
        <f>tinder[[#This Row],[All Swipes]]/MAX(tinder[All Swipes])</f>
        <v>0.23208681268967596</v>
      </c>
      <c r="R303">
        <f>tinder[[#This Row],[Swipe Right (LIKE)]]+tinder[[#This Row],[Swipe Left (PASS)]]</f>
        <v>196999</v>
      </c>
      <c r="S303">
        <v>8565</v>
      </c>
      <c r="T303">
        <v>188434</v>
      </c>
      <c r="U303" t="s">
        <v>10</v>
      </c>
      <c r="V303" s="1">
        <v>43838</v>
      </c>
      <c r="W303" t="s">
        <v>12</v>
      </c>
      <c r="X303" t="s">
        <v>1296</v>
      </c>
      <c r="Y303" t="s">
        <v>8</v>
      </c>
      <c r="Z303">
        <v>42</v>
      </c>
      <c r="AA303" t="str">
        <f>_xlfn.IFS(tinder[[#This Row],[Age]]&lt;=20,"Teen",tinder[[#This Row],[Age]]&lt;=30,"Young Adult",tinder[[#This Row],[Age]]&lt;=40,"Adult",tinder[[#This Row],[Age]]&lt;=50,"Middle-Aged",TRUE,"Senior")</f>
        <v>Middle-Aged</v>
      </c>
    </row>
    <row r="304" spans="1:27" x14ac:dyDescent="0.3">
      <c r="A304" t="s">
        <v>441</v>
      </c>
      <c r="B304">
        <v>1568</v>
      </c>
      <c r="C304">
        <v>88</v>
      </c>
      <c r="D304">
        <f>IFERROR(tinder[[#This Row],[Tinder Opened]]/tinder[[#This Row],[Days on Tinder]],0)</f>
        <v>17.818181818181817</v>
      </c>
      <c r="E304">
        <f>tinder[[#This Row],[Engagement]]/MAX(tinder[Engagement])</f>
        <v>8.9538602101416162E-2</v>
      </c>
      <c r="F30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04">
        <v>132</v>
      </c>
      <c r="H304">
        <f>IFERROR(tinder[[#This Row],[Conversations]]/tinder[[#This Row],[Tinder Opened]],0)</f>
        <v>8.4183673469387751E-2</v>
      </c>
      <c r="I304">
        <f>tinder[[#This Row],[Conversations]]/MAX(tinder[Conversations])</f>
        <v>1.0441385856668249E-2</v>
      </c>
      <c r="J304">
        <f>(tinder[[#This Row],[Norm Engagement]]*2)+(tinder[[#This Row],[Norm Swipes]]*1)+(tinder[[#This Row],[Norm Conversations]]*2)</f>
        <v>0.23352437621022548</v>
      </c>
      <c r="K30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04">
        <v>49</v>
      </c>
      <c r="M304">
        <v>35</v>
      </c>
      <c r="N304">
        <v>292</v>
      </c>
      <c r="O304">
        <v>1150</v>
      </c>
      <c r="P304">
        <v>1078</v>
      </c>
      <c r="Q304">
        <f>tinder[[#This Row],[All Swipes]]/MAX(tinder[All Swipes])</f>
        <v>3.3564400294056662E-2</v>
      </c>
      <c r="R304">
        <f>tinder[[#This Row],[Swipe Right (LIKE)]]+tinder[[#This Row],[Swipe Left (PASS)]]</f>
        <v>28490</v>
      </c>
      <c r="S304">
        <v>26281</v>
      </c>
      <c r="T304">
        <v>2209</v>
      </c>
      <c r="U304" t="s">
        <v>8</v>
      </c>
      <c r="V304" s="1">
        <v>44164</v>
      </c>
      <c r="W304" t="s">
        <v>12</v>
      </c>
      <c r="X304" t="s">
        <v>1295</v>
      </c>
      <c r="Y304" t="s">
        <v>8</v>
      </c>
      <c r="Z304">
        <v>24</v>
      </c>
      <c r="AA30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05" spans="1:27" x14ac:dyDescent="0.3">
      <c r="A305" t="s">
        <v>999</v>
      </c>
      <c r="B305">
        <v>14673</v>
      </c>
      <c r="C305">
        <v>825</v>
      </c>
      <c r="D305">
        <f>IFERROR(tinder[[#This Row],[Tinder Opened]]/tinder[[#This Row],[Days on Tinder]],0)</f>
        <v>17.785454545454545</v>
      </c>
      <c r="E305">
        <f>tinder[[#This Row],[Engagement]]/MAX(tinder[Engagement])</f>
        <v>8.9374143444495208E-2</v>
      </c>
      <c r="F30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05">
        <v>770</v>
      </c>
      <c r="H305">
        <f>IFERROR(tinder[[#This Row],[Conversations]]/tinder[[#This Row],[Tinder Opened]],0)</f>
        <v>5.2477339330743542E-2</v>
      </c>
      <c r="I305">
        <f>tinder[[#This Row],[Conversations]]/MAX(tinder[Conversations])</f>
        <v>6.0908084163898119E-2</v>
      </c>
      <c r="J305">
        <f>(tinder[[#This Row],[Norm Engagement]]*2)+(tinder[[#This Row],[Norm Swipes]]*1)+(tinder[[#This Row],[Norm Conversations]]*2)</f>
        <v>0.37575153934338185</v>
      </c>
      <c r="K30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05">
        <v>240</v>
      </c>
      <c r="M305">
        <v>14</v>
      </c>
      <c r="N305">
        <v>897</v>
      </c>
      <c r="O305">
        <v>9065</v>
      </c>
      <c r="P305">
        <v>7102</v>
      </c>
      <c r="Q305">
        <f>tinder[[#This Row],[All Swipes]]/MAX(tinder[All Swipes])</f>
        <v>7.5187084126595166E-2</v>
      </c>
      <c r="R305">
        <f>tinder[[#This Row],[Swipe Right (LIKE)]]+tinder[[#This Row],[Swipe Left (PASS)]]</f>
        <v>63820</v>
      </c>
      <c r="S305">
        <v>58670</v>
      </c>
      <c r="T305">
        <v>5150</v>
      </c>
      <c r="U305" t="s">
        <v>10</v>
      </c>
      <c r="V305" s="1">
        <v>41806</v>
      </c>
      <c r="W305" t="s">
        <v>7</v>
      </c>
      <c r="X305" t="s">
        <v>1295</v>
      </c>
      <c r="Y305" t="s">
        <v>8</v>
      </c>
      <c r="Z305">
        <v>19</v>
      </c>
      <c r="AA30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06" spans="1:27" x14ac:dyDescent="0.3">
      <c r="A306" t="s">
        <v>111</v>
      </c>
      <c r="B306">
        <v>2436</v>
      </c>
      <c r="C306">
        <v>137</v>
      </c>
      <c r="D306">
        <f>IFERROR(tinder[[#This Row],[Tinder Opened]]/tinder[[#This Row],[Days on Tinder]],0)</f>
        <v>17.78102189781022</v>
      </c>
      <c r="E306">
        <f>tinder[[#This Row],[Engagement]]/MAX(tinder[Engagement])</f>
        <v>8.9351868833217191E-2</v>
      </c>
      <c r="F30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06">
        <v>613</v>
      </c>
      <c r="H306">
        <f>IFERROR(tinder[[#This Row],[Conversations]]/tinder[[#This Row],[Tinder Opened]],0)</f>
        <v>0.25164203612479474</v>
      </c>
      <c r="I306">
        <f>tinder[[#This Row],[Conversations]]/MAX(tinder[Conversations])</f>
        <v>4.8489163107103307E-2</v>
      </c>
      <c r="J306">
        <f>(tinder[[#This Row],[Norm Engagement]]*2)+(tinder[[#This Row],[Norm Swipes]]*1)+(tinder[[#This Row],[Norm Conversations]]*2)</f>
        <v>0.30690202203411593</v>
      </c>
      <c r="K30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06">
        <v>72</v>
      </c>
      <c r="M306">
        <v>426</v>
      </c>
      <c r="N306">
        <v>1361</v>
      </c>
      <c r="O306">
        <v>806</v>
      </c>
      <c r="P306">
        <v>1683</v>
      </c>
      <c r="Q306">
        <f>tinder[[#This Row],[All Swipes]]/MAX(tinder[All Swipes])</f>
        <v>3.1219958153474957E-2</v>
      </c>
      <c r="R306">
        <f>tinder[[#This Row],[Swipe Right (LIKE)]]+tinder[[#This Row],[Swipe Left (PASS)]]</f>
        <v>26500</v>
      </c>
      <c r="S306">
        <v>3987</v>
      </c>
      <c r="T306">
        <v>22513</v>
      </c>
      <c r="U306" t="s">
        <v>14</v>
      </c>
      <c r="V306" s="1">
        <v>43653</v>
      </c>
      <c r="W306" t="s">
        <v>12</v>
      </c>
      <c r="X306" t="s">
        <v>1296</v>
      </c>
      <c r="Y306" t="s">
        <v>8</v>
      </c>
      <c r="Z306">
        <v>22</v>
      </c>
      <c r="AA30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07" spans="1:27" x14ac:dyDescent="0.3">
      <c r="A307" t="s">
        <v>433</v>
      </c>
      <c r="B307">
        <v>671</v>
      </c>
      <c r="C307">
        <v>38</v>
      </c>
      <c r="D307">
        <f>IFERROR(tinder[[#This Row],[Tinder Opened]]/tinder[[#This Row],[Days on Tinder]],0)</f>
        <v>17.657894736842106</v>
      </c>
      <c r="E307">
        <f>tinder[[#This Row],[Engagement]]/MAX(tinder[Engagement])</f>
        <v>8.8733139381116113E-2</v>
      </c>
      <c r="F30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07">
        <v>276</v>
      </c>
      <c r="H307">
        <f>IFERROR(tinder[[#This Row],[Conversations]]/tinder[[#This Row],[Tinder Opened]],0)</f>
        <v>0.41132637853949328</v>
      </c>
      <c r="I307">
        <f>tinder[[#This Row],[Conversations]]/MAX(tinder[Conversations])</f>
        <v>2.1831988609397248E-2</v>
      </c>
      <c r="J307">
        <f>(tinder[[#This Row],[Norm Engagement]]*2)+(tinder[[#This Row],[Norm Swipes]]*1)+(tinder[[#This Row],[Norm Conversations]]*2)</f>
        <v>0.22688533128592203</v>
      </c>
      <c r="K30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07">
        <v>120</v>
      </c>
      <c r="M307">
        <v>19</v>
      </c>
      <c r="N307">
        <v>416</v>
      </c>
      <c r="O307">
        <v>1509</v>
      </c>
      <c r="P307">
        <v>1438</v>
      </c>
      <c r="Q307">
        <f>tinder[[#This Row],[All Swipes]]/MAX(tinder[All Swipes])</f>
        <v>5.7550753048952897E-3</v>
      </c>
      <c r="R307">
        <f>tinder[[#This Row],[Swipe Right (LIKE)]]+tinder[[#This Row],[Swipe Left (PASS)]]</f>
        <v>4885</v>
      </c>
      <c r="S307">
        <v>1068</v>
      </c>
      <c r="T307">
        <v>3817</v>
      </c>
      <c r="U307" t="s">
        <v>8</v>
      </c>
      <c r="V307" s="1">
        <v>43903</v>
      </c>
      <c r="W307" t="s">
        <v>12</v>
      </c>
      <c r="X307" t="s">
        <v>1295</v>
      </c>
      <c r="Y307" t="s">
        <v>8</v>
      </c>
      <c r="Z307">
        <v>23</v>
      </c>
      <c r="AA30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08" spans="1:27" x14ac:dyDescent="0.3">
      <c r="A308" t="s">
        <v>558</v>
      </c>
      <c r="B308">
        <v>3544</v>
      </c>
      <c r="C308">
        <v>201</v>
      </c>
      <c r="D308">
        <f>IFERROR(tinder[[#This Row],[Tinder Opened]]/tinder[[#This Row],[Days on Tinder]],0)</f>
        <v>17.631840796019901</v>
      </c>
      <c r="E308">
        <f>tinder[[#This Row],[Engagement]]/MAX(tinder[Engagement])</f>
        <v>8.8602215055376382E-2</v>
      </c>
      <c r="F30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08">
        <v>59</v>
      </c>
      <c r="H308">
        <f>IFERROR(tinder[[#This Row],[Conversations]]/tinder[[#This Row],[Tinder Opened]],0)</f>
        <v>1.6647855530474039E-2</v>
      </c>
      <c r="I308">
        <f>tinder[[#This Row],[Conversations]]/MAX(tinder[Conversations])</f>
        <v>4.6669830722986866E-3</v>
      </c>
      <c r="J308">
        <f>(tinder[[#This Row],[Norm Engagement]]*2)+(tinder[[#This Row],[Norm Swipes]]*1)+(tinder[[#This Row],[Norm Conversations]]*2)</f>
        <v>0.23041127329819569</v>
      </c>
      <c r="K30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08">
        <v>13</v>
      </c>
      <c r="M308">
        <v>1</v>
      </c>
      <c r="N308">
        <v>97</v>
      </c>
      <c r="O308">
        <v>823</v>
      </c>
      <c r="P308">
        <v>849</v>
      </c>
      <c r="Q308">
        <f>tinder[[#This Row],[All Swipes]]/MAX(tinder[All Swipes])</f>
        <v>4.3872877042845565E-2</v>
      </c>
      <c r="R308">
        <f>tinder[[#This Row],[Swipe Right (LIKE)]]+tinder[[#This Row],[Swipe Left (PASS)]]</f>
        <v>37240</v>
      </c>
      <c r="S308">
        <v>8787</v>
      </c>
      <c r="T308">
        <v>28453</v>
      </c>
      <c r="U308" t="s">
        <v>8</v>
      </c>
      <c r="V308" s="1">
        <v>43601</v>
      </c>
      <c r="W308" t="s">
        <v>12</v>
      </c>
      <c r="X308" t="s">
        <v>1295</v>
      </c>
      <c r="Y308" t="s">
        <v>8</v>
      </c>
      <c r="Z308">
        <v>25</v>
      </c>
      <c r="AA30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09" spans="1:27" x14ac:dyDescent="0.3">
      <c r="A309" t="s">
        <v>198</v>
      </c>
      <c r="B309">
        <v>7630</v>
      </c>
      <c r="C309">
        <v>433</v>
      </c>
      <c r="D309">
        <f>IFERROR(tinder[[#This Row],[Tinder Opened]]/tinder[[#This Row],[Days on Tinder]],0)</f>
        <v>17.621247113163971</v>
      </c>
      <c r="E309">
        <f>tinder[[#This Row],[Engagement]]/MAX(tinder[Engagement])</f>
        <v>8.8548980468160662E-2</v>
      </c>
      <c r="F30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09">
        <v>604</v>
      </c>
      <c r="H309">
        <f>IFERROR(tinder[[#This Row],[Conversations]]/tinder[[#This Row],[Tinder Opened]],0)</f>
        <v>7.916120576671036E-2</v>
      </c>
      <c r="I309">
        <f>tinder[[#This Row],[Conversations]]/MAX(tinder[Conversations])</f>
        <v>4.7777250435057747E-2</v>
      </c>
      <c r="J309">
        <f>(tinder[[#This Row],[Norm Engagement]]*2)+(tinder[[#This Row],[Norm Swipes]]*1)+(tinder[[#This Row],[Norm Conversations]]*2)</f>
        <v>0.39084415470572242</v>
      </c>
      <c r="K30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09">
        <v>186</v>
      </c>
      <c r="M309">
        <v>165</v>
      </c>
      <c r="N309">
        <v>1280</v>
      </c>
      <c r="O309">
        <v>1742</v>
      </c>
      <c r="P309">
        <v>2680</v>
      </c>
      <c r="Q309">
        <f>tinder[[#This Row],[All Swipes]]/MAX(tinder[All Swipes])</f>
        <v>0.11819169289928559</v>
      </c>
      <c r="R309">
        <f>tinder[[#This Row],[Swipe Right (LIKE)]]+tinder[[#This Row],[Swipe Left (PASS)]]</f>
        <v>100323</v>
      </c>
      <c r="S309">
        <v>3798</v>
      </c>
      <c r="T309">
        <v>96525</v>
      </c>
      <c r="U309" t="s">
        <v>27</v>
      </c>
      <c r="V309" s="1">
        <v>43695</v>
      </c>
      <c r="W309" t="s">
        <v>12</v>
      </c>
      <c r="X309" t="s">
        <v>1296</v>
      </c>
      <c r="Y309" t="s">
        <v>8</v>
      </c>
      <c r="Z309">
        <v>23</v>
      </c>
      <c r="AA30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10" spans="1:27" x14ac:dyDescent="0.3">
      <c r="A310" t="s">
        <v>1096</v>
      </c>
      <c r="B310">
        <v>9156</v>
      </c>
      <c r="C310">
        <v>522</v>
      </c>
      <c r="D310">
        <f>IFERROR(tinder[[#This Row],[Tinder Opened]]/tinder[[#This Row],[Days on Tinder]],0)</f>
        <v>17.540229885057471</v>
      </c>
      <c r="E310">
        <f>tinder[[#This Row],[Engagement]]/MAX(tinder[Engagement])</f>
        <v>8.8141858718881763E-2</v>
      </c>
      <c r="F31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10">
        <v>265</v>
      </c>
      <c r="H310">
        <f>IFERROR(tinder[[#This Row],[Conversations]]/tinder[[#This Row],[Tinder Opened]],0)</f>
        <v>2.8942769768457843E-2</v>
      </c>
      <c r="I310">
        <f>tinder[[#This Row],[Conversations]]/MAX(tinder[Conversations])</f>
        <v>2.0961873121341561E-2</v>
      </c>
      <c r="J310">
        <f>(tinder[[#This Row],[Norm Engagement]]*2)+(tinder[[#This Row],[Norm Swipes]]*1)+(tinder[[#This Row],[Norm Conversations]]*2)</f>
        <v>0.2900145455450675</v>
      </c>
      <c r="K31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10">
        <v>60</v>
      </c>
      <c r="M310">
        <v>5</v>
      </c>
      <c r="N310">
        <v>573</v>
      </c>
      <c r="O310">
        <v>7965</v>
      </c>
      <c r="P310">
        <v>5631</v>
      </c>
      <c r="Q310">
        <f>tinder[[#This Row],[All Swipes]]/MAX(tinder[All Swipes])</f>
        <v>7.1807081864620842E-2</v>
      </c>
      <c r="R310">
        <f>tinder[[#This Row],[Swipe Right (LIKE)]]+tinder[[#This Row],[Swipe Left (PASS)]]</f>
        <v>60951</v>
      </c>
      <c r="S310">
        <v>10539</v>
      </c>
      <c r="T310">
        <v>50412</v>
      </c>
      <c r="U310" t="s">
        <v>75</v>
      </c>
      <c r="V310" s="1">
        <v>43774</v>
      </c>
      <c r="W310" t="s">
        <v>12</v>
      </c>
      <c r="X310" t="s">
        <v>1295</v>
      </c>
      <c r="Y310" t="s">
        <v>8</v>
      </c>
      <c r="Z310">
        <v>19</v>
      </c>
      <c r="AA31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11" spans="1:27" x14ac:dyDescent="0.3">
      <c r="A311" t="s">
        <v>931</v>
      </c>
      <c r="B311">
        <v>18038</v>
      </c>
      <c r="C311">
        <v>1034</v>
      </c>
      <c r="D311">
        <f>IFERROR(tinder[[#This Row],[Tinder Opened]]/tinder[[#This Row],[Days on Tinder]],0)</f>
        <v>17.444874274661508</v>
      </c>
      <c r="E311">
        <f>tinder[[#This Row],[Engagement]]/MAX(tinder[Engagement])</f>
        <v>8.7662684797294013E-2</v>
      </c>
      <c r="F31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11">
        <v>879</v>
      </c>
      <c r="H311">
        <f>IFERROR(tinder[[#This Row],[Conversations]]/tinder[[#This Row],[Tinder Opened]],0)</f>
        <v>4.8730457922164322E-2</v>
      </c>
      <c r="I311">
        <f>tinder[[#This Row],[Conversations]]/MAX(tinder[Conversations])</f>
        <v>6.9530137636449926E-2</v>
      </c>
      <c r="J311">
        <f>(tinder[[#This Row],[Norm Engagement]]*2)+(tinder[[#This Row],[Norm Swipes]]*1)+(tinder[[#This Row],[Norm Conversations]]*2)</f>
        <v>0.41757526429030745</v>
      </c>
      <c r="K31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11">
        <v>169</v>
      </c>
      <c r="M311">
        <v>180</v>
      </c>
      <c r="N311">
        <v>2737</v>
      </c>
      <c r="O311">
        <v>6115</v>
      </c>
      <c r="P311">
        <v>7545</v>
      </c>
      <c r="Q311">
        <f>tinder[[#This Row],[All Swipes]]/MAX(tinder[All Swipes])</f>
        <v>0.10318961942281955</v>
      </c>
      <c r="R311">
        <f>tinder[[#This Row],[Swipe Right (LIKE)]]+tinder[[#This Row],[Swipe Left (PASS)]]</f>
        <v>87589</v>
      </c>
      <c r="S311">
        <v>6877</v>
      </c>
      <c r="T311">
        <v>80712</v>
      </c>
      <c r="U311" t="s">
        <v>10</v>
      </c>
      <c r="V311" s="1">
        <v>42028</v>
      </c>
      <c r="W311" t="s">
        <v>7</v>
      </c>
      <c r="X311" t="s">
        <v>1296</v>
      </c>
      <c r="Y311" t="s">
        <v>932</v>
      </c>
      <c r="Z311">
        <v>18</v>
      </c>
      <c r="AA31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12" spans="1:27" x14ac:dyDescent="0.3">
      <c r="A312" t="s">
        <v>505</v>
      </c>
      <c r="B312">
        <v>7679</v>
      </c>
      <c r="C312">
        <v>442</v>
      </c>
      <c r="D312">
        <f>IFERROR(tinder[[#This Row],[Tinder Opened]]/tinder[[#This Row],[Days on Tinder]],0)</f>
        <v>17.373303167420815</v>
      </c>
      <c r="E312">
        <f>tinder[[#This Row],[Engagement]]/MAX(tinder[Engagement])</f>
        <v>8.7303030992064393E-2</v>
      </c>
      <c r="F31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12">
        <v>135</v>
      </c>
      <c r="H312">
        <f>IFERROR(tinder[[#This Row],[Conversations]]/tinder[[#This Row],[Tinder Opened]],0)</f>
        <v>1.758041411642141E-2</v>
      </c>
      <c r="I312">
        <f>tinder[[#This Row],[Conversations]]/MAX(tinder[Conversations])</f>
        <v>1.0678690080683437E-2</v>
      </c>
      <c r="J312">
        <f>(tinder[[#This Row],[Norm Engagement]]*2)+(tinder[[#This Row],[Norm Swipes]]*1)+(tinder[[#This Row],[Norm Conversations]]*2)</f>
        <v>0.26873421932217467</v>
      </c>
      <c r="K31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12">
        <v>9</v>
      </c>
      <c r="M312">
        <v>4</v>
      </c>
      <c r="N312">
        <v>200</v>
      </c>
      <c r="O312">
        <v>3536</v>
      </c>
      <c r="P312">
        <v>2364</v>
      </c>
      <c r="Q312">
        <f>tinder[[#This Row],[All Swipes]]/MAX(tinder[All Swipes])</f>
        <v>7.2770777176679041E-2</v>
      </c>
      <c r="R312">
        <f>tinder[[#This Row],[Swipe Right (LIKE)]]+tinder[[#This Row],[Swipe Left (PASS)]]</f>
        <v>61769</v>
      </c>
      <c r="S312">
        <v>42564</v>
      </c>
      <c r="T312">
        <v>19205</v>
      </c>
      <c r="U312" t="s">
        <v>238</v>
      </c>
      <c r="V312" s="1">
        <v>43676</v>
      </c>
      <c r="W312" t="s">
        <v>12</v>
      </c>
      <c r="X312" t="s">
        <v>1295</v>
      </c>
      <c r="Y312" t="s">
        <v>8</v>
      </c>
      <c r="Z312">
        <v>29</v>
      </c>
      <c r="AA31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13" spans="1:27" x14ac:dyDescent="0.3">
      <c r="A313" t="s">
        <v>881</v>
      </c>
      <c r="B313">
        <v>2188</v>
      </c>
      <c r="C313">
        <v>126</v>
      </c>
      <c r="D313">
        <f>IFERROR(tinder[[#This Row],[Tinder Opened]]/tinder[[#This Row],[Days on Tinder]],0)</f>
        <v>17.365079365079364</v>
      </c>
      <c r="E313">
        <f>tinder[[#This Row],[Engagement]]/MAX(tinder[Engagement])</f>
        <v>8.7261705352157604E-2</v>
      </c>
      <c r="F31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13">
        <v>18</v>
      </c>
      <c r="H313">
        <f>IFERROR(tinder[[#This Row],[Conversations]]/tinder[[#This Row],[Tinder Opened]],0)</f>
        <v>8.2266910420475316E-3</v>
      </c>
      <c r="I313">
        <f>tinder[[#This Row],[Conversations]]/MAX(tinder[Conversations])</f>
        <v>1.4238253440911248E-3</v>
      </c>
      <c r="J313">
        <f>(tinder[[#This Row],[Norm Engagement]]*2)+(tinder[[#This Row],[Norm Swipes]]*1)+(tinder[[#This Row],[Norm Conversations]]*2)</f>
        <v>0.19895524453701877</v>
      </c>
      <c r="K31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13">
        <v>3</v>
      </c>
      <c r="M313">
        <v>0</v>
      </c>
      <c r="N313">
        <v>20</v>
      </c>
      <c r="O313">
        <v>939</v>
      </c>
      <c r="P313">
        <v>558</v>
      </c>
      <c r="Q313">
        <f>tinder[[#This Row],[All Swipes]]/MAX(tinder[All Swipes])</f>
        <v>2.1584183144521308E-2</v>
      </c>
      <c r="R313">
        <f>tinder[[#This Row],[Swipe Right (LIKE)]]+tinder[[#This Row],[Swipe Left (PASS)]]</f>
        <v>18321</v>
      </c>
      <c r="S313">
        <v>1628</v>
      </c>
      <c r="T313">
        <v>16693</v>
      </c>
      <c r="U313" t="s">
        <v>440</v>
      </c>
      <c r="V313" s="1">
        <v>43855</v>
      </c>
      <c r="W313" t="s">
        <v>12</v>
      </c>
      <c r="X313" t="s">
        <v>1295</v>
      </c>
      <c r="Y313" t="s">
        <v>390</v>
      </c>
      <c r="Z313">
        <v>22</v>
      </c>
      <c r="AA31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14" spans="1:27" x14ac:dyDescent="0.3">
      <c r="A314" t="s">
        <v>80</v>
      </c>
      <c r="B314">
        <v>2726</v>
      </c>
      <c r="C314">
        <v>157</v>
      </c>
      <c r="D314">
        <f>IFERROR(tinder[[#This Row],[Tinder Opened]]/tinder[[#This Row],[Days on Tinder]],0)</f>
        <v>17.363057324840764</v>
      </c>
      <c r="E314">
        <f>tinder[[#This Row],[Engagement]]/MAX(tinder[Engagement])</f>
        <v>8.7251544345933491E-2</v>
      </c>
      <c r="F31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14">
        <v>82</v>
      </c>
      <c r="H314">
        <f>IFERROR(tinder[[#This Row],[Conversations]]/tinder[[#This Row],[Tinder Opened]],0)</f>
        <v>3.008070432868672E-2</v>
      </c>
      <c r="I314">
        <f>tinder[[#This Row],[Conversations]]/MAX(tinder[Conversations])</f>
        <v>6.4863154564151239E-3</v>
      </c>
      <c r="J314">
        <f>(tinder[[#This Row],[Norm Engagement]]*2)+(tinder[[#This Row],[Norm Swipes]]*1)+(tinder[[#This Row],[Norm Conversations]]*2)</f>
        <v>0.2287190514928803</v>
      </c>
      <c r="K31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14">
        <v>33</v>
      </c>
      <c r="M314">
        <v>0</v>
      </c>
      <c r="N314">
        <v>130</v>
      </c>
      <c r="O314">
        <v>1159</v>
      </c>
      <c r="P314">
        <v>1360</v>
      </c>
      <c r="Q314">
        <f>tinder[[#This Row],[All Swipes]]/MAX(tinder[All Swipes])</f>
        <v>4.124333188818307E-2</v>
      </c>
      <c r="R314">
        <f>tinder[[#This Row],[Swipe Right (LIKE)]]+tinder[[#This Row],[Swipe Left (PASS)]]</f>
        <v>35008</v>
      </c>
      <c r="S314">
        <v>415</v>
      </c>
      <c r="T314">
        <v>34593</v>
      </c>
      <c r="U314" t="s">
        <v>10</v>
      </c>
      <c r="V314" s="1">
        <v>43681</v>
      </c>
      <c r="W314" t="s">
        <v>12</v>
      </c>
      <c r="X314" t="s">
        <v>1296</v>
      </c>
      <c r="Y314" t="s">
        <v>81</v>
      </c>
      <c r="Z314">
        <v>31</v>
      </c>
      <c r="AA314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315" spans="1:27" x14ac:dyDescent="0.3">
      <c r="A315" t="s">
        <v>1089</v>
      </c>
      <c r="B315">
        <v>29906</v>
      </c>
      <c r="C315">
        <v>1723</v>
      </c>
      <c r="D315">
        <f>IFERROR(tinder[[#This Row],[Tinder Opened]]/tinder[[#This Row],[Days on Tinder]],0)</f>
        <v>17.356935577481138</v>
      </c>
      <c r="E315">
        <f>tinder[[#This Row],[Engagement]]/MAX(tinder[Engagement])</f>
        <v>8.7220781796387634E-2</v>
      </c>
      <c r="F31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15">
        <v>1208</v>
      </c>
      <c r="H315">
        <f>IFERROR(tinder[[#This Row],[Conversations]]/tinder[[#This Row],[Tinder Opened]],0)</f>
        <v>4.0393232127332306E-2</v>
      </c>
      <c r="I315">
        <f>tinder[[#This Row],[Conversations]]/MAX(tinder[Conversations])</f>
        <v>9.5554500870115494E-2</v>
      </c>
      <c r="J315">
        <f>(tinder[[#This Row],[Norm Engagement]]*2)+(tinder[[#This Row],[Norm Swipes]]*1)+(tinder[[#This Row],[Norm Conversations]]*2)</f>
        <v>0.65373551943377728</v>
      </c>
      <c r="K31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15">
        <v>532</v>
      </c>
      <c r="M315">
        <v>146</v>
      </c>
      <c r="N315">
        <v>4998</v>
      </c>
      <c r="O315">
        <v>4074</v>
      </c>
      <c r="P315">
        <v>5243</v>
      </c>
      <c r="Q315">
        <f>tinder[[#This Row],[All Swipes]]/MAX(tinder[All Swipes])</f>
        <v>0.28818495410077094</v>
      </c>
      <c r="R315">
        <f>tinder[[#This Row],[Swipe Right (LIKE)]]+tinder[[#This Row],[Swipe Left (PASS)]]</f>
        <v>244616</v>
      </c>
      <c r="S315">
        <v>235420</v>
      </c>
      <c r="T315">
        <v>9196</v>
      </c>
      <c r="U315" t="s">
        <v>311</v>
      </c>
      <c r="V315" s="1">
        <v>42120</v>
      </c>
      <c r="W315" t="s">
        <v>7</v>
      </c>
      <c r="X315" t="s">
        <v>1295</v>
      </c>
      <c r="Y315" t="s">
        <v>1090</v>
      </c>
      <c r="Z315">
        <v>21</v>
      </c>
      <c r="AA31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16" spans="1:27" x14ac:dyDescent="0.3">
      <c r="A316" t="s">
        <v>387</v>
      </c>
      <c r="B316">
        <v>1962</v>
      </c>
      <c r="C316">
        <v>114</v>
      </c>
      <c r="D316">
        <f>IFERROR(tinder[[#This Row],[Tinder Opened]]/tinder[[#This Row],[Days on Tinder]],0)</f>
        <v>17.210526315789473</v>
      </c>
      <c r="E316">
        <f>tinder[[#This Row],[Engagement]]/MAX(tinder[Engagement])</f>
        <v>8.6485056863263687E-2</v>
      </c>
      <c r="F31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16">
        <v>15</v>
      </c>
      <c r="H316">
        <f>IFERROR(tinder[[#This Row],[Conversations]]/tinder[[#This Row],[Tinder Opened]],0)</f>
        <v>7.6452599388379203E-3</v>
      </c>
      <c r="I316">
        <f>tinder[[#This Row],[Conversations]]/MAX(tinder[Conversations])</f>
        <v>1.1865211200759373E-3</v>
      </c>
      <c r="J316">
        <f>(tinder[[#This Row],[Norm Engagement]]*2)+(tinder[[#This Row],[Norm Swipes]]*1)+(tinder[[#This Row],[Norm Conversations]]*2)</f>
        <v>0.18964189680097077</v>
      </c>
      <c r="K31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16">
        <v>6</v>
      </c>
      <c r="M316">
        <v>1</v>
      </c>
      <c r="N316">
        <v>11</v>
      </c>
      <c r="O316">
        <v>273</v>
      </c>
      <c r="P316">
        <v>218</v>
      </c>
      <c r="Q316">
        <f>tinder[[#This Row],[All Swipes]]/MAX(tinder[All Swipes])</f>
        <v>1.4298740834291531E-2</v>
      </c>
      <c r="R316">
        <f>tinder[[#This Row],[Swipe Right (LIKE)]]+tinder[[#This Row],[Swipe Left (PASS)]]</f>
        <v>12137</v>
      </c>
      <c r="S316">
        <v>701</v>
      </c>
      <c r="T316">
        <v>11436</v>
      </c>
      <c r="U316" t="s">
        <v>8</v>
      </c>
      <c r="V316" s="1">
        <v>44109</v>
      </c>
      <c r="W316" t="s">
        <v>12</v>
      </c>
      <c r="X316" t="s">
        <v>1295</v>
      </c>
      <c r="Y316" t="s">
        <v>8</v>
      </c>
      <c r="Z316">
        <v>29</v>
      </c>
      <c r="AA31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17" spans="1:27" x14ac:dyDescent="0.3">
      <c r="A317" t="s">
        <v>1266</v>
      </c>
      <c r="B317">
        <v>8394</v>
      </c>
      <c r="C317">
        <v>490</v>
      </c>
      <c r="D317">
        <f>IFERROR(tinder[[#This Row],[Tinder Opened]]/tinder[[#This Row],[Days on Tinder]],0)</f>
        <v>17.130612244897961</v>
      </c>
      <c r="E317">
        <f>tinder[[#This Row],[Engagement]]/MAX(tinder[Engagement])</f>
        <v>8.6083478617577688E-2</v>
      </c>
      <c r="F31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17">
        <v>482</v>
      </c>
      <c r="H317">
        <f>IFERROR(tinder[[#This Row],[Conversations]]/tinder[[#This Row],[Tinder Opened]],0)</f>
        <v>5.7421968072432689E-2</v>
      </c>
      <c r="I317">
        <f>tinder[[#This Row],[Conversations]]/MAX(tinder[Conversations])</f>
        <v>3.8126878658440118E-2</v>
      </c>
      <c r="J317">
        <f>(tinder[[#This Row],[Norm Engagement]]*2)+(tinder[[#This Row],[Norm Swipes]]*1)+(tinder[[#This Row],[Norm Conversations]]*2)</f>
        <v>0.2800671491150033</v>
      </c>
      <c r="K31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17">
        <v>156</v>
      </c>
      <c r="M317">
        <v>8</v>
      </c>
      <c r="N317">
        <v>524</v>
      </c>
      <c r="O317">
        <v>2902</v>
      </c>
      <c r="P317">
        <v>2489</v>
      </c>
      <c r="Q317">
        <f>tinder[[#This Row],[All Swipes]]/MAX(tinder[All Swipes])</f>
        <v>3.1646434562967708E-2</v>
      </c>
      <c r="R317">
        <f>tinder[[#This Row],[Swipe Right (LIKE)]]+tinder[[#This Row],[Swipe Left (PASS)]]</f>
        <v>26862</v>
      </c>
      <c r="S317">
        <v>2207</v>
      </c>
      <c r="T317">
        <v>24655</v>
      </c>
      <c r="U317" t="s">
        <v>10</v>
      </c>
      <c r="V317" s="1">
        <v>43716</v>
      </c>
      <c r="W317" t="s">
        <v>12</v>
      </c>
      <c r="X317" t="s">
        <v>1295</v>
      </c>
      <c r="Y317" t="s">
        <v>1267</v>
      </c>
      <c r="Z317">
        <v>19</v>
      </c>
      <c r="AA31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18" spans="1:27" x14ac:dyDescent="0.3">
      <c r="A318" t="s">
        <v>1187</v>
      </c>
      <c r="B318">
        <v>30165</v>
      </c>
      <c r="C318">
        <v>1762</v>
      </c>
      <c r="D318">
        <f>IFERROR(tinder[[#This Row],[Tinder Opened]]/tinder[[#This Row],[Days on Tinder]],0)</f>
        <v>17.119750283768443</v>
      </c>
      <c r="E318">
        <f>tinder[[#This Row],[Engagement]]/MAX(tinder[Engagement])</f>
        <v>8.6028895898333888E-2</v>
      </c>
      <c r="F31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18">
        <v>1356</v>
      </c>
      <c r="H318">
        <f>IFERROR(tinder[[#This Row],[Conversations]]/tinder[[#This Row],[Tinder Opened]],0)</f>
        <v>4.4952759820984588E-2</v>
      </c>
      <c r="I318">
        <f>tinder[[#This Row],[Conversations]]/MAX(tinder[Conversations])</f>
        <v>0.10726150925486473</v>
      </c>
      <c r="J318">
        <f>(tinder[[#This Row],[Norm Engagement]]*2)+(tinder[[#This Row],[Norm Swipes]]*1)+(tinder[[#This Row],[Norm Conversations]]*2)</f>
        <v>0.50234912758599615</v>
      </c>
      <c r="K31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18">
        <v>425</v>
      </c>
      <c r="M318">
        <v>150</v>
      </c>
      <c r="N318">
        <v>4006</v>
      </c>
      <c r="O318">
        <v>8082</v>
      </c>
      <c r="P318">
        <v>7897</v>
      </c>
      <c r="Q318">
        <f>tinder[[#This Row],[All Swipes]]/MAX(tinder[All Swipes])</f>
        <v>0.11576831727959888</v>
      </c>
      <c r="R318">
        <f>tinder[[#This Row],[Swipe Right (LIKE)]]+tinder[[#This Row],[Swipe Left (PASS)]]</f>
        <v>98266</v>
      </c>
      <c r="S318">
        <v>79113</v>
      </c>
      <c r="T318">
        <v>19153</v>
      </c>
      <c r="U318" t="s">
        <v>8</v>
      </c>
      <c r="V318" s="1">
        <v>41871</v>
      </c>
      <c r="W318" t="s">
        <v>7</v>
      </c>
      <c r="X318" t="s">
        <v>1295</v>
      </c>
      <c r="Y318" t="s">
        <v>8</v>
      </c>
      <c r="Z318">
        <v>19</v>
      </c>
      <c r="AA31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19" spans="1:27" x14ac:dyDescent="0.3">
      <c r="A319" t="s">
        <v>142</v>
      </c>
      <c r="B319">
        <v>616</v>
      </c>
      <c r="C319">
        <v>36</v>
      </c>
      <c r="D319">
        <f>IFERROR(tinder[[#This Row],[Tinder Opened]]/tinder[[#This Row],[Days on Tinder]],0)</f>
        <v>17.111111111111111</v>
      </c>
      <c r="E319">
        <f>tinder[[#This Row],[Engagement]]/MAX(tinder[Engagement])</f>
        <v>8.598548297040759E-2</v>
      </c>
      <c r="F31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19">
        <v>18</v>
      </c>
      <c r="H319">
        <f>IFERROR(tinder[[#This Row],[Conversations]]/tinder[[#This Row],[Tinder Opened]],0)</f>
        <v>2.922077922077922E-2</v>
      </c>
      <c r="I319">
        <f>tinder[[#This Row],[Conversations]]/MAX(tinder[Conversations])</f>
        <v>1.4238253440911248E-3</v>
      </c>
      <c r="J319">
        <f>(tinder[[#This Row],[Norm Engagement]]*2)+(tinder[[#This Row],[Norm Swipes]]*1)+(tinder[[#This Row],[Norm Conversations]]*2)</f>
        <v>0.182995889441951</v>
      </c>
      <c r="K31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19">
        <v>2</v>
      </c>
      <c r="M319">
        <v>0</v>
      </c>
      <c r="N319">
        <v>22</v>
      </c>
      <c r="O319">
        <v>397</v>
      </c>
      <c r="P319">
        <v>250</v>
      </c>
      <c r="Q319">
        <f>tinder[[#This Row],[All Swipes]]/MAX(tinder[All Swipes])</f>
        <v>8.1772728129535736E-3</v>
      </c>
      <c r="R319">
        <f>tinder[[#This Row],[Swipe Right (LIKE)]]+tinder[[#This Row],[Swipe Left (PASS)]]</f>
        <v>6941</v>
      </c>
      <c r="S319">
        <v>1539</v>
      </c>
      <c r="T319">
        <v>5402</v>
      </c>
      <c r="U319" t="s">
        <v>75</v>
      </c>
      <c r="V319" s="1">
        <v>44045</v>
      </c>
      <c r="W319" t="s">
        <v>12</v>
      </c>
      <c r="X319" t="s">
        <v>1295</v>
      </c>
      <c r="Y319" t="s">
        <v>8</v>
      </c>
      <c r="Z319">
        <v>26</v>
      </c>
      <c r="AA31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20" spans="1:27" x14ac:dyDescent="0.3">
      <c r="A320" t="s">
        <v>513</v>
      </c>
      <c r="B320">
        <v>8725</v>
      </c>
      <c r="C320">
        <v>513</v>
      </c>
      <c r="D320">
        <f>IFERROR(tinder[[#This Row],[Tinder Opened]]/tinder[[#This Row],[Days on Tinder]],0)</f>
        <v>17.007797270955166</v>
      </c>
      <c r="E320">
        <f>tinder[[#This Row],[Engagement]]/MAX(tinder[Engagement])</f>
        <v>8.5466317944498327E-2</v>
      </c>
      <c r="F32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20">
        <v>162</v>
      </c>
      <c r="H320">
        <f>IFERROR(tinder[[#This Row],[Conversations]]/tinder[[#This Row],[Tinder Opened]],0)</f>
        <v>1.8567335243553008E-2</v>
      </c>
      <c r="I320">
        <f>tinder[[#This Row],[Conversations]]/MAX(tinder[Conversations])</f>
        <v>1.2814428096820124E-2</v>
      </c>
      <c r="J320">
        <f>(tinder[[#This Row],[Norm Engagement]]*2)+(tinder[[#This Row],[Norm Swipes]]*1)+(tinder[[#This Row],[Norm Conversations]]*2)</f>
        <v>0.28834110038408267</v>
      </c>
      <c r="K32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20">
        <v>73</v>
      </c>
      <c r="M320">
        <v>7</v>
      </c>
      <c r="N320">
        <v>366</v>
      </c>
      <c r="O320">
        <v>751</v>
      </c>
      <c r="P320">
        <v>502</v>
      </c>
      <c r="Q320">
        <f>tinder[[#This Row],[All Swipes]]/MAX(tinder[All Swipes])</f>
        <v>9.1779608301445784E-2</v>
      </c>
      <c r="R320">
        <f>tinder[[#This Row],[Swipe Right (LIKE)]]+tinder[[#This Row],[Swipe Left (PASS)]]</f>
        <v>77904</v>
      </c>
      <c r="S320">
        <v>6510</v>
      </c>
      <c r="T320">
        <v>71394</v>
      </c>
      <c r="U320" t="s">
        <v>10</v>
      </c>
      <c r="V320" s="1">
        <v>43708</v>
      </c>
      <c r="W320" t="s">
        <v>12</v>
      </c>
      <c r="X320" t="s">
        <v>1295</v>
      </c>
      <c r="Y320" t="s">
        <v>8</v>
      </c>
      <c r="Z320">
        <v>22</v>
      </c>
      <c r="AA32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21" spans="1:27" x14ac:dyDescent="0.3">
      <c r="A321" t="s">
        <v>137</v>
      </c>
      <c r="B321">
        <v>8003</v>
      </c>
      <c r="C321">
        <v>472</v>
      </c>
      <c r="D321">
        <f>IFERROR(tinder[[#This Row],[Tinder Opened]]/tinder[[#This Row],[Days on Tinder]],0)</f>
        <v>16.95550847457627</v>
      </c>
      <c r="E321">
        <f>tinder[[#This Row],[Engagement]]/MAX(tinder[Engagement])</f>
        <v>8.5203560173750095E-2</v>
      </c>
      <c r="F32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21">
        <v>2133</v>
      </c>
      <c r="H321">
        <f>IFERROR(tinder[[#This Row],[Conversations]]/tinder[[#This Row],[Tinder Opened]],0)</f>
        <v>0.26652505310508562</v>
      </c>
      <c r="I321">
        <f>tinder[[#This Row],[Conversations]]/MAX(tinder[Conversations])</f>
        <v>0.16872330327479829</v>
      </c>
      <c r="J321">
        <f>(tinder[[#This Row],[Norm Engagement]]*2)+(tinder[[#This Row],[Norm Swipes]]*1)+(tinder[[#This Row],[Norm Conversations]]*2)</f>
        <v>0.57334966476820193</v>
      </c>
      <c r="K32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21">
        <v>854</v>
      </c>
      <c r="M321">
        <v>46</v>
      </c>
      <c r="N321">
        <v>2731</v>
      </c>
      <c r="O321">
        <v>3822</v>
      </c>
      <c r="P321">
        <v>3242</v>
      </c>
      <c r="Q321">
        <f>tinder[[#This Row],[All Swipes]]/MAX(tinder[All Swipes])</f>
        <v>6.5495937871105164E-2</v>
      </c>
      <c r="R321">
        <f>tinder[[#This Row],[Swipe Right (LIKE)]]+tinder[[#This Row],[Swipe Left (PASS)]]</f>
        <v>55594</v>
      </c>
      <c r="S321">
        <v>13773</v>
      </c>
      <c r="T321">
        <v>41821</v>
      </c>
      <c r="U321" t="s">
        <v>8</v>
      </c>
      <c r="V321" s="1">
        <v>43550</v>
      </c>
      <c r="W321" t="s">
        <v>12</v>
      </c>
      <c r="X321" t="s">
        <v>1295</v>
      </c>
      <c r="Y321" t="s">
        <v>8</v>
      </c>
      <c r="Z321">
        <v>24</v>
      </c>
      <c r="AA32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22" spans="1:27" x14ac:dyDescent="0.3">
      <c r="A322" t="s">
        <v>1116</v>
      </c>
      <c r="B322">
        <v>5077</v>
      </c>
      <c r="C322">
        <v>300</v>
      </c>
      <c r="D322">
        <f>IFERROR(tinder[[#This Row],[Tinder Opened]]/tinder[[#This Row],[Days on Tinder]],0)</f>
        <v>16.923333333333332</v>
      </c>
      <c r="E322">
        <f>tinder[[#This Row],[Engagement]]/MAX(tinder[Engagement])</f>
        <v>8.5041876046901166E-2</v>
      </c>
      <c r="F32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22">
        <v>393</v>
      </c>
      <c r="H322">
        <f>IFERROR(tinder[[#This Row],[Conversations]]/tinder[[#This Row],[Tinder Opened]],0)</f>
        <v>7.7407918061847547E-2</v>
      </c>
      <c r="I322">
        <f>tinder[[#This Row],[Conversations]]/MAX(tinder[Conversations])</f>
        <v>3.1086853345989558E-2</v>
      </c>
      <c r="J322">
        <f>(tinder[[#This Row],[Norm Engagement]]*2)+(tinder[[#This Row],[Norm Swipes]]*1)+(tinder[[#This Row],[Norm Conversations]]*2)</f>
        <v>0.34339108491912484</v>
      </c>
      <c r="K32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22">
        <v>139</v>
      </c>
      <c r="M322">
        <v>34</v>
      </c>
      <c r="N322">
        <v>889</v>
      </c>
      <c r="O322">
        <v>3242</v>
      </c>
      <c r="P322">
        <v>2647</v>
      </c>
      <c r="Q322">
        <f>tinder[[#This Row],[All Swipes]]/MAX(tinder[All Swipes])</f>
        <v>0.11113362613334339</v>
      </c>
      <c r="R322">
        <f>tinder[[#This Row],[Swipe Right (LIKE)]]+tinder[[#This Row],[Swipe Left (PASS)]]</f>
        <v>94332</v>
      </c>
      <c r="S322">
        <v>18770</v>
      </c>
      <c r="T322">
        <v>75562</v>
      </c>
      <c r="U322" t="s">
        <v>10</v>
      </c>
      <c r="V322" s="1">
        <v>43870</v>
      </c>
      <c r="W322" t="s">
        <v>12</v>
      </c>
      <c r="X322" t="s">
        <v>1295</v>
      </c>
      <c r="Y322" t="s">
        <v>1117</v>
      </c>
      <c r="Z322">
        <v>24</v>
      </c>
      <c r="AA32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23" spans="1:27" x14ac:dyDescent="0.3">
      <c r="A323" t="s">
        <v>933</v>
      </c>
      <c r="B323">
        <v>169</v>
      </c>
      <c r="C323">
        <v>10</v>
      </c>
      <c r="D323">
        <f>IFERROR(tinder[[#This Row],[Tinder Opened]]/tinder[[#This Row],[Days on Tinder]],0)</f>
        <v>16.899999999999999</v>
      </c>
      <c r="E323">
        <f>tinder[[#This Row],[Engagement]]/MAX(tinder[Engagement])</f>
        <v>8.4924623115577885E-2</v>
      </c>
      <c r="F32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23">
        <v>100</v>
      </c>
      <c r="H323">
        <f>IFERROR(tinder[[#This Row],[Conversations]]/tinder[[#This Row],[Tinder Opened]],0)</f>
        <v>0.59171597633136097</v>
      </c>
      <c r="I323">
        <f>tinder[[#This Row],[Conversations]]/MAX(tinder[Conversations])</f>
        <v>7.9101408005062494E-3</v>
      </c>
      <c r="J323">
        <f>(tinder[[#This Row],[Norm Engagement]]*2)+(tinder[[#This Row],[Norm Swipes]]*1)+(tinder[[#This Row],[Norm Conversations]]*2)</f>
        <v>0.19088267178798438</v>
      </c>
      <c r="K32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23">
        <v>47</v>
      </c>
      <c r="M323">
        <v>14</v>
      </c>
      <c r="N323">
        <v>24</v>
      </c>
      <c r="O323">
        <v>696</v>
      </c>
      <c r="P323">
        <v>930</v>
      </c>
      <c r="Q323">
        <f>tinder[[#This Row],[All Swipes]]/MAX(tinder[All Swipes])</f>
        <v>5.2131439558161016E-3</v>
      </c>
      <c r="R323">
        <f>tinder[[#This Row],[Swipe Right (LIKE)]]+tinder[[#This Row],[Swipe Left (PASS)]]</f>
        <v>4425</v>
      </c>
      <c r="S323">
        <v>161</v>
      </c>
      <c r="T323">
        <v>4264</v>
      </c>
      <c r="U323" t="s">
        <v>8</v>
      </c>
      <c r="V323" s="1">
        <v>44287</v>
      </c>
      <c r="W323" t="s">
        <v>12</v>
      </c>
      <c r="X323" t="s">
        <v>1296</v>
      </c>
      <c r="Y323" t="s">
        <v>8</v>
      </c>
      <c r="Z323">
        <v>31</v>
      </c>
      <c r="AA323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324" spans="1:27" x14ac:dyDescent="0.3">
      <c r="A324" t="s">
        <v>216</v>
      </c>
      <c r="B324">
        <v>4759</v>
      </c>
      <c r="C324">
        <v>282</v>
      </c>
      <c r="D324">
        <f>IFERROR(tinder[[#This Row],[Tinder Opened]]/tinder[[#This Row],[Days on Tinder]],0)</f>
        <v>16.875886524822697</v>
      </c>
      <c r="E324">
        <f>tinder[[#This Row],[Engagement]]/MAX(tinder[Engagement])</f>
        <v>8.4803449873480888E-2</v>
      </c>
      <c r="F32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24">
        <v>326</v>
      </c>
      <c r="H324">
        <f>IFERROR(tinder[[#This Row],[Conversations]]/tinder[[#This Row],[Tinder Opened]],0)</f>
        <v>6.8501786089514599E-2</v>
      </c>
      <c r="I324">
        <f>tinder[[#This Row],[Conversations]]/MAX(tinder[Conversations])</f>
        <v>2.5787059009650372E-2</v>
      </c>
      <c r="J324">
        <f>(tinder[[#This Row],[Norm Engagement]]*2)+(tinder[[#This Row],[Norm Swipes]]*1)+(tinder[[#This Row],[Norm Conversations]]*2)</f>
        <v>0.24045256778416979</v>
      </c>
      <c r="K32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24">
        <v>93</v>
      </c>
      <c r="M324">
        <v>5</v>
      </c>
      <c r="N324">
        <v>419</v>
      </c>
      <c r="O324">
        <v>2998</v>
      </c>
      <c r="P324">
        <v>2793</v>
      </c>
      <c r="Q324">
        <f>tinder[[#This Row],[All Swipes]]/MAX(tinder[All Swipes])</f>
        <v>1.9271550017907296E-2</v>
      </c>
      <c r="R324">
        <f>tinder[[#This Row],[Swipe Right (LIKE)]]+tinder[[#This Row],[Swipe Left (PASS)]]</f>
        <v>16358</v>
      </c>
      <c r="S324">
        <v>12479</v>
      </c>
      <c r="T324">
        <v>3879</v>
      </c>
      <c r="U324" t="s">
        <v>8</v>
      </c>
      <c r="V324" s="1">
        <v>43823</v>
      </c>
      <c r="W324" t="s">
        <v>12</v>
      </c>
      <c r="X324" t="s">
        <v>1295</v>
      </c>
      <c r="Y324" t="s">
        <v>8</v>
      </c>
      <c r="Z324">
        <v>28</v>
      </c>
      <c r="AA32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25" spans="1:27" x14ac:dyDescent="0.3">
      <c r="A325" t="s">
        <v>336</v>
      </c>
      <c r="B325">
        <v>371</v>
      </c>
      <c r="C325">
        <v>22</v>
      </c>
      <c r="D325">
        <f>IFERROR(tinder[[#This Row],[Tinder Opened]]/tinder[[#This Row],[Days on Tinder]],0)</f>
        <v>16.863636363636363</v>
      </c>
      <c r="E325">
        <f>tinder[[#This Row],[Engagement]]/MAX(tinder[Engagement])</f>
        <v>8.4741891274554587E-2</v>
      </c>
      <c r="F32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25">
        <v>9</v>
      </c>
      <c r="H325">
        <f>IFERROR(tinder[[#This Row],[Conversations]]/tinder[[#This Row],[Tinder Opened]],0)</f>
        <v>2.4258760107816711E-2</v>
      </c>
      <c r="I325">
        <f>tinder[[#This Row],[Conversations]]/MAX(tinder[Conversations])</f>
        <v>7.1191267204556241E-4</v>
      </c>
      <c r="J325">
        <f>(tinder[[#This Row],[Norm Engagement]]*2)+(tinder[[#This Row],[Norm Swipes]]*1)+(tinder[[#This Row],[Norm Conversations]]*2)</f>
        <v>0.17399426035969481</v>
      </c>
      <c r="K32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25">
        <v>2</v>
      </c>
      <c r="M325">
        <v>1</v>
      </c>
      <c r="N325">
        <v>13</v>
      </c>
      <c r="O325">
        <v>69</v>
      </c>
      <c r="P325">
        <v>70</v>
      </c>
      <c r="Q325">
        <f>tinder[[#This Row],[All Swipes]]/MAX(tinder[All Swipes])</f>
        <v>3.0866524664945054E-3</v>
      </c>
      <c r="R325">
        <f>tinder[[#This Row],[Swipe Right (LIKE)]]+tinder[[#This Row],[Swipe Left (PASS)]]</f>
        <v>2620</v>
      </c>
      <c r="S325">
        <v>2110</v>
      </c>
      <c r="T325">
        <v>510</v>
      </c>
      <c r="U325" t="s">
        <v>8</v>
      </c>
      <c r="V325" s="1">
        <v>44177</v>
      </c>
      <c r="W325" t="s">
        <v>12</v>
      </c>
      <c r="X325" t="s">
        <v>1295</v>
      </c>
      <c r="Y325" t="s">
        <v>8</v>
      </c>
      <c r="Z325">
        <v>25</v>
      </c>
      <c r="AA32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26" spans="1:27" x14ac:dyDescent="0.3">
      <c r="A326" t="s">
        <v>120</v>
      </c>
      <c r="B326">
        <v>3833</v>
      </c>
      <c r="C326">
        <v>228</v>
      </c>
      <c r="D326">
        <f>IFERROR(tinder[[#This Row],[Tinder Opened]]/tinder[[#This Row],[Days on Tinder]],0)</f>
        <v>16.811403508771932</v>
      </c>
      <c r="E326">
        <f>tinder[[#This Row],[Engagement]]/MAX(tinder[Engagement])</f>
        <v>8.4479414616944373E-2</v>
      </c>
      <c r="F32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26">
        <v>156</v>
      </c>
      <c r="H326">
        <f>IFERROR(tinder[[#This Row],[Conversations]]/tinder[[#This Row],[Tinder Opened]],0)</f>
        <v>4.0699191234020347E-2</v>
      </c>
      <c r="I326">
        <f>tinder[[#This Row],[Conversations]]/MAX(tinder[Conversations])</f>
        <v>1.2339819648789748E-2</v>
      </c>
      <c r="J326">
        <f>(tinder[[#This Row],[Norm Engagement]]*2)+(tinder[[#This Row],[Norm Swipes]]*1)+(tinder[[#This Row],[Norm Conversations]]*2)</f>
        <v>0.23207082607421012</v>
      </c>
      <c r="K32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26">
        <v>32</v>
      </c>
      <c r="M326">
        <v>19</v>
      </c>
      <c r="N326">
        <v>1064</v>
      </c>
      <c r="O326">
        <v>2352</v>
      </c>
      <c r="P326">
        <v>2663</v>
      </c>
      <c r="Q326">
        <f>tinder[[#This Row],[All Swipes]]/MAX(tinder[All Swipes])</f>
        <v>3.8432357542741886E-2</v>
      </c>
      <c r="R326">
        <f>tinder[[#This Row],[Swipe Right (LIKE)]]+tinder[[#This Row],[Swipe Left (PASS)]]</f>
        <v>32622</v>
      </c>
      <c r="S326">
        <v>4526</v>
      </c>
      <c r="T326">
        <v>28096</v>
      </c>
      <c r="U326" t="s">
        <v>8</v>
      </c>
      <c r="V326" s="1">
        <v>43625</v>
      </c>
      <c r="W326" t="s">
        <v>12</v>
      </c>
      <c r="X326" t="s">
        <v>1296</v>
      </c>
      <c r="Y326" t="s">
        <v>8</v>
      </c>
      <c r="Z326">
        <v>22</v>
      </c>
      <c r="AA32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27" spans="1:27" x14ac:dyDescent="0.3">
      <c r="A327" t="s">
        <v>1035</v>
      </c>
      <c r="B327">
        <v>10406</v>
      </c>
      <c r="C327">
        <v>621</v>
      </c>
      <c r="D327">
        <f>IFERROR(tinder[[#This Row],[Tinder Opened]]/tinder[[#This Row],[Days on Tinder]],0)</f>
        <v>16.756843800322063</v>
      </c>
      <c r="E327">
        <f>tinder[[#This Row],[Engagement]]/MAX(tinder[Engagement])</f>
        <v>8.4205245227749054E-2</v>
      </c>
      <c r="F32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27">
        <v>697</v>
      </c>
      <c r="H327">
        <f>IFERROR(tinder[[#This Row],[Conversations]]/tinder[[#This Row],[Tinder Opened]],0)</f>
        <v>6.6980588122237172E-2</v>
      </c>
      <c r="I327">
        <f>tinder[[#This Row],[Conversations]]/MAX(tinder[Conversations])</f>
        <v>5.5133681379528558E-2</v>
      </c>
      <c r="J327">
        <f>(tinder[[#This Row],[Norm Engagement]]*2)+(tinder[[#This Row],[Norm Swipes]]*1)+(tinder[[#This Row],[Norm Conversations]]*2)</f>
        <v>0.4099312697382777</v>
      </c>
      <c r="K32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27">
        <v>284</v>
      </c>
      <c r="M327">
        <v>58</v>
      </c>
      <c r="N327">
        <v>1553</v>
      </c>
      <c r="O327">
        <v>2832</v>
      </c>
      <c r="P327">
        <v>2103</v>
      </c>
      <c r="Q327">
        <f>tinder[[#This Row],[All Swipes]]/MAX(tinder[All Swipes])</f>
        <v>0.13125341652372247</v>
      </c>
      <c r="R327">
        <f>tinder[[#This Row],[Swipe Right (LIKE)]]+tinder[[#This Row],[Swipe Left (PASS)]]</f>
        <v>111410</v>
      </c>
      <c r="S327">
        <v>34717</v>
      </c>
      <c r="T327">
        <v>76693</v>
      </c>
      <c r="U327" t="s">
        <v>10</v>
      </c>
      <c r="V327" s="1">
        <v>41616</v>
      </c>
      <c r="W327" t="s">
        <v>7</v>
      </c>
      <c r="X327" t="s">
        <v>1295</v>
      </c>
      <c r="Y327" t="s">
        <v>1036</v>
      </c>
      <c r="Z327">
        <v>15</v>
      </c>
      <c r="AA32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28" spans="1:27" x14ac:dyDescent="0.3">
      <c r="A328" t="s">
        <v>363</v>
      </c>
      <c r="B328">
        <v>5021</v>
      </c>
      <c r="C328">
        <v>300</v>
      </c>
      <c r="D328">
        <f>IFERROR(tinder[[#This Row],[Tinder Opened]]/tinder[[#This Row],[Days on Tinder]],0)</f>
        <v>16.736666666666668</v>
      </c>
      <c r="E328">
        <f>tinder[[#This Row],[Engagement]]/MAX(tinder[Engagement])</f>
        <v>8.4103852596314921E-2</v>
      </c>
      <c r="F32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28">
        <v>183</v>
      </c>
      <c r="H328">
        <f>IFERROR(tinder[[#This Row],[Conversations]]/tinder[[#This Row],[Tinder Opened]],0)</f>
        <v>3.6446922923720378E-2</v>
      </c>
      <c r="I328">
        <f>tinder[[#This Row],[Conversations]]/MAX(tinder[Conversations])</f>
        <v>1.4475557664926435E-2</v>
      </c>
      <c r="J328">
        <f>(tinder[[#This Row],[Norm Engagement]]*2)+(tinder[[#This Row],[Norm Swipes]]*1)+(tinder[[#This Row],[Norm Conversations]]*2)</f>
        <v>0.31198700472259205</v>
      </c>
      <c r="K32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28">
        <v>54</v>
      </c>
      <c r="M328">
        <v>40</v>
      </c>
      <c r="N328">
        <v>781</v>
      </c>
      <c r="O328">
        <v>791</v>
      </c>
      <c r="P328">
        <v>1059</v>
      </c>
      <c r="Q328">
        <f>tinder[[#This Row],[All Swipes]]/MAX(tinder[All Swipes])</f>
        <v>0.11482818420010933</v>
      </c>
      <c r="R328">
        <f>tinder[[#This Row],[Swipe Right (LIKE)]]+tinder[[#This Row],[Swipe Left (PASS)]]</f>
        <v>97468</v>
      </c>
      <c r="S328">
        <v>1961</v>
      </c>
      <c r="T328">
        <v>95507</v>
      </c>
      <c r="U328" t="s">
        <v>8</v>
      </c>
      <c r="V328" s="1">
        <v>43911</v>
      </c>
      <c r="W328" t="s">
        <v>12</v>
      </c>
      <c r="X328" t="s">
        <v>1296</v>
      </c>
      <c r="Y328" t="s">
        <v>8</v>
      </c>
      <c r="Z328">
        <v>20</v>
      </c>
      <c r="AA32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29" spans="1:27" x14ac:dyDescent="0.3">
      <c r="A329" t="s">
        <v>15</v>
      </c>
      <c r="B329">
        <v>11946</v>
      </c>
      <c r="C329">
        <v>715</v>
      </c>
      <c r="D329">
        <f>IFERROR(tinder[[#This Row],[Tinder Opened]]/tinder[[#This Row],[Days on Tinder]],0)</f>
        <v>16.707692307692309</v>
      </c>
      <c r="E329">
        <f>tinder[[#This Row],[Engagement]]/MAX(tinder[Engagement])</f>
        <v>8.3958252802473918E-2</v>
      </c>
      <c r="F32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29">
        <v>809</v>
      </c>
      <c r="H329">
        <f>IFERROR(tinder[[#This Row],[Conversations]]/tinder[[#This Row],[Tinder Opened]],0)</f>
        <v>6.7721413025280425E-2</v>
      </c>
      <c r="I329">
        <f>tinder[[#This Row],[Conversations]]/MAX(tinder[Conversations])</f>
        <v>6.3993039076095548E-2</v>
      </c>
      <c r="J329">
        <f>(tinder[[#This Row],[Norm Engagement]]*2)+(tinder[[#This Row],[Norm Swipes]]*1)+(tinder[[#This Row],[Norm Conversations]]*2)</f>
        <v>0.48067996778383026</v>
      </c>
      <c r="K32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29">
        <v>296</v>
      </c>
      <c r="M329">
        <v>13</v>
      </c>
      <c r="N329">
        <v>1905</v>
      </c>
      <c r="O329">
        <v>5527</v>
      </c>
      <c r="P329">
        <v>6052</v>
      </c>
      <c r="Q329">
        <f>tinder[[#This Row],[All Swipes]]/MAX(tinder[All Swipes])</f>
        <v>0.1847773840266913</v>
      </c>
      <c r="R329">
        <f>tinder[[#This Row],[Swipe Right (LIKE)]]+tinder[[#This Row],[Swipe Left (PASS)]]</f>
        <v>156842</v>
      </c>
      <c r="S329">
        <v>60169</v>
      </c>
      <c r="T329">
        <v>96673</v>
      </c>
      <c r="U329" t="s">
        <v>8</v>
      </c>
      <c r="V329" s="1">
        <v>43056</v>
      </c>
      <c r="W329" t="s">
        <v>12</v>
      </c>
      <c r="X329" t="s">
        <v>1295</v>
      </c>
      <c r="Y329" t="s">
        <v>16</v>
      </c>
      <c r="Z329">
        <v>21</v>
      </c>
      <c r="AA32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30" spans="1:27" x14ac:dyDescent="0.3">
      <c r="A330" t="s">
        <v>1199</v>
      </c>
      <c r="B330">
        <v>1469</v>
      </c>
      <c r="C330">
        <v>88</v>
      </c>
      <c r="D330">
        <f>IFERROR(tinder[[#This Row],[Tinder Opened]]/tinder[[#This Row],[Days on Tinder]],0)</f>
        <v>16.693181818181817</v>
      </c>
      <c r="E330">
        <f>tinder[[#This Row],[Engagement]]/MAX(tinder[Engagement])</f>
        <v>8.3885335769757874E-2</v>
      </c>
      <c r="F33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30">
        <v>461</v>
      </c>
      <c r="H330">
        <f>IFERROR(tinder[[#This Row],[Conversations]]/tinder[[#This Row],[Tinder Opened]],0)</f>
        <v>0.31381892443839349</v>
      </c>
      <c r="I330">
        <f>tinder[[#This Row],[Conversations]]/MAX(tinder[Conversations])</f>
        <v>3.6465749090333809E-2</v>
      </c>
      <c r="J330">
        <f>(tinder[[#This Row],[Norm Engagement]]*2)+(tinder[[#This Row],[Norm Swipes]]*1)+(tinder[[#This Row],[Norm Conversations]]*2)</f>
        <v>0.24863910776093662</v>
      </c>
      <c r="K33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30">
        <v>102</v>
      </c>
      <c r="M330">
        <v>50</v>
      </c>
      <c r="N330">
        <v>405</v>
      </c>
      <c r="O330">
        <v>3547</v>
      </c>
      <c r="P330">
        <v>4495</v>
      </c>
      <c r="Q330">
        <f>tinder[[#This Row],[All Swipes]]/MAX(tinder[All Swipes])</f>
        <v>7.9369380407532369E-3</v>
      </c>
      <c r="R330">
        <f>tinder[[#This Row],[Swipe Right (LIKE)]]+tinder[[#This Row],[Swipe Left (PASS)]]</f>
        <v>6737</v>
      </c>
      <c r="S330">
        <v>734</v>
      </c>
      <c r="T330">
        <v>6003</v>
      </c>
      <c r="U330" t="s">
        <v>14</v>
      </c>
      <c r="V330" s="1">
        <v>44131</v>
      </c>
      <c r="W330" t="s">
        <v>12</v>
      </c>
      <c r="X330" t="s">
        <v>1296</v>
      </c>
      <c r="Y330" t="s">
        <v>1200</v>
      </c>
      <c r="Z330">
        <v>18</v>
      </c>
      <c r="AA33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31" spans="1:27" x14ac:dyDescent="0.3">
      <c r="A331" t="s">
        <v>1105</v>
      </c>
      <c r="B331">
        <v>4289</v>
      </c>
      <c r="C331">
        <v>257</v>
      </c>
      <c r="D331">
        <f>IFERROR(tinder[[#This Row],[Tinder Opened]]/tinder[[#This Row],[Days on Tinder]],0)</f>
        <v>16.688715953307394</v>
      </c>
      <c r="E331">
        <f>tinder[[#This Row],[Engagement]]/MAX(tinder[Engagement])</f>
        <v>8.3862894237725596E-2</v>
      </c>
      <c r="F33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31">
        <v>624</v>
      </c>
      <c r="H331">
        <f>IFERROR(tinder[[#This Row],[Conversations]]/tinder[[#This Row],[Tinder Opened]],0)</f>
        <v>0.14548845884821637</v>
      </c>
      <c r="I331">
        <f>tinder[[#This Row],[Conversations]]/MAX(tinder[Conversations])</f>
        <v>4.9359278595158991E-2</v>
      </c>
      <c r="J331">
        <f>(tinder[[#This Row],[Norm Engagement]]*2)+(tinder[[#This Row],[Norm Swipes]]*1)+(tinder[[#This Row],[Norm Conversations]]*2)</f>
        <v>0.31160018627197827</v>
      </c>
      <c r="K33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31">
        <v>139</v>
      </c>
      <c r="M331">
        <v>17</v>
      </c>
      <c r="N331">
        <v>545</v>
      </c>
      <c r="O331">
        <v>2322</v>
      </c>
      <c r="P331">
        <v>1871</v>
      </c>
      <c r="Q331">
        <f>tinder[[#This Row],[All Swipes]]/MAX(tinder[All Swipes])</f>
        <v>4.515584060620912E-2</v>
      </c>
      <c r="R331">
        <f>tinder[[#This Row],[Swipe Right (LIKE)]]+tinder[[#This Row],[Swipe Left (PASS)]]</f>
        <v>38329</v>
      </c>
      <c r="S331">
        <v>13120</v>
      </c>
      <c r="T331">
        <v>25209</v>
      </c>
      <c r="U331" t="s">
        <v>8</v>
      </c>
      <c r="V331" s="1">
        <v>43995</v>
      </c>
      <c r="W331" t="s">
        <v>12</v>
      </c>
      <c r="X331" t="s">
        <v>1295</v>
      </c>
      <c r="Y331" t="s">
        <v>8</v>
      </c>
      <c r="Z331">
        <v>20</v>
      </c>
      <c r="AA33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32" spans="1:27" x14ac:dyDescent="0.3">
      <c r="A332" t="s">
        <v>853</v>
      </c>
      <c r="B332">
        <v>4289</v>
      </c>
      <c r="C332">
        <v>257</v>
      </c>
      <c r="D332">
        <f>IFERROR(tinder[[#This Row],[Tinder Opened]]/tinder[[#This Row],[Days on Tinder]],0)</f>
        <v>16.688715953307394</v>
      </c>
      <c r="E332">
        <f>tinder[[#This Row],[Engagement]]/MAX(tinder[Engagement])</f>
        <v>8.3862894237725596E-2</v>
      </c>
      <c r="F33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32">
        <v>490</v>
      </c>
      <c r="H332">
        <f>IFERROR(tinder[[#This Row],[Conversations]]/tinder[[#This Row],[Tinder Opened]],0)</f>
        <v>0.11424574492888785</v>
      </c>
      <c r="I332">
        <f>tinder[[#This Row],[Conversations]]/MAX(tinder[Conversations])</f>
        <v>3.875968992248062E-2</v>
      </c>
      <c r="J332">
        <f>(tinder[[#This Row],[Norm Engagement]]*2)+(tinder[[#This Row],[Norm Swipes]]*1)+(tinder[[#This Row],[Norm Conversations]]*2)</f>
        <v>0.29040100892662157</v>
      </c>
      <c r="K33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32">
        <v>92</v>
      </c>
      <c r="M332">
        <v>11</v>
      </c>
      <c r="N332">
        <v>545</v>
      </c>
      <c r="O332">
        <v>1811</v>
      </c>
      <c r="P332">
        <v>1437</v>
      </c>
      <c r="Q332">
        <f>tinder[[#This Row],[All Swipes]]/MAX(tinder[All Swipes])</f>
        <v>4.515584060620912E-2</v>
      </c>
      <c r="R332">
        <f>tinder[[#This Row],[Swipe Right (LIKE)]]+tinder[[#This Row],[Swipe Left (PASS)]]</f>
        <v>38329</v>
      </c>
      <c r="S332">
        <v>13120</v>
      </c>
      <c r="T332">
        <v>25209</v>
      </c>
      <c r="U332" t="s">
        <v>8</v>
      </c>
      <c r="V332" s="1">
        <v>43995</v>
      </c>
      <c r="W332" t="s">
        <v>12</v>
      </c>
      <c r="X332" t="s">
        <v>1295</v>
      </c>
      <c r="Y332" t="s">
        <v>8</v>
      </c>
      <c r="Z332">
        <v>20</v>
      </c>
      <c r="AA33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33" spans="1:27" x14ac:dyDescent="0.3">
      <c r="A333" t="s">
        <v>839</v>
      </c>
      <c r="B333">
        <v>4768</v>
      </c>
      <c r="C333">
        <v>288</v>
      </c>
      <c r="D333">
        <f>IFERROR(tinder[[#This Row],[Tinder Opened]]/tinder[[#This Row],[Days on Tinder]],0)</f>
        <v>16.555555555555557</v>
      </c>
      <c r="E333">
        <f>tinder[[#This Row],[Engagement]]/MAX(tinder[Engagement])</f>
        <v>8.319374651032943E-2</v>
      </c>
      <c r="F33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33">
        <v>134</v>
      </c>
      <c r="H333">
        <f>IFERROR(tinder[[#This Row],[Conversations]]/tinder[[#This Row],[Tinder Opened]],0)</f>
        <v>2.8104026845637585E-2</v>
      </c>
      <c r="I333">
        <f>tinder[[#This Row],[Conversations]]/MAX(tinder[Conversations])</f>
        <v>1.0599588672678373E-2</v>
      </c>
      <c r="J333">
        <f>(tinder[[#This Row],[Norm Engagement]]*2)+(tinder[[#This Row],[Norm Swipes]]*1)+(tinder[[#This Row],[Norm Conversations]]*2)</f>
        <v>0.23114616971569801</v>
      </c>
      <c r="K33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33">
        <v>5</v>
      </c>
      <c r="M333">
        <v>1</v>
      </c>
      <c r="N333">
        <v>251</v>
      </c>
      <c r="O333">
        <v>1599</v>
      </c>
      <c r="P333">
        <v>1109</v>
      </c>
      <c r="Q333">
        <f>tinder[[#This Row],[All Swipes]]/MAX(tinder[All Swipes])</f>
        <v>4.3559499349682382E-2</v>
      </c>
      <c r="R333">
        <f>tinder[[#This Row],[Swipe Right (LIKE)]]+tinder[[#This Row],[Swipe Left (PASS)]]</f>
        <v>36974</v>
      </c>
      <c r="S333">
        <v>6477</v>
      </c>
      <c r="T333">
        <v>30497</v>
      </c>
      <c r="U333" t="s">
        <v>140</v>
      </c>
      <c r="V333" s="1">
        <v>43723</v>
      </c>
      <c r="W333" t="s">
        <v>12</v>
      </c>
      <c r="X333" t="s">
        <v>1295</v>
      </c>
      <c r="Y333" t="s">
        <v>263</v>
      </c>
      <c r="Z333">
        <v>23</v>
      </c>
      <c r="AA33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34" spans="1:27" x14ac:dyDescent="0.3">
      <c r="A334" t="s">
        <v>971</v>
      </c>
      <c r="B334">
        <v>7243</v>
      </c>
      <c r="C334">
        <v>438</v>
      </c>
      <c r="D334">
        <f>IFERROR(tinder[[#This Row],[Tinder Opened]]/tinder[[#This Row],[Days on Tinder]],0)</f>
        <v>16.536529680365298</v>
      </c>
      <c r="E334">
        <f>tinder[[#This Row],[Engagement]]/MAX(tinder[Engagement])</f>
        <v>8.3098139097313062E-2</v>
      </c>
      <c r="F33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34">
        <v>1205</v>
      </c>
      <c r="H334">
        <f>IFERROR(tinder[[#This Row],[Conversations]]/tinder[[#This Row],[Tinder Opened]],0)</f>
        <v>0.16636752726770676</v>
      </c>
      <c r="I334">
        <f>tinder[[#This Row],[Conversations]]/MAX(tinder[Conversations])</f>
        <v>9.5317196646100305E-2</v>
      </c>
      <c r="J334">
        <f>(tinder[[#This Row],[Norm Engagement]]*2)+(tinder[[#This Row],[Norm Swipes]]*1)+(tinder[[#This Row],[Norm Conversations]]*2)</f>
        <v>0.43556740594989057</v>
      </c>
      <c r="K33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34">
        <v>561</v>
      </c>
      <c r="M334">
        <v>137</v>
      </c>
      <c r="N334">
        <v>2523</v>
      </c>
      <c r="O334">
        <v>4053</v>
      </c>
      <c r="P334">
        <v>3468</v>
      </c>
      <c r="Q334">
        <f>tinder[[#This Row],[All Swipes]]/MAX(tinder[All Swipes])</f>
        <v>7.873673446306384E-2</v>
      </c>
      <c r="R334">
        <f>tinder[[#This Row],[Swipe Right (LIKE)]]+tinder[[#This Row],[Swipe Left (PASS)]]</f>
        <v>66833</v>
      </c>
      <c r="S334">
        <v>8814</v>
      </c>
      <c r="T334">
        <v>58019</v>
      </c>
      <c r="U334" t="s">
        <v>10</v>
      </c>
      <c r="V334" s="1">
        <v>43854</v>
      </c>
      <c r="W334" t="s">
        <v>12</v>
      </c>
      <c r="X334" t="s">
        <v>1295</v>
      </c>
      <c r="Y334" t="s">
        <v>8</v>
      </c>
      <c r="Z334">
        <v>19</v>
      </c>
      <c r="AA33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35" spans="1:27" x14ac:dyDescent="0.3">
      <c r="A335" t="s">
        <v>1088</v>
      </c>
      <c r="B335">
        <v>10375</v>
      </c>
      <c r="C335">
        <v>628</v>
      </c>
      <c r="D335">
        <f>IFERROR(tinder[[#This Row],[Tinder Opened]]/tinder[[#This Row],[Days on Tinder]],0)</f>
        <v>16.520700636942674</v>
      </c>
      <c r="E335">
        <f>tinder[[#This Row],[Engagement]]/MAX(tinder[Engagement])</f>
        <v>8.3018596165541081E-2</v>
      </c>
      <c r="F33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35">
        <v>554</v>
      </c>
      <c r="H335">
        <f>IFERROR(tinder[[#This Row],[Conversations]]/tinder[[#This Row],[Tinder Opened]],0)</f>
        <v>5.3397590361445785E-2</v>
      </c>
      <c r="I335">
        <f>tinder[[#This Row],[Conversations]]/MAX(tinder[Conversations])</f>
        <v>4.382218003480462E-2</v>
      </c>
      <c r="J335">
        <f>(tinder[[#This Row],[Norm Engagement]]*2)+(tinder[[#This Row],[Norm Swipes]]*1)+(tinder[[#This Row],[Norm Conversations]]*2)</f>
        <v>0.46737686445889953</v>
      </c>
      <c r="K33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35">
        <v>261</v>
      </c>
      <c r="M335">
        <v>8</v>
      </c>
      <c r="N335">
        <v>532</v>
      </c>
      <c r="O335">
        <v>3437</v>
      </c>
      <c r="P335">
        <v>3323</v>
      </c>
      <c r="Q335">
        <f>tinder[[#This Row],[All Swipes]]/MAX(tinder[All Swipes])</f>
        <v>0.21369531205820813</v>
      </c>
      <c r="R335">
        <f>tinder[[#This Row],[Swipe Right (LIKE)]]+tinder[[#This Row],[Swipe Left (PASS)]]</f>
        <v>181388</v>
      </c>
      <c r="S335">
        <v>45904</v>
      </c>
      <c r="T335">
        <v>135484</v>
      </c>
      <c r="U335" t="s">
        <v>8</v>
      </c>
      <c r="V335" s="1">
        <v>42993</v>
      </c>
      <c r="W335" t="s">
        <v>12</v>
      </c>
      <c r="X335" t="s">
        <v>1295</v>
      </c>
      <c r="Y335" t="s">
        <v>8</v>
      </c>
      <c r="Z335">
        <v>18</v>
      </c>
      <c r="AA33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36" spans="1:27" x14ac:dyDescent="0.3">
      <c r="A336" t="s">
        <v>766</v>
      </c>
      <c r="B336">
        <v>4102</v>
      </c>
      <c r="C336">
        <v>250</v>
      </c>
      <c r="D336">
        <f>IFERROR(tinder[[#This Row],[Tinder Opened]]/tinder[[#This Row],[Days on Tinder]],0)</f>
        <v>16.408000000000001</v>
      </c>
      <c r="E336">
        <f>tinder[[#This Row],[Engagement]]/MAX(tinder[Engagement])</f>
        <v>8.2452261306532673E-2</v>
      </c>
      <c r="F33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36">
        <v>203</v>
      </c>
      <c r="H336">
        <f>IFERROR(tinder[[#This Row],[Conversations]]/tinder[[#This Row],[Tinder Opened]],0)</f>
        <v>4.9488054607508533E-2</v>
      </c>
      <c r="I336">
        <f>tinder[[#This Row],[Conversations]]/MAX(tinder[Conversations])</f>
        <v>1.6057585825027684E-2</v>
      </c>
      <c r="J336">
        <f>(tinder[[#This Row],[Norm Engagement]]*2)+(tinder[[#This Row],[Norm Swipes]]*1)+(tinder[[#This Row],[Norm Conversations]]*2)</f>
        <v>0.23302514185129058</v>
      </c>
      <c r="K33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36">
        <v>75</v>
      </c>
      <c r="M336">
        <v>10</v>
      </c>
      <c r="N336">
        <v>297</v>
      </c>
      <c r="O336">
        <v>852</v>
      </c>
      <c r="P336">
        <v>658</v>
      </c>
      <c r="Q336">
        <f>tinder[[#This Row],[All Swipes]]/MAX(tinder[All Swipes])</f>
        <v>3.6005447588169877E-2</v>
      </c>
      <c r="R336">
        <f>tinder[[#This Row],[Swipe Right (LIKE)]]+tinder[[#This Row],[Swipe Left (PASS)]]</f>
        <v>30562</v>
      </c>
      <c r="S336">
        <v>17739</v>
      </c>
      <c r="T336">
        <v>12823</v>
      </c>
      <c r="U336" t="s">
        <v>8</v>
      </c>
      <c r="V336" s="1">
        <v>43820</v>
      </c>
      <c r="W336" t="s">
        <v>12</v>
      </c>
      <c r="X336" t="s">
        <v>1295</v>
      </c>
      <c r="Y336" t="s">
        <v>8</v>
      </c>
      <c r="Z336">
        <v>19</v>
      </c>
      <c r="AA33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37" spans="1:27" x14ac:dyDescent="0.3">
      <c r="A337" t="s">
        <v>809</v>
      </c>
      <c r="B337">
        <v>1690</v>
      </c>
      <c r="C337">
        <v>103</v>
      </c>
      <c r="D337">
        <f>IFERROR(tinder[[#This Row],[Tinder Opened]]/tinder[[#This Row],[Days on Tinder]],0)</f>
        <v>16.407766990291261</v>
      </c>
      <c r="E337">
        <f>tinder[[#This Row],[Engagement]]/MAX(tinder[Engagement])</f>
        <v>8.2451090403473676E-2</v>
      </c>
      <c r="F33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37">
        <v>55</v>
      </c>
      <c r="H337">
        <f>IFERROR(tinder[[#This Row],[Conversations]]/tinder[[#This Row],[Tinder Opened]],0)</f>
        <v>3.2544378698224852E-2</v>
      </c>
      <c r="I337">
        <f>tinder[[#This Row],[Conversations]]/MAX(tinder[Conversations])</f>
        <v>4.3505774402784365E-3</v>
      </c>
      <c r="J337">
        <f>(tinder[[#This Row],[Norm Engagement]]*2)+(tinder[[#This Row],[Norm Swipes]]*1)+(tinder[[#This Row],[Norm Conversations]]*2)</f>
        <v>0.1969629330560741</v>
      </c>
      <c r="K33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37">
        <v>14</v>
      </c>
      <c r="M337">
        <v>2</v>
      </c>
      <c r="N337">
        <v>93</v>
      </c>
      <c r="O337">
        <v>963</v>
      </c>
      <c r="P337">
        <v>697</v>
      </c>
      <c r="Q337">
        <f>tinder[[#This Row],[All Swipes]]/MAX(tinder[All Swipes])</f>
        <v>2.3359597368569868E-2</v>
      </c>
      <c r="R337">
        <f>tinder[[#This Row],[Swipe Right (LIKE)]]+tinder[[#This Row],[Swipe Left (PASS)]]</f>
        <v>19828</v>
      </c>
      <c r="S337">
        <v>1211</v>
      </c>
      <c r="T337">
        <v>18617</v>
      </c>
      <c r="U337" t="s">
        <v>8</v>
      </c>
      <c r="V337" s="1">
        <v>44186</v>
      </c>
      <c r="W337" t="s">
        <v>12</v>
      </c>
      <c r="X337" t="s">
        <v>1295</v>
      </c>
      <c r="Y337" t="s">
        <v>8</v>
      </c>
      <c r="Z337">
        <v>21</v>
      </c>
      <c r="AA33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38" spans="1:27" x14ac:dyDescent="0.3">
      <c r="A338" t="s">
        <v>246</v>
      </c>
      <c r="B338">
        <v>2042</v>
      </c>
      <c r="C338">
        <v>125</v>
      </c>
      <c r="D338">
        <f>IFERROR(tinder[[#This Row],[Tinder Opened]]/tinder[[#This Row],[Days on Tinder]],0)</f>
        <v>16.335999999999999</v>
      </c>
      <c r="E338">
        <f>tinder[[#This Row],[Engagement]]/MAX(tinder[Engagement])</f>
        <v>8.2090452261306526E-2</v>
      </c>
      <c r="F33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38">
        <v>129</v>
      </c>
      <c r="H338">
        <f>IFERROR(tinder[[#This Row],[Conversations]]/tinder[[#This Row],[Tinder Opened]],0)</f>
        <v>6.3173359451518113E-2</v>
      </c>
      <c r="I338">
        <f>tinder[[#This Row],[Conversations]]/MAX(tinder[Conversations])</f>
        <v>1.020408163265306E-2</v>
      </c>
      <c r="J338">
        <f>(tinder[[#This Row],[Norm Engagement]]*2)+(tinder[[#This Row],[Norm Swipes]]*1)+(tinder[[#This Row],[Norm Conversations]]*2)</f>
        <v>0.19931664125496032</v>
      </c>
      <c r="K33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38">
        <v>12</v>
      </c>
      <c r="M338">
        <v>39</v>
      </c>
      <c r="N338">
        <v>275</v>
      </c>
      <c r="O338">
        <v>1224</v>
      </c>
      <c r="P338">
        <v>1263</v>
      </c>
      <c r="Q338">
        <f>tinder[[#This Row],[All Swipes]]/MAX(tinder[All Swipes])</f>
        <v>1.472757346704115E-2</v>
      </c>
      <c r="R338">
        <f>tinder[[#This Row],[Swipe Right (LIKE)]]+tinder[[#This Row],[Swipe Left (PASS)]]</f>
        <v>12501</v>
      </c>
      <c r="S338">
        <v>761</v>
      </c>
      <c r="T338">
        <v>11740</v>
      </c>
      <c r="U338" t="s">
        <v>8</v>
      </c>
      <c r="V338" s="1">
        <v>44031</v>
      </c>
      <c r="W338" t="s">
        <v>12</v>
      </c>
      <c r="X338" t="s">
        <v>1296</v>
      </c>
      <c r="Y338" t="s">
        <v>8</v>
      </c>
      <c r="Z338">
        <v>23</v>
      </c>
      <c r="AA33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39" spans="1:27" x14ac:dyDescent="0.3">
      <c r="A339" t="s">
        <v>619</v>
      </c>
      <c r="B339">
        <v>424</v>
      </c>
      <c r="C339">
        <v>26</v>
      </c>
      <c r="D339">
        <f>IFERROR(tinder[[#This Row],[Tinder Opened]]/tinder[[#This Row],[Days on Tinder]],0)</f>
        <v>16.307692307692307</v>
      </c>
      <c r="E339">
        <f>tinder[[#This Row],[Engagement]]/MAX(tinder[Engagement])</f>
        <v>8.1948202551217625E-2</v>
      </c>
      <c r="F33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39">
        <v>1</v>
      </c>
      <c r="H339">
        <f>IFERROR(tinder[[#This Row],[Conversations]]/tinder[[#This Row],[Tinder Opened]],0)</f>
        <v>2.3584905660377358E-3</v>
      </c>
      <c r="I339">
        <f>tinder[[#This Row],[Conversations]]/MAX(tinder[Conversations])</f>
        <v>7.9101408005062489E-5</v>
      </c>
      <c r="J339">
        <f>(tinder[[#This Row],[Norm Engagement]]*2)+(tinder[[#This Row],[Norm Swipes]]*1)+(tinder[[#This Row],[Norm Conversations]]*2)</f>
        <v>0.167974185306242</v>
      </c>
      <c r="K33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39">
        <v>0</v>
      </c>
      <c r="M339">
        <v>0</v>
      </c>
      <c r="N339">
        <v>1</v>
      </c>
      <c r="O339">
        <v>16</v>
      </c>
      <c r="P339">
        <v>20</v>
      </c>
      <c r="Q339">
        <f>tinder[[#This Row],[All Swipes]]/MAX(tinder[All Swipes])</f>
        <v>3.9195773877966486E-3</v>
      </c>
      <c r="R339">
        <f>tinder[[#This Row],[Swipe Right (LIKE)]]+tinder[[#This Row],[Swipe Left (PASS)]]</f>
        <v>3327</v>
      </c>
      <c r="S339">
        <v>66</v>
      </c>
      <c r="T339">
        <v>3261</v>
      </c>
      <c r="U339" t="s">
        <v>8</v>
      </c>
      <c r="V339" s="1">
        <v>44264</v>
      </c>
      <c r="W339" t="s">
        <v>12</v>
      </c>
      <c r="X339" t="s">
        <v>1295</v>
      </c>
      <c r="Y339" t="s">
        <v>8</v>
      </c>
      <c r="Z339">
        <v>24</v>
      </c>
      <c r="AA33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40" spans="1:27" x14ac:dyDescent="0.3">
      <c r="A340" t="s">
        <v>82</v>
      </c>
      <c r="B340">
        <v>2215</v>
      </c>
      <c r="C340">
        <v>136</v>
      </c>
      <c r="D340">
        <f>IFERROR(tinder[[#This Row],[Tinder Opened]]/tinder[[#This Row],[Days on Tinder]],0)</f>
        <v>16.286764705882351</v>
      </c>
      <c r="E340">
        <f>tinder[[#This Row],[Engagement]]/MAX(tinder[Engagement])</f>
        <v>8.1843038723026895E-2</v>
      </c>
      <c r="F34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40">
        <v>36</v>
      </c>
      <c r="H340">
        <f>IFERROR(tinder[[#This Row],[Conversations]]/tinder[[#This Row],[Tinder Opened]],0)</f>
        <v>1.6252821670428894E-2</v>
      </c>
      <c r="I340">
        <f>tinder[[#This Row],[Conversations]]/MAX(tinder[Conversations])</f>
        <v>2.8476506881822496E-3</v>
      </c>
      <c r="J340">
        <f>(tinder[[#This Row],[Norm Engagement]]*2)+(tinder[[#This Row],[Norm Swipes]]*1)+(tinder[[#This Row],[Norm Conversations]]*2)</f>
        <v>0.20854063123990335</v>
      </c>
      <c r="K34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40">
        <v>7</v>
      </c>
      <c r="M340">
        <v>0</v>
      </c>
      <c r="N340">
        <v>69</v>
      </c>
      <c r="O340">
        <v>896</v>
      </c>
      <c r="P340">
        <v>1108</v>
      </c>
      <c r="Q340">
        <f>tinder[[#This Row],[All Swipes]]/MAX(tinder[All Swipes])</f>
        <v>3.9159252417485059E-2</v>
      </c>
      <c r="R340">
        <f>tinder[[#This Row],[Swipe Right (LIKE)]]+tinder[[#This Row],[Swipe Left (PASS)]]</f>
        <v>33239</v>
      </c>
      <c r="S340">
        <v>4359</v>
      </c>
      <c r="T340">
        <v>28880</v>
      </c>
      <c r="U340" t="s">
        <v>8</v>
      </c>
      <c r="V340" s="1">
        <v>43489</v>
      </c>
      <c r="W340" t="s">
        <v>12</v>
      </c>
      <c r="X340" t="s">
        <v>1295</v>
      </c>
      <c r="Y340" t="s">
        <v>8</v>
      </c>
      <c r="Z340">
        <v>26</v>
      </c>
      <c r="AA34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41" spans="1:27" x14ac:dyDescent="0.3">
      <c r="A341" t="s">
        <v>682</v>
      </c>
      <c r="B341">
        <v>2195</v>
      </c>
      <c r="C341">
        <v>135</v>
      </c>
      <c r="D341">
        <f>IFERROR(tinder[[#This Row],[Tinder Opened]]/tinder[[#This Row],[Days on Tinder]],0)</f>
        <v>16.25925925925926</v>
      </c>
      <c r="E341">
        <f>tinder[[#This Row],[Engagement]]/MAX(tinder[Engagement])</f>
        <v>8.1704820398287734E-2</v>
      </c>
      <c r="F34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41">
        <v>71</v>
      </c>
      <c r="H341">
        <f>IFERROR(tinder[[#This Row],[Conversations]]/tinder[[#This Row],[Tinder Opened]],0)</f>
        <v>3.234624145785877E-2</v>
      </c>
      <c r="I341">
        <f>tinder[[#This Row],[Conversations]]/MAX(tinder[Conversations])</f>
        <v>5.6161999683594366E-3</v>
      </c>
      <c r="J341">
        <f>(tinder[[#This Row],[Norm Engagement]]*2)+(tinder[[#This Row],[Norm Swipes]]*1)+(tinder[[#This Row],[Norm Conversations]]*2)</f>
        <v>0.18813730943699455</v>
      </c>
      <c r="K34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41">
        <v>21</v>
      </c>
      <c r="M341">
        <v>1</v>
      </c>
      <c r="N341">
        <v>162</v>
      </c>
      <c r="O341">
        <v>607</v>
      </c>
      <c r="P341">
        <v>635</v>
      </c>
      <c r="Q341">
        <f>tinder[[#This Row],[All Swipes]]/MAX(tinder[All Swipes])</f>
        <v>1.3495268703700212E-2</v>
      </c>
      <c r="R341">
        <f>tinder[[#This Row],[Swipe Right (LIKE)]]+tinder[[#This Row],[Swipe Left (PASS)]]</f>
        <v>11455</v>
      </c>
      <c r="S341">
        <v>2919</v>
      </c>
      <c r="T341">
        <v>8536</v>
      </c>
      <c r="U341" t="s">
        <v>8</v>
      </c>
      <c r="V341" s="1">
        <v>44157</v>
      </c>
      <c r="W341" t="s">
        <v>12</v>
      </c>
      <c r="X341" t="s">
        <v>1295</v>
      </c>
      <c r="Y341" t="s">
        <v>683</v>
      </c>
      <c r="Z341">
        <v>22</v>
      </c>
      <c r="AA34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42" spans="1:27" x14ac:dyDescent="0.3">
      <c r="A342" t="s">
        <v>174</v>
      </c>
      <c r="B342">
        <v>1463</v>
      </c>
      <c r="C342">
        <v>90</v>
      </c>
      <c r="D342">
        <f>IFERROR(tinder[[#This Row],[Tinder Opened]]/tinder[[#This Row],[Days on Tinder]],0)</f>
        <v>16.255555555555556</v>
      </c>
      <c r="E342">
        <f>tinder[[#This Row],[Engagement]]/MAX(tinder[Engagement])</f>
        <v>8.1686208821887221E-2</v>
      </c>
      <c r="F34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42">
        <v>56</v>
      </c>
      <c r="H342">
        <f>IFERROR(tinder[[#This Row],[Conversations]]/tinder[[#This Row],[Tinder Opened]],0)</f>
        <v>3.8277511961722487E-2</v>
      </c>
      <c r="I342">
        <f>tinder[[#This Row],[Conversations]]/MAX(tinder[Conversations])</f>
        <v>4.4296788482834993E-3</v>
      </c>
      <c r="J342">
        <f>(tinder[[#This Row],[Norm Engagement]]*2)+(tinder[[#This Row],[Norm Swipes]]*1)+(tinder[[#This Row],[Norm Conversations]]*2)</f>
        <v>0.18799137459388993</v>
      </c>
      <c r="K34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42">
        <v>7</v>
      </c>
      <c r="M342">
        <v>11</v>
      </c>
      <c r="N342">
        <v>141</v>
      </c>
      <c r="O342">
        <v>366</v>
      </c>
      <c r="P342">
        <v>436</v>
      </c>
      <c r="Q342">
        <f>tinder[[#This Row],[All Swipes]]/MAX(tinder[All Swipes])</f>
        <v>1.5759599253548473E-2</v>
      </c>
      <c r="R342">
        <f>tinder[[#This Row],[Swipe Right (LIKE)]]+tinder[[#This Row],[Swipe Left (PASS)]]</f>
        <v>13377</v>
      </c>
      <c r="S342">
        <v>326</v>
      </c>
      <c r="T342">
        <v>13051</v>
      </c>
      <c r="U342" t="s">
        <v>10</v>
      </c>
      <c r="V342" s="1">
        <v>43756</v>
      </c>
      <c r="W342" t="s">
        <v>12</v>
      </c>
      <c r="X342" t="s">
        <v>1296</v>
      </c>
      <c r="Y342" t="s">
        <v>8</v>
      </c>
      <c r="Z342">
        <v>24</v>
      </c>
      <c r="AA34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43" spans="1:27" x14ac:dyDescent="0.3">
      <c r="A343" t="s">
        <v>871</v>
      </c>
      <c r="B343">
        <v>11068</v>
      </c>
      <c r="C343">
        <v>682</v>
      </c>
      <c r="D343">
        <f>IFERROR(tinder[[#This Row],[Tinder Opened]]/tinder[[#This Row],[Days on Tinder]],0)</f>
        <v>16.228739002932553</v>
      </c>
      <c r="E343">
        <f>tinder[[#This Row],[Engagement]]/MAX(tinder[Engagement])</f>
        <v>8.1551452276042977E-2</v>
      </c>
      <c r="F34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43">
        <v>215</v>
      </c>
      <c r="H343">
        <f>IFERROR(tinder[[#This Row],[Conversations]]/tinder[[#This Row],[Tinder Opened]],0)</f>
        <v>1.942537043729671E-2</v>
      </c>
      <c r="I343">
        <f>tinder[[#This Row],[Conversations]]/MAX(tinder[Conversations])</f>
        <v>1.7006802721088437E-2</v>
      </c>
      <c r="J343">
        <f>(tinder[[#This Row],[Norm Engagement]]*2)+(tinder[[#This Row],[Norm Swipes]]*1)+(tinder[[#This Row],[Norm Conversations]]*2)</f>
        <v>0.37251376923537044</v>
      </c>
      <c r="K34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43">
        <v>84</v>
      </c>
      <c r="M343">
        <v>3</v>
      </c>
      <c r="N343">
        <v>346</v>
      </c>
      <c r="O343">
        <v>1779</v>
      </c>
      <c r="P343">
        <v>1739</v>
      </c>
      <c r="Q343">
        <f>tinder[[#This Row],[All Swipes]]/MAX(tinder[All Swipes])</f>
        <v>0.17539725924110761</v>
      </c>
      <c r="R343">
        <f>tinder[[#This Row],[Swipe Right (LIKE)]]+tinder[[#This Row],[Swipe Left (PASS)]]</f>
        <v>148880</v>
      </c>
      <c r="S343">
        <v>53762</v>
      </c>
      <c r="T343">
        <v>95118</v>
      </c>
      <c r="U343" t="s">
        <v>8</v>
      </c>
      <c r="V343" s="1">
        <v>43242</v>
      </c>
      <c r="W343" t="s">
        <v>12</v>
      </c>
      <c r="X343" t="s">
        <v>1295</v>
      </c>
      <c r="Y343" t="s">
        <v>8</v>
      </c>
      <c r="Z343">
        <v>20</v>
      </c>
      <c r="AA34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44" spans="1:27" x14ac:dyDescent="0.3">
      <c r="A344" t="s">
        <v>951</v>
      </c>
      <c r="B344">
        <v>1087</v>
      </c>
      <c r="C344">
        <v>67</v>
      </c>
      <c r="D344">
        <f>IFERROR(tinder[[#This Row],[Tinder Opened]]/tinder[[#This Row],[Days on Tinder]],0)</f>
        <v>16.223880597014926</v>
      </c>
      <c r="E344">
        <f>tinder[[#This Row],[Engagement]]/MAX(tinder[Engagement])</f>
        <v>8.15270381759544E-2</v>
      </c>
      <c r="F34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44">
        <v>34</v>
      </c>
      <c r="H344">
        <f>IFERROR(tinder[[#This Row],[Conversations]]/tinder[[#This Row],[Tinder Opened]],0)</f>
        <v>3.1278748850046001E-2</v>
      </c>
      <c r="I344">
        <f>tinder[[#This Row],[Conversations]]/MAX(tinder[Conversations])</f>
        <v>2.6894478721721246E-3</v>
      </c>
      <c r="J344">
        <f>(tinder[[#This Row],[Norm Engagement]]*2)+(tinder[[#This Row],[Norm Swipes]]*1)+(tinder[[#This Row],[Norm Conversations]]*2)</f>
        <v>0.17571134573671224</v>
      </c>
      <c r="K34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44">
        <v>8</v>
      </c>
      <c r="M344">
        <v>1</v>
      </c>
      <c r="N344">
        <v>51</v>
      </c>
      <c r="O344">
        <v>590</v>
      </c>
      <c r="P344">
        <v>445</v>
      </c>
      <c r="Q344">
        <f>tinder[[#This Row],[All Swipes]]/MAX(tinder[All Swipes])</f>
        <v>7.2783736404591808E-3</v>
      </c>
      <c r="R344">
        <f>tinder[[#This Row],[Swipe Right (LIKE)]]+tinder[[#This Row],[Swipe Left (PASS)]]</f>
        <v>6178</v>
      </c>
      <c r="S344">
        <v>2011</v>
      </c>
      <c r="T344">
        <v>4167</v>
      </c>
      <c r="U344" t="s">
        <v>10</v>
      </c>
      <c r="V344" s="1">
        <v>43701</v>
      </c>
      <c r="W344" t="s">
        <v>12</v>
      </c>
      <c r="X344" t="s">
        <v>1295</v>
      </c>
      <c r="Y344" t="s">
        <v>8</v>
      </c>
      <c r="Z344">
        <v>19</v>
      </c>
      <c r="AA34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45" spans="1:27" x14ac:dyDescent="0.3">
      <c r="A345" t="s">
        <v>739</v>
      </c>
      <c r="B345">
        <v>1703</v>
      </c>
      <c r="C345">
        <v>105</v>
      </c>
      <c r="D345">
        <f>IFERROR(tinder[[#This Row],[Tinder Opened]]/tinder[[#This Row],[Days on Tinder]],0)</f>
        <v>16.219047619047618</v>
      </c>
      <c r="E345">
        <f>tinder[[#This Row],[Engagement]]/MAX(tinder[Engagement])</f>
        <v>8.1502751854510641E-2</v>
      </c>
      <c r="F34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45">
        <v>19</v>
      </c>
      <c r="H345">
        <f>IFERROR(tinder[[#This Row],[Conversations]]/tinder[[#This Row],[Tinder Opened]],0)</f>
        <v>1.1156782149148562E-2</v>
      </c>
      <c r="I345">
        <f>tinder[[#This Row],[Conversations]]/MAX(tinder[Conversations])</f>
        <v>1.5029267520961873E-3</v>
      </c>
      <c r="J345">
        <f>(tinder[[#This Row],[Norm Engagement]]*2)+(tinder[[#This Row],[Norm Swipes]]*1)+(tinder[[#This Row],[Norm Conversations]]*2)</f>
        <v>0.17236373511372449</v>
      </c>
      <c r="K34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45">
        <v>0</v>
      </c>
      <c r="M345">
        <v>0</v>
      </c>
      <c r="N345">
        <v>17</v>
      </c>
      <c r="O345">
        <v>389</v>
      </c>
      <c r="P345">
        <v>305</v>
      </c>
      <c r="Q345">
        <f>tinder[[#This Row],[All Swipes]]/MAX(tinder[All Swipes])</f>
        <v>6.3523779005108293E-3</v>
      </c>
      <c r="R345">
        <f>tinder[[#This Row],[Swipe Right (LIKE)]]+tinder[[#This Row],[Swipe Left (PASS)]]</f>
        <v>5392</v>
      </c>
      <c r="S345">
        <v>2131</v>
      </c>
      <c r="T345">
        <v>3261</v>
      </c>
      <c r="U345" t="s">
        <v>75</v>
      </c>
      <c r="V345" s="1">
        <v>44165</v>
      </c>
      <c r="W345" t="s">
        <v>12</v>
      </c>
      <c r="X345" t="s">
        <v>1295</v>
      </c>
      <c r="Y345" t="s">
        <v>77</v>
      </c>
      <c r="Z345">
        <v>20</v>
      </c>
      <c r="AA34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46" spans="1:27" x14ac:dyDescent="0.3">
      <c r="A346" t="s">
        <v>1106</v>
      </c>
      <c r="B346">
        <v>6896</v>
      </c>
      <c r="C346">
        <v>427</v>
      </c>
      <c r="D346">
        <f>IFERROR(tinder[[#This Row],[Tinder Opened]]/tinder[[#This Row],[Days on Tinder]],0)</f>
        <v>16.149882903981265</v>
      </c>
      <c r="E346">
        <f>tinder[[#This Row],[Engagement]]/MAX(tinder[Engagement])</f>
        <v>8.1155190472267658E-2</v>
      </c>
      <c r="F34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46">
        <v>1331</v>
      </c>
      <c r="H346">
        <f>IFERROR(tinder[[#This Row],[Conversations]]/tinder[[#This Row],[Tinder Opened]],0)</f>
        <v>0.19301044083526683</v>
      </c>
      <c r="I346">
        <f>tinder[[#This Row],[Conversations]]/MAX(tinder[Conversations])</f>
        <v>0.10528397405473817</v>
      </c>
      <c r="J346">
        <f>(tinder[[#This Row],[Norm Engagement]]*2)+(tinder[[#This Row],[Norm Swipes]]*1)+(tinder[[#This Row],[Norm Conversations]]*2)</f>
        <v>0.45284972450367333</v>
      </c>
      <c r="K34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46">
        <v>477</v>
      </c>
      <c r="M346">
        <v>348</v>
      </c>
      <c r="N346">
        <v>1900</v>
      </c>
      <c r="O346">
        <v>5947</v>
      </c>
      <c r="P346">
        <v>8367</v>
      </c>
      <c r="Q346">
        <f>tinder[[#This Row],[All Swipes]]/MAX(tinder[All Swipes])</f>
        <v>7.9971395449661642E-2</v>
      </c>
      <c r="R346">
        <f>tinder[[#This Row],[Swipe Right (LIKE)]]+tinder[[#This Row],[Swipe Left (PASS)]]</f>
        <v>67881</v>
      </c>
      <c r="S346">
        <v>4190</v>
      </c>
      <c r="T346">
        <v>63691</v>
      </c>
      <c r="U346" t="s">
        <v>61</v>
      </c>
      <c r="V346" s="1">
        <v>43663</v>
      </c>
      <c r="W346" t="s">
        <v>12</v>
      </c>
      <c r="X346" t="s">
        <v>1296</v>
      </c>
      <c r="Y346" t="s">
        <v>1107</v>
      </c>
      <c r="Z346">
        <v>20</v>
      </c>
      <c r="AA34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47" spans="1:27" x14ac:dyDescent="0.3">
      <c r="A347" t="s">
        <v>172</v>
      </c>
      <c r="B347">
        <v>6459</v>
      </c>
      <c r="C347">
        <v>400</v>
      </c>
      <c r="D347">
        <f>IFERROR(tinder[[#This Row],[Tinder Opened]]/tinder[[#This Row],[Days on Tinder]],0)</f>
        <v>16.147500000000001</v>
      </c>
      <c r="E347">
        <f>tinder[[#This Row],[Engagement]]/MAX(tinder[Engagement])</f>
        <v>8.1143216080402009E-2</v>
      </c>
      <c r="F34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47">
        <v>396</v>
      </c>
      <c r="H347">
        <f>IFERROR(tinder[[#This Row],[Conversations]]/tinder[[#This Row],[Tinder Opened]],0)</f>
        <v>6.1309800278680909E-2</v>
      </c>
      <c r="I347">
        <f>tinder[[#This Row],[Conversations]]/MAX(tinder[Conversations])</f>
        <v>3.1324157570004743E-2</v>
      </c>
      <c r="J347">
        <f>(tinder[[#This Row],[Norm Engagement]]*2)+(tinder[[#This Row],[Norm Swipes]]*1)+(tinder[[#This Row],[Norm Conversations]]*2)</f>
        <v>0.28073129213502968</v>
      </c>
      <c r="K34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47">
        <v>165</v>
      </c>
      <c r="M347">
        <v>1</v>
      </c>
      <c r="N347">
        <v>369</v>
      </c>
      <c r="O347">
        <v>5876</v>
      </c>
      <c r="P347">
        <v>5753</v>
      </c>
      <c r="Q347">
        <f>tinder[[#This Row],[All Swipes]]/MAX(tinder[All Swipes])</f>
        <v>5.579654483421613E-2</v>
      </c>
      <c r="R347">
        <f>tinder[[#This Row],[Swipe Right (LIKE)]]+tinder[[#This Row],[Swipe Left (PASS)]]</f>
        <v>47361</v>
      </c>
      <c r="S347">
        <v>30588</v>
      </c>
      <c r="T347">
        <v>16773</v>
      </c>
      <c r="U347" t="s">
        <v>45</v>
      </c>
      <c r="V347" s="1">
        <v>43892</v>
      </c>
      <c r="W347" t="s">
        <v>12</v>
      </c>
      <c r="X347" t="s">
        <v>1295</v>
      </c>
      <c r="Y347" t="s">
        <v>173</v>
      </c>
      <c r="Z347">
        <v>22</v>
      </c>
      <c r="AA34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48" spans="1:27" x14ac:dyDescent="0.3">
      <c r="A348" t="s">
        <v>1031</v>
      </c>
      <c r="B348">
        <v>8122</v>
      </c>
      <c r="C348">
        <v>503</v>
      </c>
      <c r="D348">
        <f>IFERROR(tinder[[#This Row],[Tinder Opened]]/tinder[[#This Row],[Days on Tinder]],0)</f>
        <v>16.147117296222664</v>
      </c>
      <c r="E348">
        <f>tinder[[#This Row],[Engagement]]/MAX(tinder[Engagement])</f>
        <v>8.1141292945842533E-2</v>
      </c>
      <c r="F34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48">
        <v>286</v>
      </c>
      <c r="H348">
        <f>IFERROR(tinder[[#This Row],[Conversations]]/tinder[[#This Row],[Tinder Opened]],0)</f>
        <v>3.5213001723713368E-2</v>
      </c>
      <c r="I348">
        <f>tinder[[#This Row],[Conversations]]/MAX(tinder[Conversations])</f>
        <v>2.2623002689447873E-2</v>
      </c>
      <c r="J348">
        <f>(tinder[[#This Row],[Norm Engagement]]*2)+(tinder[[#This Row],[Norm Swipes]]*1)+(tinder[[#This Row],[Norm Conversations]]*2)</f>
        <v>0.29688600206396826</v>
      </c>
      <c r="K34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48">
        <v>117</v>
      </c>
      <c r="M348">
        <v>1</v>
      </c>
      <c r="N348">
        <v>221</v>
      </c>
      <c r="O348">
        <v>6113</v>
      </c>
      <c r="P348">
        <v>5419</v>
      </c>
      <c r="Q348">
        <f>tinder[[#This Row],[All Swipes]]/MAX(tinder[All Swipes])</f>
        <v>8.9357410793387493E-2</v>
      </c>
      <c r="R348">
        <f>tinder[[#This Row],[Swipe Right (LIKE)]]+tinder[[#This Row],[Swipe Left (PASS)]]</f>
        <v>75848</v>
      </c>
      <c r="S348">
        <v>8151</v>
      </c>
      <c r="T348">
        <v>67697</v>
      </c>
      <c r="U348" t="s">
        <v>25</v>
      </c>
      <c r="V348" s="1">
        <v>43140</v>
      </c>
      <c r="W348" t="s">
        <v>12</v>
      </c>
      <c r="X348" t="s">
        <v>1295</v>
      </c>
      <c r="Y348" t="s">
        <v>8</v>
      </c>
      <c r="Z348">
        <v>26</v>
      </c>
      <c r="AA34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49" spans="1:27" x14ac:dyDescent="0.3">
      <c r="A349" t="s">
        <v>1154</v>
      </c>
      <c r="B349">
        <v>17243</v>
      </c>
      <c r="C349">
        <v>1069</v>
      </c>
      <c r="D349">
        <f>IFERROR(tinder[[#This Row],[Tinder Opened]]/tinder[[#This Row],[Days on Tinder]],0)</f>
        <v>16.130028063610851</v>
      </c>
      <c r="E349">
        <f>tinder[[#This Row],[Engagement]]/MAX(tinder[Engagement])</f>
        <v>8.1055417405079655E-2</v>
      </c>
      <c r="F34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49">
        <v>238</v>
      </c>
      <c r="H349">
        <f>IFERROR(tinder[[#This Row],[Conversations]]/tinder[[#This Row],[Tinder Opened]],0)</f>
        <v>1.3802702545960679E-2</v>
      </c>
      <c r="I349">
        <f>tinder[[#This Row],[Conversations]]/MAX(tinder[Conversations])</f>
        <v>1.8826135105204873E-2</v>
      </c>
      <c r="J349">
        <f>(tinder[[#This Row],[Norm Engagement]]*2)+(tinder[[#This Row],[Norm Swipes]]*1)+(tinder[[#This Row],[Norm Conversations]]*2)</f>
        <v>0.46244312047739361</v>
      </c>
      <c r="K34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49">
        <v>58</v>
      </c>
      <c r="M349">
        <v>3</v>
      </c>
      <c r="N349">
        <v>233</v>
      </c>
      <c r="O349">
        <v>2998</v>
      </c>
      <c r="P349">
        <v>2657</v>
      </c>
      <c r="Q349">
        <f>tinder[[#This Row],[All Swipes]]/MAX(tinder[All Swipes])</f>
        <v>0.26268001545682457</v>
      </c>
      <c r="R349">
        <f>tinder[[#This Row],[Swipe Right (LIKE)]]+tinder[[#This Row],[Swipe Left (PASS)]]</f>
        <v>222967</v>
      </c>
      <c r="S349">
        <v>66484</v>
      </c>
      <c r="T349">
        <v>156483</v>
      </c>
      <c r="U349" t="s">
        <v>10</v>
      </c>
      <c r="V349" s="1">
        <v>42945</v>
      </c>
      <c r="W349" t="s">
        <v>12</v>
      </c>
      <c r="X349" t="s">
        <v>1295</v>
      </c>
      <c r="Y349" t="s">
        <v>1155</v>
      </c>
      <c r="Z349">
        <v>18</v>
      </c>
      <c r="AA34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50" spans="1:27" x14ac:dyDescent="0.3">
      <c r="A350" t="s">
        <v>887</v>
      </c>
      <c r="B350">
        <v>6772</v>
      </c>
      <c r="C350">
        <v>420</v>
      </c>
      <c r="D350">
        <f>IFERROR(tinder[[#This Row],[Tinder Opened]]/tinder[[#This Row],[Days on Tinder]],0)</f>
        <v>16.123809523809523</v>
      </c>
      <c r="E350">
        <f>tinder[[#This Row],[Engagement]]/MAX(tinder[Engagement])</f>
        <v>8.1024168461354393E-2</v>
      </c>
      <c r="F35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50">
        <v>65</v>
      </c>
      <c r="H350">
        <f>IFERROR(tinder[[#This Row],[Conversations]]/tinder[[#This Row],[Tinder Opened]],0)</f>
        <v>9.5983461311281749E-3</v>
      </c>
      <c r="I350">
        <f>tinder[[#This Row],[Conversations]]/MAX(tinder[Conversations])</f>
        <v>5.141591520329062E-3</v>
      </c>
      <c r="J350">
        <f>(tinder[[#This Row],[Norm Engagement]]*2)+(tinder[[#This Row],[Norm Swipes]]*1)+(tinder[[#This Row],[Norm Conversations]]*2)</f>
        <v>0.1819295954002107</v>
      </c>
      <c r="K35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50">
        <v>18</v>
      </c>
      <c r="M350">
        <v>0</v>
      </c>
      <c r="N350">
        <v>253</v>
      </c>
      <c r="O350">
        <v>706</v>
      </c>
      <c r="P350">
        <v>1100</v>
      </c>
      <c r="Q350">
        <f>tinder[[#This Row],[All Swipes]]/MAX(tinder[All Swipes])</f>
        <v>9.5980754368437914E-3</v>
      </c>
      <c r="R350">
        <f>tinder[[#This Row],[Swipe Right (LIKE)]]+tinder[[#This Row],[Swipe Left (PASS)]]</f>
        <v>8147</v>
      </c>
      <c r="S350">
        <v>2827</v>
      </c>
      <c r="T350">
        <v>5320</v>
      </c>
      <c r="U350" t="s">
        <v>88</v>
      </c>
      <c r="V350" s="1">
        <v>43672</v>
      </c>
      <c r="W350" t="s">
        <v>12</v>
      </c>
      <c r="X350" t="s">
        <v>1295</v>
      </c>
      <c r="Y350" t="s">
        <v>8</v>
      </c>
      <c r="Z350">
        <v>30</v>
      </c>
      <c r="AA35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51" spans="1:27" x14ac:dyDescent="0.3">
      <c r="A351" t="s">
        <v>644</v>
      </c>
      <c r="B351">
        <v>2851</v>
      </c>
      <c r="C351">
        <v>177</v>
      </c>
      <c r="D351">
        <f>IFERROR(tinder[[#This Row],[Tinder Opened]]/tinder[[#This Row],[Days on Tinder]],0)</f>
        <v>16.10734463276836</v>
      </c>
      <c r="E351">
        <f>tinder[[#This Row],[Engagement]]/MAX(tinder[Engagement])</f>
        <v>8.0941430315418894E-2</v>
      </c>
      <c r="F35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51">
        <v>71</v>
      </c>
      <c r="H351">
        <f>IFERROR(tinder[[#This Row],[Conversations]]/tinder[[#This Row],[Tinder Opened]],0)</f>
        <v>2.4903542616625744E-2</v>
      </c>
      <c r="I351">
        <f>tinder[[#This Row],[Conversations]]/MAX(tinder[Conversations])</f>
        <v>5.6161999683594366E-3</v>
      </c>
      <c r="J351">
        <f>(tinder[[#This Row],[Norm Engagement]]*2)+(tinder[[#This Row],[Norm Swipes]]*1)+(tinder[[#This Row],[Norm Conversations]]*2)</f>
        <v>0.19462404456785826</v>
      </c>
      <c r="K35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51">
        <v>7</v>
      </c>
      <c r="M351">
        <v>1</v>
      </c>
      <c r="N351">
        <v>77</v>
      </c>
      <c r="O351">
        <v>3726</v>
      </c>
      <c r="P351">
        <v>2597</v>
      </c>
      <c r="Q351">
        <f>tinder[[#This Row],[All Swipes]]/MAX(tinder[All Swipes])</f>
        <v>2.1508784000301595E-2</v>
      </c>
      <c r="R351">
        <f>tinder[[#This Row],[Swipe Right (LIKE)]]+tinder[[#This Row],[Swipe Left (PASS)]]</f>
        <v>18257</v>
      </c>
      <c r="S351">
        <v>6867</v>
      </c>
      <c r="T351">
        <v>11390</v>
      </c>
      <c r="U351" t="s">
        <v>45</v>
      </c>
      <c r="V351" s="1">
        <v>44116</v>
      </c>
      <c r="W351" t="s">
        <v>12</v>
      </c>
      <c r="X351" t="s">
        <v>1295</v>
      </c>
      <c r="Y351" t="s">
        <v>645</v>
      </c>
      <c r="Z351">
        <v>36</v>
      </c>
      <c r="AA351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352" spans="1:27" x14ac:dyDescent="0.3">
      <c r="A352" t="s">
        <v>1067</v>
      </c>
      <c r="B352">
        <v>4012</v>
      </c>
      <c r="C352">
        <v>250</v>
      </c>
      <c r="D352">
        <f>IFERROR(tinder[[#This Row],[Tinder Opened]]/tinder[[#This Row],[Days on Tinder]],0)</f>
        <v>16.047999999999998</v>
      </c>
      <c r="E352">
        <f>tinder[[#This Row],[Engagement]]/MAX(tinder[Engagement])</f>
        <v>8.0643216080402008E-2</v>
      </c>
      <c r="F35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52">
        <v>62</v>
      </c>
      <c r="H352">
        <f>IFERROR(tinder[[#This Row],[Conversations]]/tinder[[#This Row],[Tinder Opened]],0)</f>
        <v>1.5453639082751745E-2</v>
      </c>
      <c r="I352">
        <f>tinder[[#This Row],[Conversations]]/MAX(tinder[Conversations])</f>
        <v>4.9042872963138747E-3</v>
      </c>
      <c r="J352">
        <f>(tinder[[#This Row],[Norm Engagement]]*2)+(tinder[[#This Row],[Norm Swipes]]*1)+(tinder[[#This Row],[Norm Conversations]]*2)</f>
        <v>0.18888802667765561</v>
      </c>
      <c r="K35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52">
        <v>23</v>
      </c>
      <c r="M352">
        <v>1</v>
      </c>
      <c r="N352">
        <v>97</v>
      </c>
      <c r="O352">
        <v>423</v>
      </c>
      <c r="P352">
        <v>362</v>
      </c>
      <c r="Q352">
        <f>tinder[[#This Row],[All Swipes]]/MAX(tinder[All Swipes])</f>
        <v>1.7793019924223861E-2</v>
      </c>
      <c r="R352">
        <f>tinder[[#This Row],[Swipe Right (LIKE)]]+tinder[[#This Row],[Swipe Left (PASS)]]</f>
        <v>15103</v>
      </c>
      <c r="S352">
        <v>5943</v>
      </c>
      <c r="T352">
        <v>9160</v>
      </c>
      <c r="U352" t="s">
        <v>293</v>
      </c>
      <c r="V352" s="1">
        <v>43031</v>
      </c>
      <c r="W352" t="s">
        <v>12</v>
      </c>
      <c r="X352" t="s">
        <v>1295</v>
      </c>
      <c r="Y352" t="s">
        <v>8</v>
      </c>
      <c r="Z352">
        <v>20</v>
      </c>
      <c r="AA35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53" spans="1:27" x14ac:dyDescent="0.3">
      <c r="A353" t="s">
        <v>1213</v>
      </c>
      <c r="B353">
        <v>4010</v>
      </c>
      <c r="C353">
        <v>251</v>
      </c>
      <c r="D353">
        <f>IFERROR(tinder[[#This Row],[Tinder Opened]]/tinder[[#This Row],[Days on Tinder]],0)</f>
        <v>15.97609561752988</v>
      </c>
      <c r="E353">
        <f>tinder[[#This Row],[Engagement]]/MAX(tinder[Engagement])</f>
        <v>8.0281887525275777E-2</v>
      </c>
      <c r="F35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53">
        <v>251</v>
      </c>
      <c r="H353">
        <f>IFERROR(tinder[[#This Row],[Conversations]]/tinder[[#This Row],[Tinder Opened]],0)</f>
        <v>6.2593516209476313E-2</v>
      </c>
      <c r="I353">
        <f>tinder[[#This Row],[Conversations]]/MAX(tinder[Conversations])</f>
        <v>1.9854453409270684E-2</v>
      </c>
      <c r="J353">
        <f>(tinder[[#This Row],[Norm Engagement]]*2)+(tinder[[#This Row],[Norm Swipes]]*1)+(tinder[[#This Row],[Norm Conversations]]*2)</f>
        <v>0.2582181023135709</v>
      </c>
      <c r="K35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53">
        <v>68</v>
      </c>
      <c r="M353">
        <v>4</v>
      </c>
      <c r="N353">
        <v>136</v>
      </c>
      <c r="O353">
        <v>2103</v>
      </c>
      <c r="P353">
        <v>1339</v>
      </c>
      <c r="Q353">
        <f>tinder[[#This Row],[All Swipes]]/MAX(tinder[All Swipes])</f>
        <v>5.7945420444477952E-2</v>
      </c>
      <c r="R353">
        <f>tinder[[#This Row],[Swipe Right (LIKE)]]+tinder[[#This Row],[Swipe Left (PASS)]]</f>
        <v>49185</v>
      </c>
      <c r="S353">
        <v>9109</v>
      </c>
      <c r="T353">
        <v>40076</v>
      </c>
      <c r="U353" t="s">
        <v>10</v>
      </c>
      <c r="V353" s="1">
        <v>44045</v>
      </c>
      <c r="W353" t="s">
        <v>12</v>
      </c>
      <c r="X353" t="s">
        <v>1295</v>
      </c>
      <c r="Y353" t="s">
        <v>1214</v>
      </c>
      <c r="Z353">
        <v>25</v>
      </c>
      <c r="AA35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54" spans="1:27" x14ac:dyDescent="0.3">
      <c r="A354" t="s">
        <v>510</v>
      </c>
      <c r="B354">
        <v>4041</v>
      </c>
      <c r="C354">
        <v>253</v>
      </c>
      <c r="D354">
        <f>IFERROR(tinder[[#This Row],[Tinder Opened]]/tinder[[#This Row],[Days on Tinder]],0)</f>
        <v>15.972332015810277</v>
      </c>
      <c r="E354">
        <f>tinder[[#This Row],[Engagement]]/MAX(tinder[Engagement])</f>
        <v>8.0262974953820496E-2</v>
      </c>
      <c r="F35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54">
        <v>171</v>
      </c>
      <c r="H354">
        <f>IFERROR(tinder[[#This Row],[Conversations]]/tinder[[#This Row],[Tinder Opened]],0)</f>
        <v>4.2316258351893093E-2</v>
      </c>
      <c r="I354">
        <f>tinder[[#This Row],[Conversations]]/MAX(tinder[Conversations])</f>
        <v>1.3526340768865686E-2</v>
      </c>
      <c r="J354">
        <f>(tinder[[#This Row],[Norm Engagement]]*2)+(tinder[[#This Row],[Norm Swipes]]*1)+(tinder[[#This Row],[Norm Conversations]]*2)</f>
        <v>0.22064586863223029</v>
      </c>
      <c r="K35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54">
        <v>44</v>
      </c>
      <c r="M354">
        <v>1</v>
      </c>
      <c r="N354">
        <v>448</v>
      </c>
      <c r="O354">
        <v>1900</v>
      </c>
      <c r="P354">
        <v>1066</v>
      </c>
      <c r="Q354">
        <f>tinder[[#This Row],[All Swipes]]/MAX(tinder[All Swipes])</f>
        <v>3.3067237186857931E-2</v>
      </c>
      <c r="R354">
        <f>tinder[[#This Row],[Swipe Right (LIKE)]]+tinder[[#This Row],[Swipe Left (PASS)]]</f>
        <v>28068</v>
      </c>
      <c r="S354">
        <v>16032</v>
      </c>
      <c r="T354">
        <v>12036</v>
      </c>
      <c r="U354" t="s">
        <v>14</v>
      </c>
      <c r="V354" s="1">
        <v>43921</v>
      </c>
      <c r="W354" t="s">
        <v>12</v>
      </c>
      <c r="X354" t="s">
        <v>1295</v>
      </c>
      <c r="Y354" t="s">
        <v>8</v>
      </c>
      <c r="Z354">
        <v>21</v>
      </c>
      <c r="AA35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55" spans="1:27" x14ac:dyDescent="0.3">
      <c r="A355" t="s">
        <v>449</v>
      </c>
      <c r="B355">
        <v>21136</v>
      </c>
      <c r="C355">
        <v>1325</v>
      </c>
      <c r="D355">
        <f>IFERROR(tinder[[#This Row],[Tinder Opened]]/tinder[[#This Row],[Days on Tinder]],0)</f>
        <v>15.951698113207547</v>
      </c>
      <c r="E355">
        <f>tinder[[#This Row],[Engagement]]/MAX(tinder[Engagement])</f>
        <v>8.0159287001042953E-2</v>
      </c>
      <c r="F35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55">
        <v>1054</v>
      </c>
      <c r="H355">
        <f>IFERROR(tinder[[#This Row],[Conversations]]/tinder[[#This Row],[Tinder Opened]],0)</f>
        <v>4.9867524602573807E-2</v>
      </c>
      <c r="I355">
        <f>tinder[[#This Row],[Conversations]]/MAX(tinder[Conversations])</f>
        <v>8.3372884037335865E-2</v>
      </c>
      <c r="J355">
        <f>(tinder[[#This Row],[Norm Engagement]]*2)+(tinder[[#This Row],[Norm Swipes]]*1)+(tinder[[#This Row],[Norm Conversations]]*2)</f>
        <v>0.50611139114275083</v>
      </c>
      <c r="K35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55">
        <v>154</v>
      </c>
      <c r="M355">
        <v>353</v>
      </c>
      <c r="N355">
        <v>4821</v>
      </c>
      <c r="O355">
        <v>9724</v>
      </c>
      <c r="P355">
        <v>9531</v>
      </c>
      <c r="Q355">
        <f>tinder[[#This Row],[All Swipes]]/MAX(tinder[All Swipes])</f>
        <v>0.17904704906599311</v>
      </c>
      <c r="R355">
        <f>tinder[[#This Row],[Swipe Right (LIKE)]]+tinder[[#This Row],[Swipe Left (PASS)]]</f>
        <v>151978</v>
      </c>
      <c r="S355">
        <v>108872</v>
      </c>
      <c r="T355">
        <v>43106</v>
      </c>
      <c r="U355" t="s">
        <v>69</v>
      </c>
      <c r="V355" s="1">
        <v>41802</v>
      </c>
      <c r="W355" t="s">
        <v>7</v>
      </c>
      <c r="X355" t="s">
        <v>1295</v>
      </c>
      <c r="Y355" t="s">
        <v>8</v>
      </c>
      <c r="Z355">
        <v>14</v>
      </c>
      <c r="AA35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56" spans="1:27" x14ac:dyDescent="0.3">
      <c r="A356" t="s">
        <v>320</v>
      </c>
      <c r="B356">
        <v>3539</v>
      </c>
      <c r="C356">
        <v>222</v>
      </c>
      <c r="D356">
        <f>IFERROR(tinder[[#This Row],[Tinder Opened]]/tinder[[#This Row],[Days on Tinder]],0)</f>
        <v>15.941441441441441</v>
      </c>
      <c r="E356">
        <f>tinder[[#This Row],[Engagement]]/MAX(tinder[Engagement])</f>
        <v>8.0107745936891669E-2</v>
      </c>
      <c r="F35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56">
        <v>66</v>
      </c>
      <c r="H356">
        <f>IFERROR(tinder[[#This Row],[Conversations]]/tinder[[#This Row],[Tinder Opened]],0)</f>
        <v>1.8649335970613169E-2</v>
      </c>
      <c r="I356">
        <f>tinder[[#This Row],[Conversations]]/MAX(tinder[Conversations])</f>
        <v>5.2206929283341247E-3</v>
      </c>
      <c r="J356">
        <f>(tinder[[#This Row],[Norm Engagement]]*2)+(tinder[[#This Row],[Norm Swipes]]*1)+(tinder[[#This Row],[Norm Conversations]]*2)</f>
        <v>0.22668433244384062</v>
      </c>
      <c r="K35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56">
        <v>16</v>
      </c>
      <c r="M356">
        <v>0</v>
      </c>
      <c r="N356">
        <v>77</v>
      </c>
      <c r="O356">
        <v>990</v>
      </c>
      <c r="P356">
        <v>1037</v>
      </c>
      <c r="Q356">
        <f>tinder[[#This Row],[All Swipes]]/MAX(tinder[All Swipes])</f>
        <v>5.6027454713389005E-2</v>
      </c>
      <c r="R356">
        <f>tinder[[#This Row],[Swipe Right (LIKE)]]+tinder[[#This Row],[Swipe Left (PASS)]]</f>
        <v>47557</v>
      </c>
      <c r="S356">
        <v>6877</v>
      </c>
      <c r="T356">
        <v>40680</v>
      </c>
      <c r="U356" t="s">
        <v>45</v>
      </c>
      <c r="V356" s="1">
        <v>43967</v>
      </c>
      <c r="W356" t="s">
        <v>12</v>
      </c>
      <c r="X356" t="s">
        <v>1295</v>
      </c>
      <c r="Y356" t="s">
        <v>8</v>
      </c>
      <c r="Z356">
        <v>27</v>
      </c>
      <c r="AA35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57" spans="1:27" x14ac:dyDescent="0.3">
      <c r="A357" t="s">
        <v>419</v>
      </c>
      <c r="B357">
        <v>2274</v>
      </c>
      <c r="C357">
        <v>143</v>
      </c>
      <c r="D357">
        <f>IFERROR(tinder[[#This Row],[Tinder Opened]]/tinder[[#This Row],[Days on Tinder]],0)</f>
        <v>15.902097902097902</v>
      </c>
      <c r="E357">
        <f>tinder[[#This Row],[Engagement]]/MAX(tinder[Engagement])</f>
        <v>7.991003970903468E-2</v>
      </c>
      <c r="F35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57">
        <v>35</v>
      </c>
      <c r="H357">
        <f>IFERROR(tinder[[#This Row],[Conversations]]/tinder[[#This Row],[Tinder Opened]],0)</f>
        <v>1.5391380826737027E-2</v>
      </c>
      <c r="I357">
        <f>tinder[[#This Row],[Conversations]]/MAX(tinder[Conversations])</f>
        <v>2.7685492801771874E-3</v>
      </c>
      <c r="J357">
        <f>(tinder[[#This Row],[Norm Engagement]]*2)+(tinder[[#This Row],[Norm Swipes]]*1)+(tinder[[#This Row],[Norm Conversations]]*2)</f>
        <v>0.27632586848378654</v>
      </c>
      <c r="K35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57">
        <v>9</v>
      </c>
      <c r="M357">
        <v>5</v>
      </c>
      <c r="N357">
        <v>156</v>
      </c>
      <c r="O357">
        <v>290</v>
      </c>
      <c r="P357">
        <v>337</v>
      </c>
      <c r="Q357">
        <f>tinder[[#This Row],[All Swipes]]/MAX(tinder[All Swipes])</f>
        <v>0.11096869050536276</v>
      </c>
      <c r="R357">
        <f>tinder[[#This Row],[Swipe Right (LIKE)]]+tinder[[#This Row],[Swipe Left (PASS)]]</f>
        <v>94192</v>
      </c>
      <c r="S357">
        <v>1142</v>
      </c>
      <c r="T357">
        <v>93050</v>
      </c>
      <c r="U357" t="s">
        <v>14</v>
      </c>
      <c r="V357" s="1">
        <v>44083</v>
      </c>
      <c r="W357" t="s">
        <v>12</v>
      </c>
      <c r="X357" t="s">
        <v>1296</v>
      </c>
      <c r="Y357" t="s">
        <v>8</v>
      </c>
      <c r="Z357">
        <v>26</v>
      </c>
      <c r="AA35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58" spans="1:27" x14ac:dyDescent="0.3">
      <c r="A358" t="s">
        <v>657</v>
      </c>
      <c r="B358">
        <v>17541</v>
      </c>
      <c r="C358">
        <v>1110</v>
      </c>
      <c r="D358">
        <f>IFERROR(tinder[[#This Row],[Tinder Opened]]/tinder[[#This Row],[Days on Tinder]],0)</f>
        <v>15.802702702702703</v>
      </c>
      <c r="E358">
        <f>tinder[[#This Row],[Engagement]]/MAX(tinder[Engagement])</f>
        <v>7.9410566345239714E-2</v>
      </c>
      <c r="F35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58">
        <v>628</v>
      </c>
      <c r="H358">
        <f>IFERROR(tinder[[#This Row],[Conversations]]/tinder[[#This Row],[Tinder Opened]],0)</f>
        <v>3.5801835699218972E-2</v>
      </c>
      <c r="I358">
        <f>tinder[[#This Row],[Conversations]]/MAX(tinder[Conversations])</f>
        <v>4.9675684227179245E-2</v>
      </c>
      <c r="J358">
        <f>(tinder[[#This Row],[Norm Engagement]]*2)+(tinder[[#This Row],[Norm Swipes]]*1)+(tinder[[#This Row],[Norm Conversations]]*2)</f>
        <v>0.37790987650062763</v>
      </c>
      <c r="K35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58">
        <v>205</v>
      </c>
      <c r="M358">
        <v>2</v>
      </c>
      <c r="N358">
        <v>835</v>
      </c>
      <c r="O358">
        <v>4408</v>
      </c>
      <c r="P358">
        <v>5605</v>
      </c>
      <c r="Q358">
        <f>tinder[[#This Row],[All Swipes]]/MAX(tinder[All Swipes])</f>
        <v>0.11973737535578971</v>
      </c>
      <c r="R358">
        <f>tinder[[#This Row],[Swipe Right (LIKE)]]+tinder[[#This Row],[Swipe Left (PASS)]]</f>
        <v>101635</v>
      </c>
      <c r="S358">
        <v>26377</v>
      </c>
      <c r="T358">
        <v>75258</v>
      </c>
      <c r="U358" t="s">
        <v>8</v>
      </c>
      <c r="V358" s="1">
        <v>43150</v>
      </c>
      <c r="W358" t="s">
        <v>12</v>
      </c>
      <c r="X358" t="s">
        <v>1295</v>
      </c>
      <c r="Y358" t="s">
        <v>8</v>
      </c>
      <c r="Z358">
        <v>25</v>
      </c>
      <c r="AA35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59" spans="1:27" x14ac:dyDescent="0.3">
      <c r="A359" t="s">
        <v>713</v>
      </c>
      <c r="B359">
        <v>979</v>
      </c>
      <c r="C359">
        <v>62</v>
      </c>
      <c r="D359">
        <f>IFERROR(tinder[[#This Row],[Tinder Opened]]/tinder[[#This Row],[Days on Tinder]],0)</f>
        <v>15.790322580645162</v>
      </c>
      <c r="E359">
        <f>tinder[[#This Row],[Engagement]]/MAX(tinder[Engagement])</f>
        <v>7.9348354676608848E-2</v>
      </c>
      <c r="F35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59">
        <v>15</v>
      </c>
      <c r="H359">
        <f>IFERROR(tinder[[#This Row],[Conversations]]/tinder[[#This Row],[Tinder Opened]],0)</f>
        <v>1.5321756894790603E-2</v>
      </c>
      <c r="I359">
        <f>tinder[[#This Row],[Conversations]]/MAX(tinder[Conversations])</f>
        <v>1.1865211200759373E-3</v>
      </c>
      <c r="J359">
        <f>(tinder[[#This Row],[Norm Engagement]]*2)+(tinder[[#This Row],[Norm Swipes]]*1)+(tinder[[#This Row],[Norm Conversations]]*2)</f>
        <v>0.16909033555974154</v>
      </c>
      <c r="K35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59">
        <v>1</v>
      </c>
      <c r="M359">
        <v>9</v>
      </c>
      <c r="N359">
        <v>48</v>
      </c>
      <c r="O359">
        <v>215</v>
      </c>
      <c r="P359">
        <v>248</v>
      </c>
      <c r="Q359">
        <f>tinder[[#This Row],[All Swipes]]/MAX(tinder[All Swipes])</f>
        <v>8.020583966371982E-3</v>
      </c>
      <c r="R359">
        <f>tinder[[#This Row],[Swipe Right (LIKE)]]+tinder[[#This Row],[Swipe Left (PASS)]]</f>
        <v>6808</v>
      </c>
      <c r="S359">
        <v>5662</v>
      </c>
      <c r="T359">
        <v>1146</v>
      </c>
      <c r="U359" t="s">
        <v>714</v>
      </c>
      <c r="V359" s="1">
        <v>44234</v>
      </c>
      <c r="W359" t="s">
        <v>12</v>
      </c>
      <c r="X359" t="s">
        <v>1295</v>
      </c>
      <c r="Y359" t="s">
        <v>108</v>
      </c>
      <c r="Z359">
        <v>27</v>
      </c>
      <c r="AA35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60" spans="1:27" x14ac:dyDescent="0.3">
      <c r="A360" t="s">
        <v>681</v>
      </c>
      <c r="B360">
        <v>1550</v>
      </c>
      <c r="C360">
        <v>99</v>
      </c>
      <c r="D360">
        <f>IFERROR(tinder[[#This Row],[Tinder Opened]]/tinder[[#This Row],[Days on Tinder]],0)</f>
        <v>15.656565656565656</v>
      </c>
      <c r="E360">
        <f>tinder[[#This Row],[Engagement]]/MAX(tinder[Engagement])</f>
        <v>7.8676209329475652E-2</v>
      </c>
      <c r="F36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60">
        <v>96</v>
      </c>
      <c r="H360">
        <f>IFERROR(tinder[[#This Row],[Conversations]]/tinder[[#This Row],[Tinder Opened]],0)</f>
        <v>6.1935483870967742E-2</v>
      </c>
      <c r="I360">
        <f>tinder[[#This Row],[Conversations]]/MAX(tinder[Conversations])</f>
        <v>7.5937351684859994E-3</v>
      </c>
      <c r="J360">
        <f>(tinder[[#This Row],[Norm Engagement]]*2)+(tinder[[#This Row],[Norm Swipes]]*1)+(tinder[[#This Row],[Norm Conversations]]*2)</f>
        <v>0.20382935573547578</v>
      </c>
      <c r="K36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60">
        <v>29</v>
      </c>
      <c r="M360">
        <v>54</v>
      </c>
      <c r="N360">
        <v>403</v>
      </c>
      <c r="O360">
        <v>128</v>
      </c>
      <c r="P360">
        <v>195</v>
      </c>
      <c r="Q360">
        <f>tinder[[#This Row],[All Swipes]]/MAX(tinder[All Swipes])</f>
        <v>3.1289466739552504E-2</v>
      </c>
      <c r="R360">
        <f>tinder[[#This Row],[Swipe Right (LIKE)]]+tinder[[#This Row],[Swipe Left (PASS)]]</f>
        <v>26559</v>
      </c>
      <c r="S360">
        <v>17243</v>
      </c>
      <c r="T360">
        <v>9316</v>
      </c>
      <c r="U360" t="s">
        <v>14</v>
      </c>
      <c r="V360" s="1">
        <v>44023</v>
      </c>
      <c r="W360" t="s">
        <v>12</v>
      </c>
      <c r="X360" t="s">
        <v>1295</v>
      </c>
      <c r="Y360" t="s">
        <v>8</v>
      </c>
      <c r="Z360">
        <v>18</v>
      </c>
      <c r="AA36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61" spans="1:27" x14ac:dyDescent="0.3">
      <c r="A361" t="s">
        <v>205</v>
      </c>
      <c r="B361">
        <v>172</v>
      </c>
      <c r="C361">
        <v>11</v>
      </c>
      <c r="D361">
        <f>IFERROR(tinder[[#This Row],[Tinder Opened]]/tinder[[#This Row],[Days on Tinder]],0)</f>
        <v>15.636363636363637</v>
      </c>
      <c r="E361">
        <f>tinder[[#This Row],[Engagement]]/MAX(tinder[Engagement])</f>
        <v>7.8574691640018277E-2</v>
      </c>
      <c r="F36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61">
        <v>10</v>
      </c>
      <c r="H361">
        <f>IFERROR(tinder[[#This Row],[Conversations]]/tinder[[#This Row],[Tinder Opened]],0)</f>
        <v>5.8139534883720929E-2</v>
      </c>
      <c r="I361">
        <f>tinder[[#This Row],[Conversations]]/MAX(tinder[Conversations])</f>
        <v>7.9101408005062491E-4</v>
      </c>
      <c r="J361">
        <f>(tinder[[#This Row],[Norm Engagement]]*2)+(tinder[[#This Row],[Norm Swipes]]*1)+(tinder[[#This Row],[Norm Conversations]]*2)</f>
        <v>0.1598730016080894</v>
      </c>
      <c r="K36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61">
        <v>0</v>
      </c>
      <c r="M361">
        <v>8</v>
      </c>
      <c r="N361">
        <v>23</v>
      </c>
      <c r="O361">
        <v>14</v>
      </c>
      <c r="P361">
        <v>25</v>
      </c>
      <c r="Q361">
        <f>tinder[[#This Row],[All Swipes]]/MAX(tinder[All Swipes])</f>
        <v>1.1415901679515937E-3</v>
      </c>
      <c r="R361">
        <f>tinder[[#This Row],[Swipe Right (LIKE)]]+tinder[[#This Row],[Swipe Left (PASS)]]</f>
        <v>969</v>
      </c>
      <c r="S361">
        <v>50</v>
      </c>
      <c r="T361">
        <v>919</v>
      </c>
      <c r="U361" t="s">
        <v>8</v>
      </c>
      <c r="V361" s="1">
        <v>44133</v>
      </c>
      <c r="W361" t="s">
        <v>12</v>
      </c>
      <c r="X361" t="s">
        <v>1295</v>
      </c>
      <c r="Y361" t="s">
        <v>206</v>
      </c>
      <c r="Z361">
        <v>24</v>
      </c>
      <c r="AA36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62" spans="1:27" x14ac:dyDescent="0.3">
      <c r="A362" t="s">
        <v>236</v>
      </c>
      <c r="B362">
        <v>1029</v>
      </c>
      <c r="C362">
        <v>66</v>
      </c>
      <c r="D362">
        <f>IFERROR(tinder[[#This Row],[Tinder Opened]]/tinder[[#This Row],[Days on Tinder]],0)</f>
        <v>15.590909090909092</v>
      </c>
      <c r="E362">
        <f>tinder[[#This Row],[Engagement]]/MAX(tinder[Engagement])</f>
        <v>7.8346276838739154E-2</v>
      </c>
      <c r="F36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62">
        <v>54</v>
      </c>
      <c r="H362">
        <f>IFERROR(tinder[[#This Row],[Conversations]]/tinder[[#This Row],[Tinder Opened]],0)</f>
        <v>5.2478134110787174E-2</v>
      </c>
      <c r="I362">
        <f>tinder[[#This Row],[Conversations]]/MAX(tinder[Conversations])</f>
        <v>4.2714760322733747E-3</v>
      </c>
      <c r="J362">
        <f>(tinder[[#This Row],[Norm Engagement]]*2)+(tinder[[#This Row],[Norm Swipes]]*1)+(tinder[[#This Row],[Norm Conversations]]*2)</f>
        <v>0.17801683879889485</v>
      </c>
      <c r="K36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62">
        <v>15</v>
      </c>
      <c r="M362">
        <v>2</v>
      </c>
      <c r="N362">
        <v>101</v>
      </c>
      <c r="O362">
        <v>918</v>
      </c>
      <c r="P362">
        <v>670</v>
      </c>
      <c r="Q362">
        <f>tinder[[#This Row],[All Swipes]]/MAX(tinder[All Swipes])</f>
        <v>1.2781333056869805E-2</v>
      </c>
      <c r="R362">
        <f>tinder[[#This Row],[Swipe Right (LIKE)]]+tinder[[#This Row],[Swipe Left (PASS)]]</f>
        <v>10849</v>
      </c>
      <c r="S362">
        <v>2520</v>
      </c>
      <c r="T362">
        <v>8329</v>
      </c>
      <c r="U362" t="s">
        <v>8</v>
      </c>
      <c r="V362" s="1">
        <v>43860</v>
      </c>
      <c r="W362" t="s">
        <v>12</v>
      </c>
      <c r="X362" t="s">
        <v>1295</v>
      </c>
      <c r="Y362" t="s">
        <v>8</v>
      </c>
      <c r="Z362">
        <v>21</v>
      </c>
      <c r="AA36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63" spans="1:27" x14ac:dyDescent="0.3">
      <c r="A363" t="s">
        <v>634</v>
      </c>
      <c r="B363">
        <v>2352</v>
      </c>
      <c r="C363">
        <v>151</v>
      </c>
      <c r="D363">
        <f>IFERROR(tinder[[#This Row],[Tinder Opened]]/tinder[[#This Row],[Days on Tinder]],0)</f>
        <v>15.576158940397351</v>
      </c>
      <c r="E363">
        <f>tinder[[#This Row],[Engagement]]/MAX(tinder[Engagement])</f>
        <v>7.8272155479383668E-2</v>
      </c>
      <c r="F36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63">
        <v>56</v>
      </c>
      <c r="H363">
        <f>IFERROR(tinder[[#This Row],[Conversations]]/tinder[[#This Row],[Tinder Opened]],0)</f>
        <v>2.3809523809523808E-2</v>
      </c>
      <c r="I363">
        <f>tinder[[#This Row],[Conversations]]/MAX(tinder[Conversations])</f>
        <v>4.4296788482834993E-3</v>
      </c>
      <c r="J363">
        <f>(tinder[[#This Row],[Norm Engagement]]*2)+(tinder[[#This Row],[Norm Swipes]]*1)+(tinder[[#This Row],[Norm Conversations]]*2)</f>
        <v>0.20702988682275814</v>
      </c>
      <c r="K36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63">
        <v>7</v>
      </c>
      <c r="M363">
        <v>25</v>
      </c>
      <c r="N363">
        <v>654</v>
      </c>
      <c r="O363">
        <v>376</v>
      </c>
      <c r="P363">
        <v>426</v>
      </c>
      <c r="Q363">
        <f>tinder[[#This Row],[All Swipes]]/MAX(tinder[All Swipes])</f>
        <v>4.1626218167423797E-2</v>
      </c>
      <c r="R363">
        <f>tinder[[#This Row],[Swipe Right (LIKE)]]+tinder[[#This Row],[Swipe Left (PASS)]]</f>
        <v>35333</v>
      </c>
      <c r="S363">
        <v>5808</v>
      </c>
      <c r="T363">
        <v>29525</v>
      </c>
      <c r="U363" t="s">
        <v>8</v>
      </c>
      <c r="V363" s="1">
        <v>44128</v>
      </c>
      <c r="W363" t="s">
        <v>12</v>
      </c>
      <c r="X363" t="s">
        <v>1295</v>
      </c>
      <c r="Y363" t="s">
        <v>8</v>
      </c>
      <c r="Z363">
        <v>27</v>
      </c>
      <c r="AA36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64" spans="1:27" x14ac:dyDescent="0.3">
      <c r="A364" t="s">
        <v>516</v>
      </c>
      <c r="B364">
        <v>498</v>
      </c>
      <c r="C364">
        <v>32</v>
      </c>
      <c r="D364">
        <f>IFERROR(tinder[[#This Row],[Tinder Opened]]/tinder[[#This Row],[Days on Tinder]],0)</f>
        <v>15.5625</v>
      </c>
      <c r="E364">
        <f>tinder[[#This Row],[Engagement]]/MAX(tinder[Engagement])</f>
        <v>7.8203517587939697E-2</v>
      </c>
      <c r="F36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64">
        <v>9</v>
      </c>
      <c r="H364">
        <f>IFERROR(tinder[[#This Row],[Conversations]]/tinder[[#This Row],[Tinder Opened]],0)</f>
        <v>1.8072289156626505E-2</v>
      </c>
      <c r="I364">
        <f>tinder[[#This Row],[Conversations]]/MAX(tinder[Conversations])</f>
        <v>7.1191267204556241E-4</v>
      </c>
      <c r="J364">
        <f>(tinder[[#This Row],[Norm Engagement]]*2)+(tinder[[#This Row],[Norm Swipes]]*1)+(tinder[[#This Row],[Norm Conversations]]*2)</f>
        <v>0.16163262674492387</v>
      </c>
      <c r="K36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64">
        <v>2</v>
      </c>
      <c r="M364">
        <v>2</v>
      </c>
      <c r="N364">
        <v>97</v>
      </c>
      <c r="O364">
        <v>31</v>
      </c>
      <c r="P364">
        <v>23</v>
      </c>
      <c r="Q364">
        <f>tinder[[#This Row],[All Swipes]]/MAX(tinder[All Swipes])</f>
        <v>3.8017662249533466E-3</v>
      </c>
      <c r="R364">
        <f>tinder[[#This Row],[Swipe Right (LIKE)]]+tinder[[#This Row],[Swipe Left (PASS)]]</f>
        <v>3227</v>
      </c>
      <c r="S364">
        <v>1986</v>
      </c>
      <c r="T364">
        <v>1241</v>
      </c>
      <c r="U364" t="s">
        <v>8</v>
      </c>
      <c r="V364" s="1">
        <v>44241</v>
      </c>
      <c r="W364" t="s">
        <v>12</v>
      </c>
      <c r="X364" t="s">
        <v>1295</v>
      </c>
      <c r="Y364" t="s">
        <v>8</v>
      </c>
      <c r="Z364">
        <v>21</v>
      </c>
      <c r="AA36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65" spans="1:27" x14ac:dyDescent="0.3">
      <c r="A365" t="s">
        <v>31</v>
      </c>
      <c r="B365">
        <v>2424</v>
      </c>
      <c r="C365">
        <v>156</v>
      </c>
      <c r="D365">
        <f>IFERROR(tinder[[#This Row],[Tinder Opened]]/tinder[[#This Row],[Days on Tinder]],0)</f>
        <v>15.538461538461538</v>
      </c>
      <c r="E365">
        <f>tinder[[#This Row],[Engagement]]/MAX(tinder[Engagement])</f>
        <v>7.8082721298801699E-2</v>
      </c>
      <c r="F36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65">
        <v>2743</v>
      </c>
      <c r="H365">
        <f>IFERROR(tinder[[#This Row],[Conversations]]/tinder[[#This Row],[Tinder Opened]],0)</f>
        <v>1.1316006600660067</v>
      </c>
      <c r="I365">
        <f>tinder[[#This Row],[Conversations]]/MAX(tinder[Conversations])</f>
        <v>0.2169751621578864</v>
      </c>
      <c r="J365">
        <f>(tinder[[#This Row],[Norm Engagement]]*2)+(tinder[[#This Row],[Norm Swipes]]*1)+(tinder[[#This Row],[Norm Conversations]]*2)</f>
        <v>0.69340434771298409</v>
      </c>
      <c r="K36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365">
        <v>1257</v>
      </c>
      <c r="M365">
        <v>82</v>
      </c>
      <c r="N365">
        <v>3801</v>
      </c>
      <c r="O365">
        <v>12922</v>
      </c>
      <c r="P365">
        <v>10040</v>
      </c>
      <c r="Q365">
        <f>tinder[[#This Row],[All Swipes]]/MAX(tinder[All Swipes])</f>
        <v>0.10328858079960793</v>
      </c>
      <c r="R365">
        <f>tinder[[#This Row],[Swipe Right (LIKE)]]+tinder[[#This Row],[Swipe Left (PASS)]]</f>
        <v>87673</v>
      </c>
      <c r="S365">
        <v>78469</v>
      </c>
      <c r="T365">
        <v>9204</v>
      </c>
      <c r="U365" t="s">
        <v>8</v>
      </c>
      <c r="V365" s="1">
        <v>43731</v>
      </c>
      <c r="W365" t="s">
        <v>12</v>
      </c>
      <c r="X365" t="s">
        <v>1295</v>
      </c>
      <c r="Y365" t="s">
        <v>8</v>
      </c>
      <c r="Z365">
        <v>25</v>
      </c>
      <c r="AA36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66" spans="1:27" x14ac:dyDescent="0.3">
      <c r="A366" t="s">
        <v>716</v>
      </c>
      <c r="B366">
        <v>295</v>
      </c>
      <c r="C366">
        <v>19</v>
      </c>
      <c r="D366">
        <f>IFERROR(tinder[[#This Row],[Tinder Opened]]/tinder[[#This Row],[Days on Tinder]],0)</f>
        <v>15.526315789473685</v>
      </c>
      <c r="E366">
        <f>tinder[[#This Row],[Engagement]]/MAX(tinder[Engagement])</f>
        <v>7.802168738428987E-2</v>
      </c>
      <c r="F36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66">
        <v>49</v>
      </c>
      <c r="H366">
        <f>IFERROR(tinder[[#This Row],[Conversations]]/tinder[[#This Row],[Tinder Opened]],0)</f>
        <v>0.16610169491525423</v>
      </c>
      <c r="I366">
        <f>tinder[[#This Row],[Conversations]]/MAX(tinder[Conversations])</f>
        <v>3.875968992248062E-3</v>
      </c>
      <c r="J366">
        <f>(tinder[[#This Row],[Norm Engagement]]*2)+(tinder[[#This Row],[Norm Swipes]]*1)+(tinder[[#This Row],[Norm Conversations]]*2)</f>
        <v>0.17043868422580966</v>
      </c>
      <c r="K36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66">
        <v>4</v>
      </c>
      <c r="M366">
        <v>2</v>
      </c>
      <c r="N366">
        <v>22</v>
      </c>
      <c r="O366">
        <v>1043</v>
      </c>
      <c r="P366">
        <v>799</v>
      </c>
      <c r="Q366">
        <f>tinder[[#This Row],[All Swipes]]/MAX(tinder[All Swipes])</f>
        <v>6.6433714727337848E-3</v>
      </c>
      <c r="R366">
        <f>tinder[[#This Row],[Swipe Right (LIKE)]]+tinder[[#This Row],[Swipe Left (PASS)]]</f>
        <v>5639</v>
      </c>
      <c r="S366">
        <v>1272</v>
      </c>
      <c r="T366">
        <v>4367</v>
      </c>
      <c r="U366" t="s">
        <v>69</v>
      </c>
      <c r="V366" s="1">
        <v>44281</v>
      </c>
      <c r="W366" t="s">
        <v>12</v>
      </c>
      <c r="X366" t="s">
        <v>1295</v>
      </c>
      <c r="Y366" t="s">
        <v>8</v>
      </c>
      <c r="Z366">
        <v>25</v>
      </c>
      <c r="AA36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67" spans="1:27" x14ac:dyDescent="0.3">
      <c r="A367" t="s">
        <v>26</v>
      </c>
      <c r="B367">
        <v>6284</v>
      </c>
      <c r="C367">
        <v>405</v>
      </c>
      <c r="D367">
        <f>IFERROR(tinder[[#This Row],[Tinder Opened]]/tinder[[#This Row],[Days on Tinder]],0)</f>
        <v>15.51604938271605</v>
      </c>
      <c r="E367">
        <f>tinder[[#This Row],[Engagement]]/MAX(tinder[Engagement])</f>
        <v>7.7970097400583166E-2</v>
      </c>
      <c r="F36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67">
        <v>295</v>
      </c>
      <c r="H367">
        <f>IFERROR(tinder[[#This Row],[Conversations]]/tinder[[#This Row],[Tinder Opened]],0)</f>
        <v>4.6944621260343732E-2</v>
      </c>
      <c r="I367">
        <f>tinder[[#This Row],[Conversations]]/MAX(tinder[Conversations])</f>
        <v>2.3334915361493434E-2</v>
      </c>
      <c r="J367">
        <f>(tinder[[#This Row],[Norm Engagement]]*2)+(tinder[[#This Row],[Norm Swipes]]*1)+(tinder[[#This Row],[Norm Conversations]]*2)</f>
        <v>0.32127885363295416</v>
      </c>
      <c r="K36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67">
        <v>73</v>
      </c>
      <c r="M367">
        <v>1</v>
      </c>
      <c r="N367">
        <v>314</v>
      </c>
      <c r="O367">
        <v>4403</v>
      </c>
      <c r="P367">
        <v>3019</v>
      </c>
      <c r="Q367">
        <f>tinder[[#This Row],[All Swipes]]/MAX(tinder[All Swipes])</f>
        <v>0.11866882810880096</v>
      </c>
      <c r="R367">
        <f>tinder[[#This Row],[Swipe Right (LIKE)]]+tinder[[#This Row],[Swipe Left (PASS)]]</f>
        <v>100728</v>
      </c>
      <c r="S367">
        <v>22172</v>
      </c>
      <c r="T367">
        <v>78556</v>
      </c>
      <c r="U367" t="s">
        <v>27</v>
      </c>
      <c r="V367" s="1">
        <v>43489</v>
      </c>
      <c r="W367" t="s">
        <v>12</v>
      </c>
      <c r="X367" t="s">
        <v>1295</v>
      </c>
      <c r="Y367" t="s">
        <v>8</v>
      </c>
      <c r="Z367">
        <v>21</v>
      </c>
      <c r="AA36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68" spans="1:27" x14ac:dyDescent="0.3">
      <c r="A368" t="s">
        <v>252</v>
      </c>
      <c r="B368">
        <v>1159</v>
      </c>
      <c r="C368">
        <v>75</v>
      </c>
      <c r="D368">
        <f>IFERROR(tinder[[#This Row],[Tinder Opened]]/tinder[[#This Row],[Days on Tinder]],0)</f>
        <v>15.453333333333333</v>
      </c>
      <c r="E368">
        <f>tinder[[#This Row],[Engagement]]/MAX(tinder[Engagement])</f>
        <v>7.7654941373534334E-2</v>
      </c>
      <c r="F36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68">
        <v>36</v>
      </c>
      <c r="H368">
        <f>IFERROR(tinder[[#This Row],[Conversations]]/tinder[[#This Row],[Tinder Opened]],0)</f>
        <v>3.1061259706643658E-2</v>
      </c>
      <c r="I368">
        <f>tinder[[#This Row],[Conversations]]/MAX(tinder[Conversations])</f>
        <v>2.8476506881822496E-3</v>
      </c>
      <c r="J368">
        <f>(tinder[[#This Row],[Norm Engagement]]*2)+(tinder[[#This Row],[Norm Swipes]]*1)+(tinder[[#This Row],[Norm Conversations]]*2)</f>
        <v>0.17261665233326901</v>
      </c>
      <c r="K36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68">
        <v>3</v>
      </c>
      <c r="M368">
        <v>1</v>
      </c>
      <c r="N368">
        <v>81</v>
      </c>
      <c r="O368">
        <v>359</v>
      </c>
      <c r="P368">
        <v>291</v>
      </c>
      <c r="Q368">
        <f>tinder[[#This Row],[All Swipes]]/MAX(tinder[All Swipes])</f>
        <v>1.1611468209835819E-2</v>
      </c>
      <c r="R368">
        <f>tinder[[#This Row],[Swipe Right (LIKE)]]+tinder[[#This Row],[Swipe Left (PASS)]]</f>
        <v>9856</v>
      </c>
      <c r="S368">
        <v>8058</v>
      </c>
      <c r="T368">
        <v>1798</v>
      </c>
      <c r="U368" t="s">
        <v>69</v>
      </c>
      <c r="V368" s="1">
        <v>44095</v>
      </c>
      <c r="W368" t="s">
        <v>12</v>
      </c>
      <c r="X368" t="s">
        <v>1295</v>
      </c>
      <c r="Y368" t="s">
        <v>8</v>
      </c>
      <c r="Z368">
        <v>22</v>
      </c>
      <c r="AA36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69" spans="1:27" x14ac:dyDescent="0.3">
      <c r="A369" t="s">
        <v>186</v>
      </c>
      <c r="B369">
        <v>3136</v>
      </c>
      <c r="C369">
        <v>203</v>
      </c>
      <c r="D369">
        <f>IFERROR(tinder[[#This Row],[Tinder Opened]]/tinder[[#This Row],[Days on Tinder]],0)</f>
        <v>15.448275862068966</v>
      </c>
      <c r="E369">
        <f>tinder[[#This Row],[Engagement]]/MAX(tinder[Engagement])</f>
        <v>7.7629526945070179E-2</v>
      </c>
      <c r="F36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69">
        <v>52</v>
      </c>
      <c r="H369">
        <f>IFERROR(tinder[[#This Row],[Conversations]]/tinder[[#This Row],[Tinder Opened]],0)</f>
        <v>1.6581632653061226E-2</v>
      </c>
      <c r="I369">
        <f>tinder[[#This Row],[Conversations]]/MAX(tinder[Conversations])</f>
        <v>4.1132732162632493E-3</v>
      </c>
      <c r="J369">
        <f>(tinder[[#This Row],[Norm Engagement]]*2)+(tinder[[#This Row],[Norm Swipes]]*1)+(tinder[[#This Row],[Norm Conversations]]*2)</f>
        <v>0.18644346162594105</v>
      </c>
      <c r="K36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69">
        <v>19</v>
      </c>
      <c r="M369">
        <v>2</v>
      </c>
      <c r="N369">
        <v>338</v>
      </c>
      <c r="O369">
        <v>603</v>
      </c>
      <c r="P369">
        <v>615</v>
      </c>
      <c r="Q369">
        <f>tinder[[#This Row],[All Swipes]]/MAX(tinder[All Swipes])</f>
        <v>2.2957861303274207E-2</v>
      </c>
      <c r="R369">
        <f>tinder[[#This Row],[Swipe Right (LIKE)]]+tinder[[#This Row],[Swipe Left (PASS)]]</f>
        <v>19487</v>
      </c>
      <c r="S369">
        <v>17361</v>
      </c>
      <c r="T369">
        <v>2126</v>
      </c>
      <c r="U369" t="s">
        <v>75</v>
      </c>
      <c r="V369" s="1">
        <v>43974</v>
      </c>
      <c r="W369" t="s">
        <v>12</v>
      </c>
      <c r="X369" t="s">
        <v>1295</v>
      </c>
      <c r="Y369" t="s">
        <v>187</v>
      </c>
      <c r="Z369">
        <v>27</v>
      </c>
      <c r="AA36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70" spans="1:27" x14ac:dyDescent="0.3">
      <c r="A370" t="s">
        <v>20</v>
      </c>
      <c r="B370">
        <v>7368</v>
      </c>
      <c r="C370">
        <v>477</v>
      </c>
      <c r="D370">
        <f>IFERROR(tinder[[#This Row],[Tinder Opened]]/tinder[[#This Row],[Days on Tinder]],0)</f>
        <v>15.446540880503145</v>
      </c>
      <c r="E370">
        <f>tinder[[#This Row],[Engagement]]/MAX(tinder[Engagement])</f>
        <v>7.7620808444739425E-2</v>
      </c>
      <c r="F37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70">
        <v>258</v>
      </c>
      <c r="H370">
        <f>IFERROR(tinder[[#This Row],[Conversations]]/tinder[[#This Row],[Tinder Opened]],0)</f>
        <v>3.5016286644951142E-2</v>
      </c>
      <c r="I370">
        <f>tinder[[#This Row],[Conversations]]/MAX(tinder[Conversations])</f>
        <v>2.0408163265306121E-2</v>
      </c>
      <c r="J370">
        <f>(tinder[[#This Row],[Norm Engagement]]*2)+(tinder[[#This Row],[Norm Swipes]]*1)+(tinder[[#This Row],[Norm Conversations]]*2)</f>
        <v>0.25247299685923458</v>
      </c>
      <c r="K37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70">
        <v>75</v>
      </c>
      <c r="M370">
        <v>27</v>
      </c>
      <c r="N370">
        <v>3295</v>
      </c>
      <c r="O370">
        <v>3460</v>
      </c>
      <c r="P370">
        <v>3164</v>
      </c>
      <c r="Q370">
        <f>tinder[[#This Row],[All Swipes]]/MAX(tinder[All Swipes])</f>
        <v>5.6415053439143464E-2</v>
      </c>
      <c r="R370">
        <f>tinder[[#This Row],[Swipe Right (LIKE)]]+tinder[[#This Row],[Swipe Left (PASS)]]</f>
        <v>47886</v>
      </c>
      <c r="S370">
        <v>25138</v>
      </c>
      <c r="T370">
        <v>22748</v>
      </c>
      <c r="U370" t="s">
        <v>10</v>
      </c>
      <c r="V370" s="1">
        <v>42370</v>
      </c>
      <c r="W370" t="s">
        <v>7</v>
      </c>
      <c r="X370" t="s">
        <v>1296</v>
      </c>
      <c r="Y370" t="s">
        <v>19</v>
      </c>
      <c r="Z370">
        <v>40</v>
      </c>
      <c r="AA37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371" spans="1:27" x14ac:dyDescent="0.3">
      <c r="A371" t="s">
        <v>413</v>
      </c>
      <c r="B371">
        <v>6082</v>
      </c>
      <c r="C371">
        <v>394</v>
      </c>
      <c r="D371">
        <f>IFERROR(tinder[[#This Row],[Tinder Opened]]/tinder[[#This Row],[Days on Tinder]],0)</f>
        <v>15.436548223350254</v>
      </c>
      <c r="E371">
        <f>tinder[[#This Row],[Engagement]]/MAX(tinder[Engagement])</f>
        <v>7.7570594087187208E-2</v>
      </c>
      <c r="F37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71">
        <v>800</v>
      </c>
      <c r="H371">
        <f>IFERROR(tinder[[#This Row],[Conversations]]/tinder[[#This Row],[Tinder Opened]],0)</f>
        <v>0.13153567905294311</v>
      </c>
      <c r="I371">
        <f>tinder[[#This Row],[Conversations]]/MAX(tinder[Conversations])</f>
        <v>6.3281126404049995E-2</v>
      </c>
      <c r="J371">
        <f>(tinder[[#This Row],[Norm Engagement]]*2)+(tinder[[#This Row],[Norm Swipes]]*1)+(tinder[[#This Row],[Norm Conversations]]*2)</f>
        <v>0.36002783637558666</v>
      </c>
      <c r="K37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71">
        <v>129</v>
      </c>
      <c r="M371">
        <v>195</v>
      </c>
      <c r="N371">
        <v>1823</v>
      </c>
      <c r="O371">
        <v>4766</v>
      </c>
      <c r="P371">
        <v>5908</v>
      </c>
      <c r="Q371">
        <f>tinder[[#This Row],[All Swipes]]/MAX(tinder[All Swipes])</f>
        <v>7.8324395393112284E-2</v>
      </c>
      <c r="R371">
        <f>tinder[[#This Row],[Swipe Right (LIKE)]]+tinder[[#This Row],[Swipe Left (PASS)]]</f>
        <v>66483</v>
      </c>
      <c r="S371">
        <v>4093</v>
      </c>
      <c r="T371">
        <v>62390</v>
      </c>
      <c r="U371" t="s">
        <v>8</v>
      </c>
      <c r="V371" s="1">
        <v>42796</v>
      </c>
      <c r="W371" t="s">
        <v>7</v>
      </c>
      <c r="X371" t="s">
        <v>1296</v>
      </c>
      <c r="Y371" t="s">
        <v>8</v>
      </c>
      <c r="Z371">
        <v>18</v>
      </c>
      <c r="AA37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72" spans="1:27" x14ac:dyDescent="0.3">
      <c r="A372" t="s">
        <v>806</v>
      </c>
      <c r="B372">
        <v>6316</v>
      </c>
      <c r="C372">
        <v>412</v>
      </c>
      <c r="D372">
        <f>IFERROR(tinder[[#This Row],[Tinder Opened]]/tinder[[#This Row],[Days on Tinder]],0)</f>
        <v>15.330097087378642</v>
      </c>
      <c r="E372">
        <f>tinder[[#This Row],[Engagement]]/MAX(tinder[Engagement])</f>
        <v>7.7035663755671571E-2</v>
      </c>
      <c r="F37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72">
        <v>30</v>
      </c>
      <c r="H372">
        <f>IFERROR(tinder[[#This Row],[Conversations]]/tinder[[#This Row],[Tinder Opened]],0)</f>
        <v>4.7498416719442688E-3</v>
      </c>
      <c r="I372">
        <f>tinder[[#This Row],[Conversations]]/MAX(tinder[Conversations])</f>
        <v>2.3730422401518746E-3</v>
      </c>
      <c r="J372">
        <f>(tinder[[#This Row],[Norm Engagement]]*2)+(tinder[[#This Row],[Norm Swipes]]*1)+(tinder[[#This Row],[Norm Conversations]]*2)</f>
        <v>0.20399563671879625</v>
      </c>
      <c r="K37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72">
        <v>14</v>
      </c>
      <c r="M372">
        <v>0</v>
      </c>
      <c r="N372">
        <v>400</v>
      </c>
      <c r="O372">
        <v>684</v>
      </c>
      <c r="P372">
        <v>436</v>
      </c>
      <c r="Q372">
        <f>tinder[[#This Row],[All Swipes]]/MAX(tinder[All Swipes])</f>
        <v>4.5178224727149344E-2</v>
      </c>
      <c r="R372">
        <f>tinder[[#This Row],[Swipe Right (LIKE)]]+tinder[[#This Row],[Swipe Left (PASS)]]</f>
        <v>38348</v>
      </c>
      <c r="S372">
        <v>35796</v>
      </c>
      <c r="T372">
        <v>2552</v>
      </c>
      <c r="U372" t="s">
        <v>807</v>
      </c>
      <c r="V372" s="1">
        <v>43251</v>
      </c>
      <c r="W372" t="s">
        <v>12</v>
      </c>
      <c r="X372" t="s">
        <v>1295</v>
      </c>
      <c r="Y372" t="s">
        <v>808</v>
      </c>
      <c r="Z372">
        <v>21</v>
      </c>
      <c r="AA37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73" spans="1:27" x14ac:dyDescent="0.3">
      <c r="A373" t="s">
        <v>981</v>
      </c>
      <c r="B373">
        <v>1854</v>
      </c>
      <c r="C373">
        <v>121</v>
      </c>
      <c r="D373">
        <f>IFERROR(tinder[[#This Row],[Tinder Opened]]/tinder[[#This Row],[Days on Tinder]],0)</f>
        <v>15.322314049586776</v>
      </c>
      <c r="E373">
        <f>tinder[[#This Row],[Engagement]]/MAX(tinder[Engagement])</f>
        <v>7.6996553012998875E-2</v>
      </c>
      <c r="F37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73">
        <v>91</v>
      </c>
      <c r="H373">
        <f>IFERROR(tinder[[#This Row],[Conversations]]/tinder[[#This Row],[Tinder Opened]],0)</f>
        <v>4.908306364617044E-2</v>
      </c>
      <c r="I373">
        <f>tinder[[#This Row],[Conversations]]/MAX(tinder[Conversations])</f>
        <v>7.1982281284606866E-3</v>
      </c>
      <c r="J373">
        <f>(tinder[[#This Row],[Norm Engagement]]*2)+(tinder[[#This Row],[Norm Swipes]]*1)+(tinder[[#This Row],[Norm Conversations]]*2)</f>
        <v>0.22645161577861195</v>
      </c>
      <c r="K37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73">
        <v>49</v>
      </c>
      <c r="M373">
        <v>2</v>
      </c>
      <c r="N373">
        <v>77</v>
      </c>
      <c r="O373">
        <v>512</v>
      </c>
      <c r="P373">
        <v>603</v>
      </c>
      <c r="Q373">
        <f>tinder[[#This Row],[All Swipes]]/MAX(tinder[All Swipes])</f>
        <v>5.8062053495692822E-2</v>
      </c>
      <c r="R373">
        <f>tinder[[#This Row],[Swipe Right (LIKE)]]+tinder[[#This Row],[Swipe Left (PASS)]]</f>
        <v>49284</v>
      </c>
      <c r="S373">
        <v>20172</v>
      </c>
      <c r="T373">
        <v>29112</v>
      </c>
      <c r="U373" t="s">
        <v>8</v>
      </c>
      <c r="V373" s="1">
        <v>44177</v>
      </c>
      <c r="W373" t="s">
        <v>12</v>
      </c>
      <c r="X373" t="s">
        <v>1295</v>
      </c>
      <c r="Y373" t="s">
        <v>8</v>
      </c>
      <c r="Z373">
        <v>25</v>
      </c>
      <c r="AA37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74" spans="1:27" x14ac:dyDescent="0.3">
      <c r="A374" t="s">
        <v>827</v>
      </c>
      <c r="B374">
        <v>8188</v>
      </c>
      <c r="C374">
        <v>535</v>
      </c>
      <c r="D374">
        <f>IFERROR(tinder[[#This Row],[Tinder Opened]]/tinder[[#This Row],[Days on Tinder]],0)</f>
        <v>15.304672897196262</v>
      </c>
      <c r="E374">
        <f>tinder[[#This Row],[Engagement]]/MAX(tinder[Engagement])</f>
        <v>7.6907904006011371E-2</v>
      </c>
      <c r="F37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74">
        <v>255</v>
      </c>
      <c r="H374">
        <f>IFERROR(tinder[[#This Row],[Conversations]]/tinder[[#This Row],[Tinder Opened]],0)</f>
        <v>3.1143136297020028E-2</v>
      </c>
      <c r="I374">
        <f>tinder[[#This Row],[Conversations]]/MAX(tinder[Conversations])</f>
        <v>2.0170859041290935E-2</v>
      </c>
      <c r="J374">
        <f>(tinder[[#This Row],[Norm Engagement]]*2)+(tinder[[#This Row],[Norm Swipes]]*1)+(tinder[[#This Row],[Norm Conversations]]*2)</f>
        <v>0.22069095619017304</v>
      </c>
      <c r="K37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74">
        <v>112</v>
      </c>
      <c r="M374">
        <v>15</v>
      </c>
      <c r="N374">
        <v>415</v>
      </c>
      <c r="O374">
        <v>1068</v>
      </c>
      <c r="P374">
        <v>1005</v>
      </c>
      <c r="Q374">
        <f>tinder[[#This Row],[All Swipes]]/MAX(tinder[All Swipes])</f>
        <v>2.6533430095568415E-2</v>
      </c>
      <c r="R374">
        <f>tinder[[#This Row],[Swipe Right (LIKE)]]+tinder[[#This Row],[Swipe Left (PASS)]]</f>
        <v>22522</v>
      </c>
      <c r="S374">
        <v>12655</v>
      </c>
      <c r="T374">
        <v>9867</v>
      </c>
      <c r="U374" t="s">
        <v>122</v>
      </c>
      <c r="V374" s="1">
        <v>43370</v>
      </c>
      <c r="W374" t="s">
        <v>12</v>
      </c>
      <c r="X374" t="s">
        <v>1295</v>
      </c>
      <c r="Y374" t="s">
        <v>8</v>
      </c>
      <c r="Z374">
        <v>38</v>
      </c>
      <c r="AA374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375" spans="1:27" x14ac:dyDescent="0.3">
      <c r="A375" t="s">
        <v>701</v>
      </c>
      <c r="B375">
        <v>1178</v>
      </c>
      <c r="C375">
        <v>77</v>
      </c>
      <c r="D375">
        <f>IFERROR(tinder[[#This Row],[Tinder Opened]]/tinder[[#This Row],[Days on Tinder]],0)</f>
        <v>15.2987012987013</v>
      </c>
      <c r="E375">
        <f>tinder[[#This Row],[Engagement]]/MAX(tinder[Engagement])</f>
        <v>7.687789597337337E-2</v>
      </c>
      <c r="F37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75">
        <v>20</v>
      </c>
      <c r="H375">
        <f>IFERROR(tinder[[#This Row],[Conversations]]/tinder[[#This Row],[Tinder Opened]],0)</f>
        <v>1.6977928692699491E-2</v>
      </c>
      <c r="I375">
        <f>tinder[[#This Row],[Conversations]]/MAX(tinder[Conversations])</f>
        <v>1.5820281601012498E-3</v>
      </c>
      <c r="J375">
        <f>(tinder[[#This Row],[Norm Engagement]]*2)+(tinder[[#This Row],[Norm Swipes]]*1)+(tinder[[#This Row],[Norm Conversations]]*2)</f>
        <v>0.16430543006559584</v>
      </c>
      <c r="K37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75">
        <v>4</v>
      </c>
      <c r="M375">
        <v>1</v>
      </c>
      <c r="N375">
        <v>36</v>
      </c>
      <c r="O375">
        <v>1755</v>
      </c>
      <c r="P375">
        <v>1860</v>
      </c>
      <c r="Q375">
        <f>tinder[[#This Row],[All Swipes]]/MAX(tinder[All Swipes])</f>
        <v>7.3855817986465851E-3</v>
      </c>
      <c r="R375">
        <f>tinder[[#This Row],[Swipe Right (LIKE)]]+tinder[[#This Row],[Swipe Left (PASS)]]</f>
        <v>6269</v>
      </c>
      <c r="S375">
        <v>1441</v>
      </c>
      <c r="T375">
        <v>4828</v>
      </c>
      <c r="U375" t="s">
        <v>8</v>
      </c>
      <c r="V375" s="1">
        <v>44215</v>
      </c>
      <c r="W375" t="s">
        <v>12</v>
      </c>
      <c r="X375" t="s">
        <v>1295</v>
      </c>
      <c r="Y375" t="s">
        <v>8</v>
      </c>
      <c r="Z375">
        <v>31</v>
      </c>
      <c r="AA375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376" spans="1:27" x14ac:dyDescent="0.3">
      <c r="A376" t="s">
        <v>157</v>
      </c>
      <c r="B376">
        <v>183</v>
      </c>
      <c r="C376">
        <v>12</v>
      </c>
      <c r="D376">
        <f>IFERROR(tinder[[#This Row],[Tinder Opened]]/tinder[[#This Row],[Days on Tinder]],0)</f>
        <v>15.25</v>
      </c>
      <c r="E376">
        <f>tinder[[#This Row],[Engagement]]/MAX(tinder[Engagement])</f>
        <v>7.6633165829145727E-2</v>
      </c>
      <c r="F37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76">
        <v>27</v>
      </c>
      <c r="H376">
        <f>IFERROR(tinder[[#This Row],[Conversations]]/tinder[[#This Row],[Tinder Opened]],0)</f>
        <v>0.14754098360655737</v>
      </c>
      <c r="I376">
        <f>tinder[[#This Row],[Conversations]]/MAX(tinder[Conversations])</f>
        <v>2.1357380161366873E-3</v>
      </c>
      <c r="J376">
        <f>(tinder[[#This Row],[Norm Engagement]]*2)+(tinder[[#This Row],[Norm Swipes]]*1)+(tinder[[#This Row],[Norm Conversations]]*2)</f>
        <v>0.1650518036567106</v>
      </c>
      <c r="K37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76">
        <v>6</v>
      </c>
      <c r="M376">
        <v>5</v>
      </c>
      <c r="N376">
        <v>171</v>
      </c>
      <c r="O376">
        <v>486</v>
      </c>
      <c r="P376">
        <v>348</v>
      </c>
      <c r="Q376">
        <f>tinder[[#This Row],[All Swipes]]/MAX(tinder[All Swipes])</f>
        <v>7.5139959661457839E-3</v>
      </c>
      <c r="R376">
        <f>tinder[[#This Row],[Swipe Right (LIKE)]]+tinder[[#This Row],[Swipe Left (PASS)]]</f>
        <v>6378</v>
      </c>
      <c r="S376">
        <v>1235</v>
      </c>
      <c r="T376">
        <v>5143</v>
      </c>
      <c r="U376" t="s">
        <v>132</v>
      </c>
      <c r="V376" s="1">
        <v>44093</v>
      </c>
      <c r="W376" t="s">
        <v>12</v>
      </c>
      <c r="X376" t="s">
        <v>1296</v>
      </c>
      <c r="Y376" t="s">
        <v>8</v>
      </c>
      <c r="Z376">
        <v>30</v>
      </c>
      <c r="AA37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77" spans="1:27" x14ac:dyDescent="0.3">
      <c r="A377" t="s">
        <v>655</v>
      </c>
      <c r="B377">
        <v>13522</v>
      </c>
      <c r="C377">
        <v>888</v>
      </c>
      <c r="D377">
        <f>IFERROR(tinder[[#This Row],[Tinder Opened]]/tinder[[#This Row],[Days on Tinder]],0)</f>
        <v>15.227477477477477</v>
      </c>
      <c r="E377">
        <f>tinder[[#This Row],[Engagement]]/MAX(tinder[Engagement])</f>
        <v>7.6519987324007416E-2</v>
      </c>
      <c r="F37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77">
        <v>535</v>
      </c>
      <c r="H377">
        <f>IFERROR(tinder[[#This Row],[Conversations]]/tinder[[#This Row],[Tinder Opened]],0)</f>
        <v>3.9565153083863332E-2</v>
      </c>
      <c r="I377">
        <f>tinder[[#This Row],[Conversations]]/MAX(tinder[Conversations])</f>
        <v>4.2319253282708434E-2</v>
      </c>
      <c r="J377">
        <f>(tinder[[#This Row],[Norm Engagement]]*2)+(tinder[[#This Row],[Norm Swipes]]*1)+(tinder[[#This Row],[Norm Conversations]]*2)</f>
        <v>0.33674353182510725</v>
      </c>
      <c r="K37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77">
        <v>208</v>
      </c>
      <c r="M377">
        <v>22</v>
      </c>
      <c r="N377">
        <v>1084</v>
      </c>
      <c r="O377">
        <v>2951</v>
      </c>
      <c r="P377">
        <v>2280</v>
      </c>
      <c r="Q377">
        <f>tinder[[#This Row],[All Swipes]]/MAX(tinder[All Swipes])</f>
        <v>9.9065050611675559E-2</v>
      </c>
      <c r="R377">
        <f>tinder[[#This Row],[Swipe Right (LIKE)]]+tinder[[#This Row],[Swipe Left (PASS)]]</f>
        <v>84088</v>
      </c>
      <c r="S377">
        <v>71438</v>
      </c>
      <c r="T377">
        <v>12650</v>
      </c>
      <c r="U377" t="s">
        <v>8</v>
      </c>
      <c r="V377" s="1">
        <v>42084</v>
      </c>
      <c r="W377" t="s">
        <v>7</v>
      </c>
      <c r="X377" t="s">
        <v>1295</v>
      </c>
      <c r="Y377" t="s">
        <v>19</v>
      </c>
      <c r="Z377">
        <v>26</v>
      </c>
      <c r="AA37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78" spans="1:27" x14ac:dyDescent="0.3">
      <c r="A378" t="s">
        <v>1137</v>
      </c>
      <c r="B378">
        <v>20200</v>
      </c>
      <c r="C378">
        <v>1330</v>
      </c>
      <c r="D378">
        <f>IFERROR(tinder[[#This Row],[Tinder Opened]]/tinder[[#This Row],[Days on Tinder]],0)</f>
        <v>15.18796992481203</v>
      </c>
      <c r="E378">
        <f>tinder[[#This Row],[Engagement]]/MAX(tinder[Engagement])</f>
        <v>7.6321456908603161E-2</v>
      </c>
      <c r="F37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78">
        <v>390</v>
      </c>
      <c r="H378">
        <f>IFERROR(tinder[[#This Row],[Conversations]]/tinder[[#This Row],[Tinder Opened]],0)</f>
        <v>1.9306930693069307E-2</v>
      </c>
      <c r="I378">
        <f>tinder[[#This Row],[Conversations]]/MAX(tinder[Conversations])</f>
        <v>3.0849549121974372E-2</v>
      </c>
      <c r="J378">
        <f>(tinder[[#This Row],[Norm Engagement]]*2)+(tinder[[#This Row],[Norm Swipes]]*1)+(tinder[[#This Row],[Norm Conversations]]*2)</f>
        <v>0.27565329742806616</v>
      </c>
      <c r="K37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78">
        <v>157</v>
      </c>
      <c r="M378">
        <v>1</v>
      </c>
      <c r="N378">
        <v>422</v>
      </c>
      <c r="O378">
        <v>8579</v>
      </c>
      <c r="P378">
        <v>8332</v>
      </c>
      <c r="Q378">
        <f>tinder[[#This Row],[All Swipes]]/MAX(tinder[All Swipes])</f>
        <v>6.1311285366911085E-2</v>
      </c>
      <c r="R378">
        <f>tinder[[#This Row],[Swipe Right (LIKE)]]+tinder[[#This Row],[Swipe Left (PASS)]]</f>
        <v>52042</v>
      </c>
      <c r="S378">
        <v>27120</v>
      </c>
      <c r="T378">
        <v>24922</v>
      </c>
      <c r="U378" t="s">
        <v>311</v>
      </c>
      <c r="V378" s="1">
        <v>41959</v>
      </c>
      <c r="W378" t="s">
        <v>7</v>
      </c>
      <c r="X378" t="s">
        <v>1295</v>
      </c>
      <c r="Y378" t="s">
        <v>8</v>
      </c>
      <c r="Z378">
        <v>33</v>
      </c>
      <c r="AA37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379" spans="1:27" x14ac:dyDescent="0.3">
      <c r="A379" t="s">
        <v>795</v>
      </c>
      <c r="B379">
        <v>33791</v>
      </c>
      <c r="C379">
        <v>2232</v>
      </c>
      <c r="D379">
        <f>IFERROR(tinder[[#This Row],[Tinder Opened]]/tinder[[#This Row],[Days on Tinder]],0)</f>
        <v>15.139336917562725</v>
      </c>
      <c r="E379">
        <f>tinder[[#This Row],[Engagement]]/MAX(tinder[Engagement])</f>
        <v>7.6077069937501129E-2</v>
      </c>
      <c r="F37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79">
        <v>552</v>
      </c>
      <c r="H379">
        <f>IFERROR(tinder[[#This Row],[Conversations]]/tinder[[#This Row],[Tinder Opened]],0)</f>
        <v>1.6335710692196147E-2</v>
      </c>
      <c r="I379">
        <f>tinder[[#This Row],[Conversations]]/MAX(tinder[Conversations])</f>
        <v>4.3663977218794496E-2</v>
      </c>
      <c r="J379">
        <f>(tinder[[#This Row],[Norm Engagement]]*2)+(tinder[[#This Row],[Norm Swipes]]*1)+(tinder[[#This Row],[Norm Conversations]]*2)</f>
        <v>0.47286482979354355</v>
      </c>
      <c r="K37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79">
        <v>86</v>
      </c>
      <c r="M379">
        <v>140</v>
      </c>
      <c r="N379">
        <v>2944</v>
      </c>
      <c r="O379">
        <v>2703</v>
      </c>
      <c r="P379">
        <v>2530</v>
      </c>
      <c r="Q379">
        <f>tinder[[#This Row],[All Swipes]]/MAX(tinder[All Swipes])</f>
        <v>0.23338273548095229</v>
      </c>
      <c r="R379">
        <f>tinder[[#This Row],[Swipe Right (LIKE)]]+tinder[[#This Row],[Swipe Left (PASS)]]</f>
        <v>198099</v>
      </c>
      <c r="S379">
        <v>127981</v>
      </c>
      <c r="T379">
        <v>70118</v>
      </c>
      <c r="U379" t="s">
        <v>14</v>
      </c>
      <c r="V379" s="1">
        <v>41654</v>
      </c>
      <c r="W379" t="s">
        <v>7</v>
      </c>
      <c r="X379" t="s">
        <v>1295</v>
      </c>
      <c r="Y379" t="s">
        <v>8</v>
      </c>
      <c r="Z379">
        <v>23</v>
      </c>
      <c r="AA37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80" spans="1:27" x14ac:dyDescent="0.3">
      <c r="A380" t="s">
        <v>203</v>
      </c>
      <c r="B380">
        <v>3868</v>
      </c>
      <c r="C380">
        <v>257</v>
      </c>
      <c r="D380">
        <f>IFERROR(tinder[[#This Row],[Tinder Opened]]/tinder[[#This Row],[Days on Tinder]],0)</f>
        <v>15.050583657587548</v>
      </c>
      <c r="E380">
        <f>tinder[[#This Row],[Engagement]]/MAX(tinder[Engagement])</f>
        <v>7.5631073656218836E-2</v>
      </c>
      <c r="F38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80">
        <v>125</v>
      </c>
      <c r="H380">
        <f>IFERROR(tinder[[#This Row],[Conversations]]/tinder[[#This Row],[Tinder Opened]],0)</f>
        <v>3.2316442605997933E-2</v>
      </c>
      <c r="I380">
        <f>tinder[[#This Row],[Conversations]]/MAX(tinder[Conversations])</f>
        <v>9.8876760006328113E-3</v>
      </c>
      <c r="J380">
        <f>(tinder[[#This Row],[Norm Engagement]]*2)+(tinder[[#This Row],[Norm Swipes]]*1)+(tinder[[#This Row],[Norm Conversations]]*2)</f>
        <v>0.20624300910616716</v>
      </c>
      <c r="K38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80">
        <v>28</v>
      </c>
      <c r="M380">
        <v>36</v>
      </c>
      <c r="N380">
        <v>291</v>
      </c>
      <c r="O380">
        <v>834</v>
      </c>
      <c r="P380">
        <v>1112</v>
      </c>
      <c r="Q380">
        <f>tinder[[#This Row],[All Swipes]]/MAX(tinder[All Swipes])</f>
        <v>3.5205509792463854E-2</v>
      </c>
      <c r="R380">
        <f>tinder[[#This Row],[Swipe Right (LIKE)]]+tinder[[#This Row],[Swipe Left (PASS)]]</f>
        <v>29883</v>
      </c>
      <c r="S380">
        <v>739</v>
      </c>
      <c r="T380">
        <v>29144</v>
      </c>
      <c r="U380" t="s">
        <v>8</v>
      </c>
      <c r="V380" s="1">
        <v>43296</v>
      </c>
      <c r="W380" t="s">
        <v>12</v>
      </c>
      <c r="X380" t="s">
        <v>1296</v>
      </c>
      <c r="Y380" t="s">
        <v>8</v>
      </c>
      <c r="Z380">
        <v>18</v>
      </c>
      <c r="AA38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81" spans="1:27" x14ac:dyDescent="0.3">
      <c r="A381" t="s">
        <v>106</v>
      </c>
      <c r="B381">
        <v>1037</v>
      </c>
      <c r="C381">
        <v>69</v>
      </c>
      <c r="D381">
        <f>IFERROR(tinder[[#This Row],[Tinder Opened]]/tinder[[#This Row],[Days on Tinder]],0)</f>
        <v>15.028985507246377</v>
      </c>
      <c r="E381">
        <f>tinder[[#This Row],[Engagement]]/MAX(tinder[Engagement])</f>
        <v>7.5522540237418986E-2</v>
      </c>
      <c r="F38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81">
        <v>52</v>
      </c>
      <c r="H381">
        <f>IFERROR(tinder[[#This Row],[Conversations]]/tinder[[#This Row],[Tinder Opened]],0)</f>
        <v>5.0144648023143681E-2</v>
      </c>
      <c r="I381">
        <f>tinder[[#This Row],[Conversations]]/MAX(tinder[Conversations])</f>
        <v>4.1132732162632493E-3</v>
      </c>
      <c r="J381">
        <f>(tinder[[#This Row],[Norm Engagement]]*2)+(tinder[[#This Row],[Norm Swipes]]*1)+(tinder[[#This Row],[Norm Conversations]]*2)</f>
        <v>0.16350458198832429</v>
      </c>
      <c r="K38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81">
        <v>21</v>
      </c>
      <c r="M381">
        <v>0</v>
      </c>
      <c r="N381">
        <v>85</v>
      </c>
      <c r="O381">
        <v>472</v>
      </c>
      <c r="P381">
        <v>378</v>
      </c>
      <c r="Q381">
        <f>tinder[[#This Row],[All Swipes]]/MAX(tinder[All Swipes])</f>
        <v>4.2329550809598309E-3</v>
      </c>
      <c r="R381">
        <f>tinder[[#This Row],[Swipe Right (LIKE)]]+tinder[[#This Row],[Swipe Left (PASS)]]</f>
        <v>3593</v>
      </c>
      <c r="S381">
        <v>1149</v>
      </c>
      <c r="T381">
        <v>2444</v>
      </c>
      <c r="U381" t="s">
        <v>88</v>
      </c>
      <c r="V381" s="1">
        <v>43925</v>
      </c>
      <c r="W381" t="s">
        <v>12</v>
      </c>
      <c r="X381" t="s">
        <v>1295</v>
      </c>
      <c r="Y381" t="s">
        <v>8</v>
      </c>
      <c r="Z381">
        <v>24</v>
      </c>
      <c r="AA38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82" spans="1:27" x14ac:dyDescent="0.3">
      <c r="A382" t="s">
        <v>339</v>
      </c>
      <c r="B382">
        <v>284</v>
      </c>
      <c r="C382">
        <v>19</v>
      </c>
      <c r="D382">
        <f>IFERROR(tinder[[#This Row],[Tinder Opened]]/tinder[[#This Row],[Days on Tinder]],0)</f>
        <v>14.947368421052632</v>
      </c>
      <c r="E382">
        <f>tinder[[#This Row],[Engagement]]/MAX(tinder[Engagement])</f>
        <v>7.5112404125892623E-2</v>
      </c>
      <c r="F38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82">
        <v>6</v>
      </c>
      <c r="H382">
        <f>IFERROR(tinder[[#This Row],[Conversations]]/tinder[[#This Row],[Tinder Opened]],0)</f>
        <v>2.1126760563380281E-2</v>
      </c>
      <c r="I382">
        <f>tinder[[#This Row],[Conversations]]/MAX(tinder[Conversations])</f>
        <v>4.7460844803037496E-4</v>
      </c>
      <c r="J382">
        <f>(tinder[[#This Row],[Norm Engagement]]*2)+(tinder[[#This Row],[Norm Swipes]]*1)+(tinder[[#This Row],[Norm Conversations]]*2)</f>
        <v>0.15236391789256334</v>
      </c>
      <c r="K38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82">
        <v>0</v>
      </c>
      <c r="M382">
        <v>0</v>
      </c>
      <c r="N382">
        <v>25</v>
      </c>
      <c r="O382">
        <v>153</v>
      </c>
      <c r="P382">
        <v>147</v>
      </c>
      <c r="Q382">
        <f>tinder[[#This Row],[All Swipes]]/MAX(tinder[All Swipes])</f>
        <v>1.1898927447173474E-3</v>
      </c>
      <c r="R382">
        <f>tinder[[#This Row],[Swipe Right (LIKE)]]+tinder[[#This Row],[Swipe Left (PASS)]]</f>
        <v>1010</v>
      </c>
      <c r="S382">
        <v>50</v>
      </c>
      <c r="T382">
        <v>960</v>
      </c>
      <c r="U382" t="s">
        <v>8</v>
      </c>
      <c r="V382" s="1">
        <v>43889</v>
      </c>
      <c r="W382" t="s">
        <v>12</v>
      </c>
      <c r="X382" t="s">
        <v>1296</v>
      </c>
      <c r="Y382" t="s">
        <v>8</v>
      </c>
      <c r="Z382">
        <v>24</v>
      </c>
      <c r="AA38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83" spans="1:27" x14ac:dyDescent="0.3">
      <c r="A383" t="s">
        <v>415</v>
      </c>
      <c r="B383">
        <v>11401</v>
      </c>
      <c r="C383">
        <v>765</v>
      </c>
      <c r="D383">
        <f>IFERROR(tinder[[#This Row],[Tinder Opened]]/tinder[[#This Row],[Days on Tinder]],0)</f>
        <v>14.903267973856209</v>
      </c>
      <c r="E383">
        <f>tinder[[#This Row],[Engagement]]/MAX(tinder[Engagement])</f>
        <v>7.4890793838473413E-2</v>
      </c>
      <c r="F38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83">
        <v>38</v>
      </c>
      <c r="H383">
        <f>IFERROR(tinder[[#This Row],[Conversations]]/tinder[[#This Row],[Tinder Opened]],0)</f>
        <v>3.3330409613191825E-3</v>
      </c>
      <c r="I383">
        <f>tinder[[#This Row],[Conversations]]/MAX(tinder[Conversations])</f>
        <v>3.0058535041923747E-3</v>
      </c>
      <c r="J383">
        <f>(tinder[[#This Row],[Norm Engagement]]*2)+(tinder[[#This Row],[Norm Swipes]]*1)+(tinder[[#This Row],[Norm Conversations]]*2)</f>
        <v>0.23642207642365884</v>
      </c>
      <c r="K38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83">
        <v>2</v>
      </c>
      <c r="M383">
        <v>7</v>
      </c>
      <c r="N383">
        <v>690</v>
      </c>
      <c r="O383">
        <v>465</v>
      </c>
      <c r="P383">
        <v>434</v>
      </c>
      <c r="Q383">
        <f>tinder[[#This Row],[All Swipes]]/MAX(tinder[All Swipes])</f>
        <v>8.0628781738327271E-2</v>
      </c>
      <c r="R383">
        <f>tinder[[#This Row],[Swipe Right (LIKE)]]+tinder[[#This Row],[Swipe Left (PASS)]]</f>
        <v>68439</v>
      </c>
      <c r="S383">
        <v>51971</v>
      </c>
      <c r="T383">
        <v>16468</v>
      </c>
      <c r="U383" t="s">
        <v>8</v>
      </c>
      <c r="V383" s="1">
        <v>43387</v>
      </c>
      <c r="W383" t="s">
        <v>12</v>
      </c>
      <c r="X383" t="s">
        <v>1295</v>
      </c>
      <c r="Y383" t="s">
        <v>241</v>
      </c>
      <c r="Z383">
        <v>26</v>
      </c>
      <c r="AA38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84" spans="1:27" x14ac:dyDescent="0.3">
      <c r="A384" t="s">
        <v>1227</v>
      </c>
      <c r="B384">
        <v>9285</v>
      </c>
      <c r="C384">
        <v>628</v>
      </c>
      <c r="D384">
        <f>IFERROR(tinder[[#This Row],[Tinder Opened]]/tinder[[#This Row],[Days on Tinder]],0)</f>
        <v>14.785031847133759</v>
      </c>
      <c r="E384">
        <f>tinder[[#This Row],[Engagement]]/MAX(tinder[Engagement])</f>
        <v>7.4296642447908331E-2</v>
      </c>
      <c r="F38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84">
        <v>971</v>
      </c>
      <c r="H384">
        <f>IFERROR(tinder[[#This Row],[Conversations]]/tinder[[#This Row],[Tinder Opened]],0)</f>
        <v>0.10457727517501346</v>
      </c>
      <c r="I384">
        <f>tinder[[#This Row],[Conversations]]/MAX(tinder[Conversations])</f>
        <v>7.6807467172915672E-2</v>
      </c>
      <c r="J384">
        <f>(tinder[[#This Row],[Norm Engagement]]*2)+(tinder[[#This Row],[Norm Swipes]]*1)+(tinder[[#This Row],[Norm Conversations]]*2)</f>
        <v>0.36644829011684354</v>
      </c>
      <c r="K38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84">
        <v>226</v>
      </c>
      <c r="M384">
        <v>102</v>
      </c>
      <c r="N384">
        <v>2045</v>
      </c>
      <c r="O384">
        <v>5790</v>
      </c>
      <c r="P384">
        <v>8090</v>
      </c>
      <c r="Q384">
        <f>tinder[[#This Row],[All Swipes]]/MAX(tinder[All Swipes])</f>
        <v>6.4240070875195565E-2</v>
      </c>
      <c r="R384">
        <f>tinder[[#This Row],[Swipe Right (LIKE)]]+tinder[[#This Row],[Swipe Left (PASS)]]</f>
        <v>54528</v>
      </c>
      <c r="S384">
        <v>4577</v>
      </c>
      <c r="T384">
        <v>49951</v>
      </c>
      <c r="U384" t="s">
        <v>10</v>
      </c>
      <c r="V384" s="1">
        <v>43469</v>
      </c>
      <c r="W384" t="s">
        <v>12</v>
      </c>
      <c r="X384" t="s">
        <v>1296</v>
      </c>
      <c r="Y384" t="s">
        <v>8</v>
      </c>
      <c r="Z384">
        <v>19</v>
      </c>
      <c r="AA38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85" spans="1:27" x14ac:dyDescent="0.3">
      <c r="A385" t="s">
        <v>488</v>
      </c>
      <c r="B385">
        <v>1034</v>
      </c>
      <c r="C385">
        <v>70</v>
      </c>
      <c r="D385">
        <f>IFERROR(tinder[[#This Row],[Tinder Opened]]/tinder[[#This Row],[Days on Tinder]],0)</f>
        <v>14.771428571428572</v>
      </c>
      <c r="E385">
        <f>tinder[[#This Row],[Engagement]]/MAX(tinder[Engagement])</f>
        <v>7.4228284278535533E-2</v>
      </c>
      <c r="F38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85">
        <v>8</v>
      </c>
      <c r="H385">
        <f>IFERROR(tinder[[#This Row],[Conversations]]/tinder[[#This Row],[Tinder Opened]],0)</f>
        <v>7.7369439071566732E-3</v>
      </c>
      <c r="I385">
        <f>tinder[[#This Row],[Conversations]]/MAX(tinder[Conversations])</f>
        <v>6.3281126404049991E-4</v>
      </c>
      <c r="J385">
        <f>(tinder[[#This Row],[Norm Engagement]]*2)+(tinder[[#This Row],[Norm Swipes]]*1)+(tinder[[#This Row],[Norm Conversations]]*2)</f>
        <v>0.16251412714667776</v>
      </c>
      <c r="K38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85">
        <v>3</v>
      </c>
      <c r="M385">
        <v>1</v>
      </c>
      <c r="N385">
        <v>55</v>
      </c>
      <c r="O385">
        <v>15</v>
      </c>
      <c r="P385">
        <v>18</v>
      </c>
      <c r="Q385">
        <f>tinder[[#This Row],[All Swipes]]/MAX(tinder[All Swipes])</f>
        <v>1.2791936061525701E-2</v>
      </c>
      <c r="R385">
        <f>tinder[[#This Row],[Swipe Right (LIKE)]]+tinder[[#This Row],[Swipe Left (PASS)]]</f>
        <v>10858</v>
      </c>
      <c r="S385">
        <v>7183</v>
      </c>
      <c r="T385">
        <v>3675</v>
      </c>
      <c r="U385" t="s">
        <v>8</v>
      </c>
      <c r="V385" s="1">
        <v>44198</v>
      </c>
      <c r="W385" t="s">
        <v>12</v>
      </c>
      <c r="X385" t="s">
        <v>1295</v>
      </c>
      <c r="Y385" t="s">
        <v>8</v>
      </c>
      <c r="Z385">
        <v>21</v>
      </c>
      <c r="AA38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86" spans="1:27" x14ac:dyDescent="0.3">
      <c r="A386" t="s">
        <v>615</v>
      </c>
      <c r="B386">
        <v>9390</v>
      </c>
      <c r="C386">
        <v>636</v>
      </c>
      <c r="D386">
        <f>IFERROR(tinder[[#This Row],[Tinder Opened]]/tinder[[#This Row],[Days on Tinder]],0)</f>
        <v>14.764150943396226</v>
      </c>
      <c r="E386">
        <f>tinder[[#This Row],[Engagement]]/MAX(tinder[Engagement])</f>
        <v>7.4191713283398117E-2</v>
      </c>
      <c r="F38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86">
        <v>162</v>
      </c>
      <c r="H386">
        <f>IFERROR(tinder[[#This Row],[Conversations]]/tinder[[#This Row],[Tinder Opened]],0)</f>
        <v>1.7252396166134186E-2</v>
      </c>
      <c r="I386">
        <f>tinder[[#This Row],[Conversations]]/MAX(tinder[Conversations])</f>
        <v>1.2814428096820124E-2</v>
      </c>
      <c r="J386">
        <f>(tinder[[#This Row],[Norm Engagement]]*2)+(tinder[[#This Row],[Norm Swipes]]*1)+(tinder[[#This Row],[Norm Conversations]]*2)</f>
        <v>0.27097558222698753</v>
      </c>
      <c r="K38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86">
        <v>65</v>
      </c>
      <c r="M386">
        <v>17</v>
      </c>
      <c r="N386">
        <v>766</v>
      </c>
      <c r="O386">
        <v>816</v>
      </c>
      <c r="P386">
        <v>724</v>
      </c>
      <c r="Q386">
        <f>tinder[[#This Row],[All Swipes]]/MAX(tinder[All Swipes])</f>
        <v>9.6963299466551051E-2</v>
      </c>
      <c r="R386">
        <f>tinder[[#This Row],[Swipe Right (LIKE)]]+tinder[[#This Row],[Swipe Left (PASS)]]</f>
        <v>82304</v>
      </c>
      <c r="S386">
        <v>9285</v>
      </c>
      <c r="T386">
        <v>73019</v>
      </c>
      <c r="U386" t="s">
        <v>8</v>
      </c>
      <c r="V386" s="1">
        <v>43542</v>
      </c>
      <c r="W386" t="s">
        <v>12</v>
      </c>
      <c r="X386" t="s">
        <v>1295</v>
      </c>
      <c r="Y386" t="s">
        <v>8</v>
      </c>
      <c r="Z386">
        <v>18</v>
      </c>
      <c r="AA38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87" spans="1:27" x14ac:dyDescent="0.3">
      <c r="A387" t="s">
        <v>858</v>
      </c>
      <c r="B387">
        <v>310</v>
      </c>
      <c r="C387">
        <v>21</v>
      </c>
      <c r="D387">
        <f>IFERROR(tinder[[#This Row],[Tinder Opened]]/tinder[[#This Row],[Days on Tinder]],0)</f>
        <v>14.761904761904763</v>
      </c>
      <c r="E387">
        <f>tinder[[#This Row],[Engagement]]/MAX(tinder[Engagement])</f>
        <v>7.4180425939219918E-2</v>
      </c>
      <c r="F38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87">
        <v>12</v>
      </c>
      <c r="H387">
        <f>IFERROR(tinder[[#This Row],[Conversations]]/tinder[[#This Row],[Tinder Opened]],0)</f>
        <v>3.870967741935484E-2</v>
      </c>
      <c r="I387">
        <f>tinder[[#This Row],[Conversations]]/MAX(tinder[Conversations])</f>
        <v>9.4921689606074992E-4</v>
      </c>
      <c r="J387">
        <f>(tinder[[#This Row],[Norm Engagement]]*2)+(tinder[[#This Row],[Norm Swipes]]*1)+(tinder[[#This Row],[Norm Conversations]]*2)</f>
        <v>0.15819740182294301</v>
      </c>
      <c r="K38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87">
        <v>2</v>
      </c>
      <c r="M387">
        <v>0</v>
      </c>
      <c r="N387">
        <v>21</v>
      </c>
      <c r="O387">
        <v>159</v>
      </c>
      <c r="P387">
        <v>190</v>
      </c>
      <c r="Q387">
        <f>tinder[[#This Row],[All Swipes]]/MAX(tinder[All Swipes])</f>
        <v>7.9381161523816701E-3</v>
      </c>
      <c r="R387">
        <f>tinder[[#This Row],[Swipe Right (LIKE)]]+tinder[[#This Row],[Swipe Left (PASS)]]</f>
        <v>6738</v>
      </c>
      <c r="S387">
        <v>51</v>
      </c>
      <c r="T387">
        <v>6687</v>
      </c>
      <c r="U387" t="s">
        <v>10</v>
      </c>
      <c r="V387" s="1">
        <v>43665</v>
      </c>
      <c r="W387" t="s">
        <v>12</v>
      </c>
      <c r="X387" t="s">
        <v>1296</v>
      </c>
      <c r="Y387" t="s">
        <v>8</v>
      </c>
      <c r="Z387">
        <v>18</v>
      </c>
      <c r="AA38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88" spans="1:27" x14ac:dyDescent="0.3">
      <c r="A388" t="s">
        <v>327</v>
      </c>
      <c r="B388">
        <v>2207</v>
      </c>
      <c r="C388">
        <v>150</v>
      </c>
      <c r="D388">
        <f>IFERROR(tinder[[#This Row],[Tinder Opened]]/tinder[[#This Row],[Days on Tinder]],0)</f>
        <v>14.713333333333333</v>
      </c>
      <c r="E388">
        <f>tinder[[#This Row],[Engagement]]/MAX(tinder[Engagement])</f>
        <v>7.3936348408710217E-2</v>
      </c>
      <c r="F38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88">
        <v>12</v>
      </c>
      <c r="H388">
        <f>IFERROR(tinder[[#This Row],[Conversations]]/tinder[[#This Row],[Tinder Opened]],0)</f>
        <v>5.4372451291345722E-3</v>
      </c>
      <c r="I388">
        <f>tinder[[#This Row],[Conversations]]/MAX(tinder[Conversations])</f>
        <v>9.4921689606074992E-4</v>
      </c>
      <c r="J388">
        <f>(tinder[[#This Row],[Norm Engagement]]*2)+(tinder[[#This Row],[Norm Swipes]]*1)+(tinder[[#This Row],[Norm Conversations]]*2)</f>
        <v>0.16326522120161374</v>
      </c>
      <c r="K38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88">
        <v>1</v>
      </c>
      <c r="M388">
        <v>0</v>
      </c>
      <c r="N388">
        <v>16</v>
      </c>
      <c r="O388">
        <v>106</v>
      </c>
      <c r="P388">
        <v>58</v>
      </c>
      <c r="Q388">
        <f>tinder[[#This Row],[All Swipes]]/MAX(tinder[All Swipes])</f>
        <v>1.3494090592071781E-2</v>
      </c>
      <c r="R388">
        <f>tinder[[#This Row],[Swipe Right (LIKE)]]+tinder[[#This Row],[Swipe Left (PASS)]]</f>
        <v>11454</v>
      </c>
      <c r="S388">
        <v>1994</v>
      </c>
      <c r="T388">
        <v>9460</v>
      </c>
      <c r="U388" t="s">
        <v>10</v>
      </c>
      <c r="V388" s="1">
        <v>44011</v>
      </c>
      <c r="W388" t="s">
        <v>12</v>
      </c>
      <c r="X388" t="s">
        <v>1295</v>
      </c>
      <c r="Y388" t="s">
        <v>8</v>
      </c>
      <c r="Z388">
        <v>39</v>
      </c>
      <c r="AA38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389" spans="1:27" x14ac:dyDescent="0.3">
      <c r="A389" t="s">
        <v>397</v>
      </c>
      <c r="B389">
        <v>11575</v>
      </c>
      <c r="C389">
        <v>793</v>
      </c>
      <c r="D389">
        <f>IFERROR(tinder[[#This Row],[Tinder Opened]]/tinder[[#This Row],[Days on Tinder]],0)</f>
        <v>14.596469104665825</v>
      </c>
      <c r="E389">
        <f>tinder[[#This Row],[Engagement]]/MAX(tinder[Engagement])</f>
        <v>7.3349090978220233E-2</v>
      </c>
      <c r="F38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89">
        <v>363</v>
      </c>
      <c r="H389">
        <f>IFERROR(tinder[[#This Row],[Conversations]]/tinder[[#This Row],[Tinder Opened]],0)</f>
        <v>3.1360691144708422E-2</v>
      </c>
      <c r="I389">
        <f>tinder[[#This Row],[Conversations]]/MAX(tinder[Conversations])</f>
        <v>2.8713811105837685E-2</v>
      </c>
      <c r="J389">
        <f>(tinder[[#This Row],[Norm Engagement]]*2)+(tinder[[#This Row],[Norm Swipes]]*1)+(tinder[[#This Row],[Norm Conversations]]*2)</f>
        <v>0.44029241742705533</v>
      </c>
      <c r="K38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89">
        <v>98</v>
      </c>
      <c r="M389">
        <v>3</v>
      </c>
      <c r="N389">
        <v>483</v>
      </c>
      <c r="O389">
        <v>5380</v>
      </c>
      <c r="P389">
        <v>3954</v>
      </c>
      <c r="Q389">
        <f>tinder[[#This Row],[All Swipes]]/MAX(tinder[All Swipes])</f>
        <v>0.23616661325893951</v>
      </c>
      <c r="R389">
        <f>tinder[[#This Row],[Swipe Right (LIKE)]]+tinder[[#This Row],[Swipe Left (PASS)]]</f>
        <v>200462</v>
      </c>
      <c r="S389">
        <v>34364</v>
      </c>
      <c r="T389">
        <v>166098</v>
      </c>
      <c r="U389" t="s">
        <v>8</v>
      </c>
      <c r="V389" s="1">
        <v>43383</v>
      </c>
      <c r="W389" t="s">
        <v>12</v>
      </c>
      <c r="X389" t="s">
        <v>1295</v>
      </c>
      <c r="Y389" t="s">
        <v>8</v>
      </c>
      <c r="Z389">
        <v>23</v>
      </c>
      <c r="AA38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90" spans="1:27" x14ac:dyDescent="0.3">
      <c r="A390" t="s">
        <v>1238</v>
      </c>
      <c r="B390">
        <v>1093</v>
      </c>
      <c r="C390">
        <v>75</v>
      </c>
      <c r="D390">
        <f>IFERROR(tinder[[#This Row],[Tinder Opened]]/tinder[[#This Row],[Days on Tinder]],0)</f>
        <v>14.573333333333334</v>
      </c>
      <c r="E390">
        <f>tinder[[#This Row],[Engagement]]/MAX(tinder[Engagement])</f>
        <v>7.323283082077052E-2</v>
      </c>
      <c r="F39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90">
        <v>355</v>
      </c>
      <c r="H390">
        <f>IFERROR(tinder[[#This Row],[Conversations]]/tinder[[#This Row],[Tinder Opened]],0)</f>
        <v>0.32479414455626715</v>
      </c>
      <c r="I390">
        <f>tinder[[#This Row],[Conversations]]/MAX(tinder[Conversations])</f>
        <v>2.8080999841797183E-2</v>
      </c>
      <c r="J390">
        <f>(tinder[[#This Row],[Norm Engagement]]*2)+(tinder[[#This Row],[Norm Swipes]]*1)+(tinder[[#This Row],[Norm Conversations]]*2)</f>
        <v>0.21229406723642832</v>
      </c>
      <c r="K39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90">
        <v>200</v>
      </c>
      <c r="M390">
        <v>12</v>
      </c>
      <c r="N390">
        <v>139</v>
      </c>
      <c r="O390">
        <v>886</v>
      </c>
      <c r="P390">
        <v>655</v>
      </c>
      <c r="Q390">
        <f>tinder[[#This Row],[All Swipes]]/MAX(tinder[All Swipes])</f>
        <v>9.6664059112929069E-3</v>
      </c>
      <c r="R390">
        <f>tinder[[#This Row],[Swipe Right (LIKE)]]+tinder[[#This Row],[Swipe Left (PASS)]]</f>
        <v>8205</v>
      </c>
      <c r="S390">
        <v>7755</v>
      </c>
      <c r="T390">
        <v>450</v>
      </c>
      <c r="U390" t="s">
        <v>10</v>
      </c>
      <c r="V390" s="1">
        <v>44156</v>
      </c>
      <c r="W390" t="s">
        <v>12</v>
      </c>
      <c r="X390" t="s">
        <v>1295</v>
      </c>
      <c r="Y390" t="s">
        <v>1239</v>
      </c>
      <c r="Z390">
        <v>20</v>
      </c>
      <c r="AA39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91" spans="1:27" x14ac:dyDescent="0.3">
      <c r="A391" t="s">
        <v>123</v>
      </c>
      <c r="B391">
        <v>2031</v>
      </c>
      <c r="C391">
        <v>140</v>
      </c>
      <c r="D391">
        <f>IFERROR(tinder[[#This Row],[Tinder Opened]]/tinder[[#This Row],[Days on Tinder]],0)</f>
        <v>14.507142857142858</v>
      </c>
      <c r="E391">
        <f>tinder[[#This Row],[Engagement]]/MAX(tinder[Engagement])</f>
        <v>7.2900215362526929E-2</v>
      </c>
      <c r="F39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91">
        <v>222</v>
      </c>
      <c r="H391">
        <f>IFERROR(tinder[[#This Row],[Conversations]]/tinder[[#This Row],[Tinder Opened]],0)</f>
        <v>0.10930576070901034</v>
      </c>
      <c r="I391">
        <f>tinder[[#This Row],[Conversations]]/MAX(tinder[Conversations])</f>
        <v>1.7560512577123873E-2</v>
      </c>
      <c r="J391">
        <f>(tinder[[#This Row],[Norm Engagement]]*2)+(tinder[[#This Row],[Norm Swipes]]*1)+(tinder[[#This Row],[Norm Conversations]]*2)</f>
        <v>0.19154802276776742</v>
      </c>
      <c r="K39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91">
        <v>21</v>
      </c>
      <c r="M391">
        <v>88</v>
      </c>
      <c r="N391">
        <v>826</v>
      </c>
      <c r="O391">
        <v>5</v>
      </c>
      <c r="P391">
        <v>51</v>
      </c>
      <c r="Q391">
        <f>tinder[[#This Row],[All Swipes]]/MAX(tinder[All Swipes])</f>
        <v>1.0626566888465815E-2</v>
      </c>
      <c r="R391">
        <f>tinder[[#This Row],[Swipe Right (LIKE)]]+tinder[[#This Row],[Swipe Left (PASS)]]</f>
        <v>9020</v>
      </c>
      <c r="S391">
        <v>956</v>
      </c>
      <c r="T391">
        <v>8064</v>
      </c>
      <c r="U391" t="s">
        <v>8</v>
      </c>
      <c r="V391" s="1">
        <v>41706</v>
      </c>
      <c r="W391" t="s">
        <v>7</v>
      </c>
      <c r="X391" t="s">
        <v>1296</v>
      </c>
      <c r="Y391" t="s">
        <v>8</v>
      </c>
      <c r="Z391">
        <v>17</v>
      </c>
      <c r="AA39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92" spans="1:27" x14ac:dyDescent="0.3">
      <c r="A392" t="s">
        <v>1233</v>
      </c>
      <c r="B392">
        <v>3463</v>
      </c>
      <c r="C392">
        <v>239</v>
      </c>
      <c r="D392">
        <f>IFERROR(tinder[[#This Row],[Tinder Opened]]/tinder[[#This Row],[Days on Tinder]],0)</f>
        <v>14.489539748953975</v>
      </c>
      <c r="E392">
        <f>tinder[[#This Row],[Engagement]]/MAX(tinder[Engagement])</f>
        <v>7.2811757532432034E-2</v>
      </c>
      <c r="F39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92">
        <v>85</v>
      </c>
      <c r="H392">
        <f>IFERROR(tinder[[#This Row],[Conversations]]/tinder[[#This Row],[Tinder Opened]],0)</f>
        <v>2.4545192030031766E-2</v>
      </c>
      <c r="I392">
        <f>tinder[[#This Row],[Conversations]]/MAX(tinder[Conversations])</f>
        <v>6.723619680430312E-3</v>
      </c>
      <c r="J392">
        <f>(tinder[[#This Row],[Norm Engagement]]*2)+(tinder[[#This Row],[Norm Swipes]]*1)+(tinder[[#This Row],[Norm Conversations]]*2)</f>
        <v>0.17277454888765753</v>
      </c>
      <c r="K39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92">
        <v>18</v>
      </c>
      <c r="M392">
        <v>16</v>
      </c>
      <c r="N392">
        <v>99</v>
      </c>
      <c r="O392">
        <v>817</v>
      </c>
      <c r="P392">
        <v>1073</v>
      </c>
      <c r="Q392">
        <f>tinder[[#This Row],[All Swipes]]/MAX(tinder[All Swipes])</f>
        <v>1.3703794461932857E-2</v>
      </c>
      <c r="R392">
        <f>tinder[[#This Row],[Swipe Right (LIKE)]]+tinder[[#This Row],[Swipe Left (PASS)]]</f>
        <v>11632</v>
      </c>
      <c r="S392">
        <v>149</v>
      </c>
      <c r="T392">
        <v>11483</v>
      </c>
      <c r="U392" t="s">
        <v>75</v>
      </c>
      <c r="V392" s="1">
        <v>43859</v>
      </c>
      <c r="W392" t="s">
        <v>12</v>
      </c>
      <c r="X392" t="s">
        <v>1296</v>
      </c>
      <c r="Y392" t="s">
        <v>8</v>
      </c>
      <c r="Z392">
        <v>20</v>
      </c>
      <c r="AA39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93" spans="1:27" x14ac:dyDescent="0.3">
      <c r="A393" t="s">
        <v>38</v>
      </c>
      <c r="B393">
        <v>6905</v>
      </c>
      <c r="C393">
        <v>477</v>
      </c>
      <c r="D393">
        <f>IFERROR(tinder[[#This Row],[Tinder Opened]]/tinder[[#This Row],[Days on Tinder]],0)</f>
        <v>14.475890985324948</v>
      </c>
      <c r="E393">
        <f>tinder[[#This Row],[Engagement]]/MAX(tinder[Engagement])</f>
        <v>7.2743170780527375E-2</v>
      </c>
      <c r="F39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93">
        <v>624</v>
      </c>
      <c r="H393">
        <f>IFERROR(tinder[[#This Row],[Conversations]]/tinder[[#This Row],[Tinder Opened]],0)</f>
        <v>9.0369297610427224E-2</v>
      </c>
      <c r="I393">
        <f>tinder[[#This Row],[Conversations]]/MAX(tinder[Conversations])</f>
        <v>4.9359278595158991E-2</v>
      </c>
      <c r="J393">
        <f>(tinder[[#This Row],[Norm Engagement]]*2)+(tinder[[#This Row],[Norm Swipes]]*1)+(tinder[[#This Row],[Norm Conversations]]*2)</f>
        <v>0.30180042004220609</v>
      </c>
      <c r="K39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93">
        <v>188</v>
      </c>
      <c r="M393">
        <v>54</v>
      </c>
      <c r="N393">
        <v>3316</v>
      </c>
      <c r="O393">
        <v>3460</v>
      </c>
      <c r="P393">
        <v>3279</v>
      </c>
      <c r="Q393">
        <f>tinder[[#This Row],[All Swipes]]/MAX(tinder[All Swipes])</f>
        <v>5.7595521290833347E-2</v>
      </c>
      <c r="R393">
        <f>tinder[[#This Row],[Swipe Right (LIKE)]]+tinder[[#This Row],[Swipe Left (PASS)]]</f>
        <v>48888</v>
      </c>
      <c r="S393">
        <v>24371</v>
      </c>
      <c r="T393">
        <v>24517</v>
      </c>
      <c r="U393" t="s">
        <v>6</v>
      </c>
      <c r="V393" s="1">
        <v>42370</v>
      </c>
      <c r="W393" t="s">
        <v>7</v>
      </c>
      <c r="X393" t="s">
        <v>1295</v>
      </c>
      <c r="Y393" t="s">
        <v>19</v>
      </c>
      <c r="Z393">
        <v>18</v>
      </c>
      <c r="AA39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94" spans="1:27" x14ac:dyDescent="0.3">
      <c r="A394" t="s">
        <v>605</v>
      </c>
      <c r="B394">
        <v>101</v>
      </c>
      <c r="C394">
        <v>7</v>
      </c>
      <c r="D394">
        <f>IFERROR(tinder[[#This Row],[Tinder Opened]]/tinder[[#This Row],[Days on Tinder]],0)</f>
        <v>14.428571428571429</v>
      </c>
      <c r="E394">
        <f>tinder[[#This Row],[Engagement]]/MAX(tinder[Engagement])</f>
        <v>7.2505384063173015E-2</v>
      </c>
      <c r="F39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94">
        <v>58</v>
      </c>
      <c r="H394">
        <f>IFERROR(tinder[[#This Row],[Conversations]]/tinder[[#This Row],[Tinder Opened]],0)</f>
        <v>0.57425742574257421</v>
      </c>
      <c r="I394">
        <f>tinder[[#This Row],[Conversations]]/MAX(tinder[Conversations])</f>
        <v>4.5878816642936247E-3</v>
      </c>
      <c r="J394">
        <f>(tinder[[#This Row],[Norm Engagement]]*2)+(tinder[[#This Row],[Norm Swipes]]*1)+(tinder[[#This Row],[Norm Conversations]]*2)</f>
        <v>0.15835586850795771</v>
      </c>
      <c r="K39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94">
        <v>16</v>
      </c>
      <c r="M394">
        <v>3</v>
      </c>
      <c r="N394">
        <v>61</v>
      </c>
      <c r="O394">
        <v>210</v>
      </c>
      <c r="P394">
        <v>190</v>
      </c>
      <c r="Q394">
        <f>tinder[[#This Row],[All Swipes]]/MAX(tinder[All Swipes])</f>
        <v>4.1693370530244481E-3</v>
      </c>
      <c r="R394">
        <f>tinder[[#This Row],[Swipe Right (LIKE)]]+tinder[[#This Row],[Swipe Left (PASS)]]</f>
        <v>3539</v>
      </c>
      <c r="S394">
        <v>1276</v>
      </c>
      <c r="T394">
        <v>2263</v>
      </c>
      <c r="U394" t="s">
        <v>8</v>
      </c>
      <c r="V394" s="1">
        <v>44281</v>
      </c>
      <c r="W394" t="s">
        <v>12</v>
      </c>
      <c r="X394" t="s">
        <v>1295</v>
      </c>
      <c r="Y394" t="s">
        <v>8</v>
      </c>
      <c r="Z394">
        <v>28</v>
      </c>
      <c r="AA39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95" spans="1:27" x14ac:dyDescent="0.3">
      <c r="A395" t="s">
        <v>902</v>
      </c>
      <c r="B395">
        <v>6417</v>
      </c>
      <c r="C395">
        <v>445</v>
      </c>
      <c r="D395">
        <f>IFERROR(tinder[[#This Row],[Tinder Opened]]/tinder[[#This Row],[Days on Tinder]],0)</f>
        <v>14.420224719101123</v>
      </c>
      <c r="E395">
        <f>tinder[[#This Row],[Engagement]]/MAX(tinder[Engagement])</f>
        <v>7.2463440799503134E-2</v>
      </c>
      <c r="F39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95">
        <v>143</v>
      </c>
      <c r="H395">
        <f>IFERROR(tinder[[#This Row],[Conversations]]/tinder[[#This Row],[Tinder Opened]],0)</f>
        <v>2.228455664640798E-2</v>
      </c>
      <c r="I395">
        <f>tinder[[#This Row],[Conversations]]/MAX(tinder[Conversations])</f>
        <v>1.1311501344723937E-2</v>
      </c>
      <c r="J395">
        <f>(tinder[[#This Row],[Norm Engagement]]*2)+(tinder[[#This Row],[Norm Swipes]]*1)+(tinder[[#This Row],[Norm Conversations]]*2)</f>
        <v>0.20717802513405553</v>
      </c>
      <c r="K39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95">
        <v>37</v>
      </c>
      <c r="M395">
        <v>14</v>
      </c>
      <c r="N395">
        <v>643</v>
      </c>
      <c r="O395">
        <v>1363</v>
      </c>
      <c r="P395">
        <v>1684</v>
      </c>
      <c r="Q395">
        <f>tinder[[#This Row],[All Swipes]]/MAX(tinder[All Swipes])</f>
        <v>3.9628140845601401E-2</v>
      </c>
      <c r="R395">
        <f>tinder[[#This Row],[Swipe Right (LIKE)]]+tinder[[#This Row],[Swipe Left (PASS)]]</f>
        <v>33637</v>
      </c>
      <c r="S395">
        <v>10466</v>
      </c>
      <c r="T395">
        <v>23171</v>
      </c>
      <c r="U395" t="s">
        <v>8</v>
      </c>
      <c r="V395" s="1">
        <v>43197</v>
      </c>
      <c r="W395" t="s">
        <v>12</v>
      </c>
      <c r="X395" t="s">
        <v>1295</v>
      </c>
      <c r="Y395" t="s">
        <v>903</v>
      </c>
      <c r="Z395">
        <v>21</v>
      </c>
      <c r="AA39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396" spans="1:27" x14ac:dyDescent="0.3">
      <c r="A396" t="s">
        <v>946</v>
      </c>
      <c r="B396">
        <v>532</v>
      </c>
      <c r="C396">
        <v>37</v>
      </c>
      <c r="D396">
        <f>IFERROR(tinder[[#This Row],[Tinder Opened]]/tinder[[#This Row],[Days on Tinder]],0)</f>
        <v>14.378378378378379</v>
      </c>
      <c r="E396">
        <f>tinder[[#This Row],[Engagement]]/MAX(tinder[Engagement])</f>
        <v>7.2253157680293362E-2</v>
      </c>
      <c r="F39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96">
        <v>56</v>
      </c>
      <c r="H396">
        <f>IFERROR(tinder[[#This Row],[Conversations]]/tinder[[#This Row],[Tinder Opened]],0)</f>
        <v>0.10526315789473684</v>
      </c>
      <c r="I396">
        <f>tinder[[#This Row],[Conversations]]/MAX(tinder[Conversations])</f>
        <v>4.4296788482834993E-3</v>
      </c>
      <c r="J396">
        <f>(tinder[[#This Row],[Norm Engagement]]*2)+(tinder[[#This Row],[Norm Swipes]]*1)+(tinder[[#This Row],[Norm Conversations]]*2)</f>
        <v>0.16143927204680519</v>
      </c>
      <c r="K39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96">
        <v>14</v>
      </c>
      <c r="M396">
        <v>0</v>
      </c>
      <c r="N396">
        <v>90</v>
      </c>
      <c r="O396">
        <v>311</v>
      </c>
      <c r="P396">
        <v>204</v>
      </c>
      <c r="Q396">
        <f>tinder[[#This Row],[All Swipes]]/MAX(tinder[All Swipes])</f>
        <v>8.073598989651468E-3</v>
      </c>
      <c r="R396">
        <f>tinder[[#This Row],[Swipe Right (LIKE)]]+tinder[[#This Row],[Swipe Left (PASS)]]</f>
        <v>6853</v>
      </c>
      <c r="S396">
        <v>1136</v>
      </c>
      <c r="T396">
        <v>5717</v>
      </c>
      <c r="U396" t="s">
        <v>10</v>
      </c>
      <c r="V396" s="1">
        <v>43648</v>
      </c>
      <c r="W396" t="s">
        <v>12</v>
      </c>
      <c r="X396" t="s">
        <v>1295</v>
      </c>
      <c r="Y396" t="s">
        <v>8</v>
      </c>
      <c r="Z396">
        <v>18</v>
      </c>
      <c r="AA39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97" spans="1:27" x14ac:dyDescent="0.3">
      <c r="A397" t="s">
        <v>248</v>
      </c>
      <c r="B397">
        <v>560</v>
      </c>
      <c r="C397">
        <v>39</v>
      </c>
      <c r="D397">
        <f>IFERROR(tinder[[#This Row],[Tinder Opened]]/tinder[[#This Row],[Days on Tinder]],0)</f>
        <v>14.358974358974359</v>
      </c>
      <c r="E397">
        <f>tinder[[#This Row],[Engagement]]/MAX(tinder[Engagement])</f>
        <v>7.2155650045097289E-2</v>
      </c>
      <c r="F39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97">
        <v>45</v>
      </c>
      <c r="H397">
        <f>IFERROR(tinder[[#This Row],[Conversations]]/tinder[[#This Row],[Tinder Opened]],0)</f>
        <v>8.0357142857142863E-2</v>
      </c>
      <c r="I397">
        <f>tinder[[#This Row],[Conversations]]/MAX(tinder[Conversations])</f>
        <v>3.559563360227812E-3</v>
      </c>
      <c r="J397">
        <f>(tinder[[#This Row],[Norm Engagement]]*2)+(tinder[[#This Row],[Norm Swipes]]*1)+(tinder[[#This Row],[Norm Conversations]]*2)</f>
        <v>0.17717334400354007</v>
      </c>
      <c r="K39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97">
        <v>24</v>
      </c>
      <c r="M397">
        <v>1</v>
      </c>
      <c r="N397">
        <v>50</v>
      </c>
      <c r="O397">
        <v>172</v>
      </c>
      <c r="P397">
        <v>146</v>
      </c>
      <c r="Q397">
        <f>tinder[[#This Row],[All Swipes]]/MAX(tinder[All Swipes])</f>
        <v>2.5742917192889861E-2</v>
      </c>
      <c r="R397">
        <f>tinder[[#This Row],[Swipe Right (LIKE)]]+tinder[[#This Row],[Swipe Left (PASS)]]</f>
        <v>21851</v>
      </c>
      <c r="S397">
        <v>6011</v>
      </c>
      <c r="T397">
        <v>15840</v>
      </c>
      <c r="U397" t="s">
        <v>10</v>
      </c>
      <c r="V397" s="1">
        <v>44120</v>
      </c>
      <c r="W397" t="s">
        <v>12</v>
      </c>
      <c r="X397" t="s">
        <v>1295</v>
      </c>
      <c r="Y397" t="s">
        <v>8</v>
      </c>
      <c r="Z397">
        <v>20</v>
      </c>
      <c r="AA39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98" spans="1:27" x14ac:dyDescent="0.3">
      <c r="A398" t="s">
        <v>603</v>
      </c>
      <c r="B398">
        <v>12186</v>
      </c>
      <c r="C398">
        <v>849</v>
      </c>
      <c r="D398">
        <f>IFERROR(tinder[[#This Row],[Tinder Opened]]/tinder[[#This Row],[Days on Tinder]],0)</f>
        <v>14.353356890459365</v>
      </c>
      <c r="E398">
        <f>tinder[[#This Row],[Engagement]]/MAX(tinder[Engagement])</f>
        <v>7.2127421560097313E-2</v>
      </c>
      <c r="F39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98">
        <v>250</v>
      </c>
      <c r="H398">
        <f>IFERROR(tinder[[#This Row],[Conversations]]/tinder[[#This Row],[Tinder Opened]],0)</f>
        <v>2.0515345478417858E-2</v>
      </c>
      <c r="I398">
        <f>tinder[[#This Row],[Conversations]]/MAX(tinder[Conversations])</f>
        <v>1.9775352001265623E-2</v>
      </c>
      <c r="J398">
        <f>(tinder[[#This Row],[Norm Engagement]]*2)+(tinder[[#This Row],[Norm Swipes]]*1)+(tinder[[#This Row],[Norm Conversations]]*2)</f>
        <v>0.35629876119974613</v>
      </c>
      <c r="K39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98">
        <v>65</v>
      </c>
      <c r="M398">
        <v>25</v>
      </c>
      <c r="N398">
        <v>632</v>
      </c>
      <c r="O398">
        <v>1230</v>
      </c>
      <c r="P398">
        <v>1335</v>
      </c>
      <c r="Q398">
        <f>tinder[[#This Row],[All Swipes]]/MAX(tinder[All Swipes])</f>
        <v>0.17249321407702023</v>
      </c>
      <c r="R398">
        <f>tinder[[#This Row],[Swipe Right (LIKE)]]+tinder[[#This Row],[Swipe Left (PASS)]]</f>
        <v>146415</v>
      </c>
      <c r="S398">
        <v>103751</v>
      </c>
      <c r="T398">
        <v>42664</v>
      </c>
      <c r="U398" t="s">
        <v>8</v>
      </c>
      <c r="V398" s="1">
        <v>42198</v>
      </c>
      <c r="W398" t="s">
        <v>7</v>
      </c>
      <c r="X398" t="s">
        <v>1295</v>
      </c>
      <c r="Y398" t="s">
        <v>604</v>
      </c>
      <c r="Z398">
        <v>19</v>
      </c>
      <c r="AA39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399" spans="1:27" x14ac:dyDescent="0.3">
      <c r="A399" t="s">
        <v>1037</v>
      </c>
      <c r="B399">
        <v>2569</v>
      </c>
      <c r="C399">
        <v>179</v>
      </c>
      <c r="D399">
        <f>IFERROR(tinder[[#This Row],[Tinder Opened]]/tinder[[#This Row],[Days on Tinder]],0)</f>
        <v>14.351955307262569</v>
      </c>
      <c r="E399">
        <f>tinder[[#This Row],[Engagement]]/MAX(tinder[Engagement])</f>
        <v>7.2120378428455117E-2</v>
      </c>
      <c r="F39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399">
        <v>410</v>
      </c>
      <c r="H399">
        <f>IFERROR(tinder[[#This Row],[Conversations]]/tinder[[#This Row],[Tinder Opened]],0)</f>
        <v>0.15959517321915143</v>
      </c>
      <c r="I399">
        <f>tinder[[#This Row],[Conversations]]/MAX(tinder[Conversations])</f>
        <v>3.2431577282075623E-2</v>
      </c>
      <c r="J399">
        <f>(tinder[[#This Row],[Norm Engagement]]*2)+(tinder[[#This Row],[Norm Swipes]]*1)+(tinder[[#This Row],[Norm Conversations]]*2)</f>
        <v>0.21795742030873561</v>
      </c>
      <c r="K39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399">
        <v>35</v>
      </c>
      <c r="M399">
        <v>124</v>
      </c>
      <c r="N399">
        <v>552</v>
      </c>
      <c r="O399">
        <v>9316</v>
      </c>
      <c r="P399">
        <v>10464</v>
      </c>
      <c r="Q399">
        <f>tinder[[#This Row],[All Swipes]]/MAX(tinder[All Swipes])</f>
        <v>8.8535088876741247E-3</v>
      </c>
      <c r="R399">
        <f>tinder[[#This Row],[Swipe Right (LIKE)]]+tinder[[#This Row],[Swipe Left (PASS)]]</f>
        <v>7515</v>
      </c>
      <c r="S399">
        <v>3531</v>
      </c>
      <c r="T399">
        <v>3984</v>
      </c>
      <c r="U399" t="s">
        <v>8</v>
      </c>
      <c r="V399" s="1">
        <v>44013</v>
      </c>
      <c r="W399" t="s">
        <v>12</v>
      </c>
      <c r="X399" t="s">
        <v>1296</v>
      </c>
      <c r="Y399" t="s">
        <v>8</v>
      </c>
      <c r="Z399">
        <v>28</v>
      </c>
      <c r="AA39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00" spans="1:27" x14ac:dyDescent="0.3">
      <c r="A400" t="s">
        <v>305</v>
      </c>
      <c r="B400">
        <v>7787</v>
      </c>
      <c r="C400">
        <v>543</v>
      </c>
      <c r="D400">
        <f>IFERROR(tinder[[#This Row],[Tinder Opened]]/tinder[[#This Row],[Days on Tinder]],0)</f>
        <v>14.340699815837937</v>
      </c>
      <c r="E400">
        <f>tinder[[#This Row],[Engagement]]/MAX(tinder[Engagement])</f>
        <v>7.2063818170039887E-2</v>
      </c>
      <c r="F40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00">
        <v>345</v>
      </c>
      <c r="H400">
        <f>IFERROR(tinder[[#This Row],[Conversations]]/tinder[[#This Row],[Tinder Opened]],0)</f>
        <v>4.4304610247848979E-2</v>
      </c>
      <c r="I400">
        <f>tinder[[#This Row],[Conversations]]/MAX(tinder[Conversations])</f>
        <v>2.7289985761746557E-2</v>
      </c>
      <c r="J400">
        <f>(tinder[[#This Row],[Norm Engagement]]*2)+(tinder[[#This Row],[Norm Swipes]]*1)+(tinder[[#This Row],[Norm Conversations]]*2)</f>
        <v>0.3327661081745944</v>
      </c>
      <c r="K40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00">
        <v>75</v>
      </c>
      <c r="M400">
        <v>117</v>
      </c>
      <c r="N400">
        <v>1486</v>
      </c>
      <c r="O400">
        <v>1422</v>
      </c>
      <c r="P400">
        <v>1328</v>
      </c>
      <c r="Q400">
        <f>tinder[[#This Row],[All Swipes]]/MAX(tinder[All Swipes])</f>
        <v>0.13405850031102148</v>
      </c>
      <c r="R400">
        <f>tinder[[#This Row],[Swipe Right (LIKE)]]+tinder[[#This Row],[Swipe Left (PASS)]]</f>
        <v>113791</v>
      </c>
      <c r="S400">
        <v>34743</v>
      </c>
      <c r="T400">
        <v>79048</v>
      </c>
      <c r="U400" t="s">
        <v>10</v>
      </c>
      <c r="V400" s="1">
        <v>43605</v>
      </c>
      <c r="W400" t="s">
        <v>12</v>
      </c>
      <c r="X400" t="s">
        <v>1295</v>
      </c>
      <c r="Y400" t="s">
        <v>8</v>
      </c>
      <c r="Z400">
        <v>31</v>
      </c>
      <c r="AA40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401" spans="1:27" x14ac:dyDescent="0.3">
      <c r="A401" t="s">
        <v>5</v>
      </c>
      <c r="B401">
        <v>6839</v>
      </c>
      <c r="C401">
        <v>477</v>
      </c>
      <c r="D401">
        <f>IFERROR(tinder[[#This Row],[Tinder Opened]]/tinder[[#This Row],[Days on Tinder]],0)</f>
        <v>14.337526205450734</v>
      </c>
      <c r="E401">
        <f>tinder[[#This Row],[Engagement]]/MAX(tinder[Engagement])</f>
        <v>7.204787037914942E-2</v>
      </c>
      <c r="F40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01">
        <v>739</v>
      </c>
      <c r="H401">
        <f>IFERROR(tinder[[#This Row],[Conversations]]/tinder[[#This Row],[Tinder Opened]],0)</f>
        <v>0.10805673344056149</v>
      </c>
      <c r="I401">
        <f>tinder[[#This Row],[Conversations]]/MAX(tinder[Conversations])</f>
        <v>5.8455940515741177E-2</v>
      </c>
      <c r="J401">
        <f>(tinder[[#This Row],[Norm Engagement]]*2)+(tinder[[#This Row],[Norm Swipes]]*1)+(tinder[[#This Row],[Norm Conversations]]*2)</f>
        <v>0.31705039195433982</v>
      </c>
      <c r="K40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01">
        <v>226</v>
      </c>
      <c r="M401">
        <v>66</v>
      </c>
      <c r="N401">
        <v>3408</v>
      </c>
      <c r="O401">
        <v>3360</v>
      </c>
      <c r="P401">
        <v>3261</v>
      </c>
      <c r="Q401">
        <f>tinder[[#This Row],[All Swipes]]/MAX(tinder[All Swipes])</f>
        <v>5.6042770164558629E-2</v>
      </c>
      <c r="R401">
        <f>tinder[[#This Row],[Swipe Right (LIKE)]]+tinder[[#This Row],[Swipe Left (PASS)]]</f>
        <v>47570</v>
      </c>
      <c r="S401">
        <v>23341</v>
      </c>
      <c r="T401">
        <v>24229</v>
      </c>
      <c r="U401" t="s">
        <v>6</v>
      </c>
      <c r="V401" s="1">
        <v>42370</v>
      </c>
      <c r="W401" t="s">
        <v>7</v>
      </c>
      <c r="X401" t="s">
        <v>1295</v>
      </c>
      <c r="Y401" t="s">
        <v>8</v>
      </c>
      <c r="Z401">
        <v>40</v>
      </c>
      <c r="AA401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402" spans="1:27" x14ac:dyDescent="0.3">
      <c r="A402" t="s">
        <v>452</v>
      </c>
      <c r="B402">
        <v>6261</v>
      </c>
      <c r="C402">
        <v>437</v>
      </c>
      <c r="D402">
        <f>IFERROR(tinder[[#This Row],[Tinder Opened]]/tinder[[#This Row],[Days on Tinder]],0)</f>
        <v>14.327231121281464</v>
      </c>
      <c r="E402">
        <f>tinder[[#This Row],[Engagement]]/MAX(tinder[Engagement])</f>
        <v>7.1996136287846554E-2</v>
      </c>
      <c r="F40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02">
        <v>25</v>
      </c>
      <c r="H402">
        <f>IFERROR(tinder[[#This Row],[Conversations]]/tinder[[#This Row],[Tinder Opened]],0)</f>
        <v>3.9929723686312089E-3</v>
      </c>
      <c r="I402">
        <f>tinder[[#This Row],[Conversations]]/MAX(tinder[Conversations])</f>
        <v>1.9775352001265623E-3</v>
      </c>
      <c r="J402">
        <f>(tinder[[#This Row],[Norm Engagement]]*2)+(tinder[[#This Row],[Norm Swipes]]*1)+(tinder[[#This Row],[Norm Conversations]]*2)</f>
        <v>0.19709580389091483</v>
      </c>
      <c r="K40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02">
        <v>2</v>
      </c>
      <c r="M402">
        <v>1</v>
      </c>
      <c r="N402">
        <v>68</v>
      </c>
      <c r="O402">
        <v>469</v>
      </c>
      <c r="P402">
        <v>499</v>
      </c>
      <c r="Q402">
        <f>tinder[[#This Row],[All Swipes]]/MAX(tinder[All Swipes])</f>
        <v>4.9148460914968613E-2</v>
      </c>
      <c r="R402">
        <f>tinder[[#This Row],[Swipe Right (LIKE)]]+tinder[[#This Row],[Swipe Left (PASS)]]</f>
        <v>41718</v>
      </c>
      <c r="S402">
        <v>186</v>
      </c>
      <c r="T402">
        <v>41532</v>
      </c>
      <c r="U402" t="s">
        <v>61</v>
      </c>
      <c r="V402" s="1">
        <v>43652</v>
      </c>
      <c r="W402" t="s">
        <v>12</v>
      </c>
      <c r="X402" t="s">
        <v>1296</v>
      </c>
      <c r="Y402" t="s">
        <v>453</v>
      </c>
      <c r="Z402">
        <v>24</v>
      </c>
      <c r="AA40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03" spans="1:27" x14ac:dyDescent="0.3">
      <c r="A403" t="s">
        <v>93</v>
      </c>
      <c r="B403">
        <v>7119</v>
      </c>
      <c r="C403">
        <v>497</v>
      </c>
      <c r="D403">
        <f>IFERROR(tinder[[#This Row],[Tinder Opened]]/tinder[[#This Row],[Days on Tinder]],0)</f>
        <v>14.32394366197183</v>
      </c>
      <c r="E403">
        <f>tinder[[#This Row],[Engagement]]/MAX(tinder[Engagement])</f>
        <v>7.1979616391818241E-2</v>
      </c>
      <c r="F40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03">
        <v>410</v>
      </c>
      <c r="H403">
        <f>IFERROR(tinder[[#This Row],[Conversations]]/tinder[[#This Row],[Tinder Opened]],0)</f>
        <v>5.7592358477314226E-2</v>
      </c>
      <c r="I403">
        <f>tinder[[#This Row],[Conversations]]/MAX(tinder[Conversations])</f>
        <v>3.2431577282075623E-2</v>
      </c>
      <c r="J403">
        <f>(tinder[[#This Row],[Norm Engagement]]*2)+(tinder[[#This Row],[Norm Swipes]]*1)+(tinder[[#This Row],[Norm Conversations]]*2)</f>
        <v>0.25685164221574497</v>
      </c>
      <c r="K40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03">
        <v>196</v>
      </c>
      <c r="M403">
        <v>65</v>
      </c>
      <c r="N403">
        <v>1305</v>
      </c>
      <c r="O403">
        <v>2415</v>
      </c>
      <c r="P403">
        <v>2267</v>
      </c>
      <c r="Q403">
        <f>tinder[[#This Row],[All Swipes]]/MAX(tinder[All Swipes])</f>
        <v>4.8029254867957248E-2</v>
      </c>
      <c r="R403">
        <f>tinder[[#This Row],[Swipe Right (LIKE)]]+tinder[[#This Row],[Swipe Left (PASS)]]</f>
        <v>40768</v>
      </c>
      <c r="S403">
        <v>38582</v>
      </c>
      <c r="T403">
        <v>2186</v>
      </c>
      <c r="U403" t="s">
        <v>8</v>
      </c>
      <c r="V403" s="1">
        <v>41888</v>
      </c>
      <c r="W403" t="s">
        <v>12</v>
      </c>
      <c r="X403" t="s">
        <v>1295</v>
      </c>
      <c r="Y403" t="s">
        <v>8</v>
      </c>
      <c r="Z403">
        <v>20</v>
      </c>
      <c r="AA40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04" spans="1:27" x14ac:dyDescent="0.3">
      <c r="A404" t="s">
        <v>340</v>
      </c>
      <c r="B404">
        <v>3663</v>
      </c>
      <c r="C404">
        <v>257</v>
      </c>
      <c r="D404">
        <f>IFERROR(tinder[[#This Row],[Tinder Opened]]/tinder[[#This Row],[Days on Tinder]],0)</f>
        <v>14.252918287937744</v>
      </c>
      <c r="E404">
        <f>tinder[[#This Row],[Engagement]]/MAX(tinder[Engagement])</f>
        <v>7.1622704964511272E-2</v>
      </c>
      <c r="F40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04">
        <v>304</v>
      </c>
      <c r="H404">
        <f>IFERROR(tinder[[#This Row],[Conversations]]/tinder[[#This Row],[Tinder Opened]],0)</f>
        <v>8.2992082992082994E-2</v>
      </c>
      <c r="I404">
        <f>tinder[[#This Row],[Conversations]]/MAX(tinder[Conversations])</f>
        <v>2.4046828033538997E-2</v>
      </c>
      <c r="J404">
        <f>(tinder[[#This Row],[Norm Engagement]]*2)+(tinder[[#This Row],[Norm Swipes]]*1)+(tinder[[#This Row],[Norm Conversations]]*2)</f>
        <v>0.27214103014380747</v>
      </c>
      <c r="K40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04">
        <v>58</v>
      </c>
      <c r="M404">
        <v>86</v>
      </c>
      <c r="N404">
        <v>827</v>
      </c>
      <c r="O404">
        <v>2282</v>
      </c>
      <c r="P404">
        <v>3314</v>
      </c>
      <c r="Q404">
        <f>tinder[[#This Row],[All Swipes]]/MAX(tinder[All Swipes])</f>
        <v>8.080196414770692E-2</v>
      </c>
      <c r="R404">
        <f>tinder[[#This Row],[Swipe Right (LIKE)]]+tinder[[#This Row],[Swipe Left (PASS)]]</f>
        <v>68586</v>
      </c>
      <c r="S404">
        <v>1562</v>
      </c>
      <c r="T404">
        <v>67024</v>
      </c>
      <c r="U404" t="s">
        <v>8</v>
      </c>
      <c r="V404" s="1">
        <v>43826</v>
      </c>
      <c r="W404" t="s">
        <v>12</v>
      </c>
      <c r="X404" t="s">
        <v>1296</v>
      </c>
      <c r="Y404" t="s">
        <v>8</v>
      </c>
      <c r="Z404">
        <v>18</v>
      </c>
      <c r="AA40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05" spans="1:27" x14ac:dyDescent="0.3">
      <c r="A405" t="s">
        <v>377</v>
      </c>
      <c r="B405">
        <v>23828</v>
      </c>
      <c r="C405">
        <v>1672</v>
      </c>
      <c r="D405">
        <f>IFERROR(tinder[[#This Row],[Tinder Opened]]/tinder[[#This Row],[Days on Tinder]],0)</f>
        <v>14.251196172248804</v>
      </c>
      <c r="E405">
        <f>tinder[[#This Row],[Engagement]]/MAX(tinder[Engagement])</f>
        <v>7.1614051116828156E-2</v>
      </c>
      <c r="F40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05">
        <v>1269</v>
      </c>
      <c r="H405">
        <f>IFERROR(tinder[[#This Row],[Conversations]]/tinder[[#This Row],[Tinder Opened]],0)</f>
        <v>5.3256672821890214E-2</v>
      </c>
      <c r="I405">
        <f>tinder[[#This Row],[Conversations]]/MAX(tinder[Conversations])</f>
        <v>0.10037968675842431</v>
      </c>
      <c r="J405">
        <f>(tinder[[#This Row],[Norm Engagement]]*2)+(tinder[[#This Row],[Norm Swipes]]*1)+(tinder[[#This Row],[Norm Conversations]]*2)</f>
        <v>0.9036694327352931</v>
      </c>
      <c r="K40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05">
        <v>426</v>
      </c>
      <c r="M405">
        <v>201</v>
      </c>
      <c r="N405">
        <v>5722</v>
      </c>
      <c r="O405">
        <v>6935</v>
      </c>
      <c r="P405">
        <v>8020</v>
      </c>
      <c r="Q405">
        <f>tinder[[#This Row],[All Swipes]]/MAX(tinder[All Swipes])</f>
        <v>0.55968195698478818</v>
      </c>
      <c r="R405">
        <f>tinder[[#This Row],[Swipe Right (LIKE)]]+tinder[[#This Row],[Swipe Left (PASS)]]</f>
        <v>475067</v>
      </c>
      <c r="S405">
        <v>21079</v>
      </c>
      <c r="T405">
        <v>453988</v>
      </c>
      <c r="U405" t="s">
        <v>8</v>
      </c>
      <c r="V405" s="1">
        <v>41793</v>
      </c>
      <c r="W405" t="s">
        <v>7</v>
      </c>
      <c r="X405" t="s">
        <v>1296</v>
      </c>
      <c r="Y405" t="s">
        <v>378</v>
      </c>
      <c r="Z405">
        <v>20</v>
      </c>
      <c r="AA40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06" spans="1:27" x14ac:dyDescent="0.3">
      <c r="A406" t="s">
        <v>479</v>
      </c>
      <c r="B406">
        <v>4043</v>
      </c>
      <c r="C406">
        <v>284</v>
      </c>
      <c r="D406">
        <f>IFERROR(tinder[[#This Row],[Tinder Opened]]/tinder[[#This Row],[Days on Tinder]],0)</f>
        <v>14.235915492957746</v>
      </c>
      <c r="E406">
        <f>tinder[[#This Row],[Engagement]]/MAX(tinder[Engagement])</f>
        <v>7.1537263783707269E-2</v>
      </c>
      <c r="F40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06">
        <v>118</v>
      </c>
      <c r="H406">
        <f>IFERROR(tinder[[#This Row],[Conversations]]/tinder[[#This Row],[Tinder Opened]],0)</f>
        <v>2.9186247835765521E-2</v>
      </c>
      <c r="I406">
        <f>tinder[[#This Row],[Conversations]]/MAX(tinder[Conversations])</f>
        <v>9.3339661445973731E-3</v>
      </c>
      <c r="J406">
        <f>(tinder[[#This Row],[Norm Engagement]]*2)+(tinder[[#This Row],[Norm Swipes]]*1)+(tinder[[#This Row],[Norm Conversations]]*2)</f>
        <v>0.2813349274821017</v>
      </c>
      <c r="K40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06">
        <v>21</v>
      </c>
      <c r="M406">
        <v>44</v>
      </c>
      <c r="N406">
        <v>331</v>
      </c>
      <c r="O406">
        <v>809</v>
      </c>
      <c r="P406">
        <v>1083</v>
      </c>
      <c r="Q406">
        <f>tinder[[#This Row],[All Swipes]]/MAX(tinder[All Swipes])</f>
        <v>0.11959246762549246</v>
      </c>
      <c r="R406">
        <f>tinder[[#This Row],[Swipe Right (LIKE)]]+tinder[[#This Row],[Swipe Left (PASS)]]</f>
        <v>101512</v>
      </c>
      <c r="S406">
        <v>959</v>
      </c>
      <c r="T406">
        <v>100553</v>
      </c>
      <c r="U406" t="s">
        <v>10</v>
      </c>
      <c r="V406" s="1">
        <v>43959</v>
      </c>
      <c r="W406" t="s">
        <v>12</v>
      </c>
      <c r="X406" t="s">
        <v>1296</v>
      </c>
      <c r="Y406" t="s">
        <v>480</v>
      </c>
      <c r="Z406">
        <v>34</v>
      </c>
      <c r="AA406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407" spans="1:27" x14ac:dyDescent="0.3">
      <c r="A407" t="s">
        <v>1127</v>
      </c>
      <c r="B407">
        <v>6670</v>
      </c>
      <c r="C407">
        <v>471</v>
      </c>
      <c r="D407">
        <f>IFERROR(tinder[[#This Row],[Tinder Opened]]/tinder[[#This Row],[Days on Tinder]],0)</f>
        <v>14.161358811040341</v>
      </c>
      <c r="E407">
        <f>tinder[[#This Row],[Engagement]]/MAX(tinder[Engagement])</f>
        <v>7.1162607090654972E-2</v>
      </c>
      <c r="F40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07">
        <v>240</v>
      </c>
      <c r="H407">
        <f>IFERROR(tinder[[#This Row],[Conversations]]/tinder[[#This Row],[Tinder Opened]],0)</f>
        <v>3.5982008995502246E-2</v>
      </c>
      <c r="I407">
        <f>tinder[[#This Row],[Conversations]]/MAX(tinder[Conversations])</f>
        <v>1.8984337921214997E-2</v>
      </c>
      <c r="J407">
        <f>(tinder[[#This Row],[Norm Engagement]]*2)+(tinder[[#This Row],[Norm Swipes]]*1)+(tinder[[#This Row],[Norm Conversations]]*2)</f>
        <v>0.25627973383441272</v>
      </c>
      <c r="K40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07">
        <v>36</v>
      </c>
      <c r="M407">
        <v>9</v>
      </c>
      <c r="N407">
        <v>292</v>
      </c>
      <c r="O407">
        <v>5143</v>
      </c>
      <c r="P407">
        <v>5080</v>
      </c>
      <c r="Q407">
        <f>tinder[[#This Row],[All Swipes]]/MAX(tinder[All Swipes])</f>
        <v>7.5985843810672749E-2</v>
      </c>
      <c r="R407">
        <f>tinder[[#This Row],[Swipe Right (LIKE)]]+tinder[[#This Row],[Swipe Left (PASS)]]</f>
        <v>64498</v>
      </c>
      <c r="S407">
        <v>10804</v>
      </c>
      <c r="T407">
        <v>53694</v>
      </c>
      <c r="U407" t="s">
        <v>69</v>
      </c>
      <c r="V407" s="1">
        <v>43602</v>
      </c>
      <c r="W407" t="s">
        <v>12</v>
      </c>
      <c r="X407" t="s">
        <v>1295</v>
      </c>
      <c r="Y407" t="s">
        <v>8</v>
      </c>
      <c r="Z407">
        <v>18</v>
      </c>
      <c r="AA40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08" spans="1:27" x14ac:dyDescent="0.3">
      <c r="A408" t="s">
        <v>495</v>
      </c>
      <c r="B408">
        <v>1515</v>
      </c>
      <c r="C408">
        <v>107</v>
      </c>
      <c r="D408">
        <f>IFERROR(tinder[[#This Row],[Tinder Opened]]/tinder[[#This Row],[Days on Tinder]],0)</f>
        <v>14.158878504672897</v>
      </c>
      <c r="E408">
        <f>tinder[[#This Row],[Engagement]]/MAX(tinder[Engagement])</f>
        <v>7.11501432395623E-2</v>
      </c>
      <c r="F40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08">
        <v>107</v>
      </c>
      <c r="H408">
        <f>IFERROR(tinder[[#This Row],[Conversations]]/tinder[[#This Row],[Tinder Opened]],0)</f>
        <v>7.062706270627063E-2</v>
      </c>
      <c r="I408">
        <f>tinder[[#This Row],[Conversations]]/MAX(tinder[Conversations])</f>
        <v>8.4638506565416858E-3</v>
      </c>
      <c r="J408">
        <f>(tinder[[#This Row],[Norm Engagement]]*2)+(tinder[[#This Row],[Norm Swipes]]*1)+(tinder[[#This Row],[Norm Conversations]]*2)</f>
        <v>0.17344308270088077</v>
      </c>
      <c r="K40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08">
        <v>20</v>
      </c>
      <c r="M408">
        <v>2</v>
      </c>
      <c r="N408">
        <v>111</v>
      </c>
      <c r="O408">
        <v>1682</v>
      </c>
      <c r="P408">
        <v>1331</v>
      </c>
      <c r="Q408">
        <f>tinder[[#This Row],[All Swipes]]/MAX(tinder[All Swipes])</f>
        <v>1.4215094908672787E-2</v>
      </c>
      <c r="R408">
        <f>tinder[[#This Row],[Swipe Right (LIKE)]]+tinder[[#This Row],[Swipe Left (PASS)]]</f>
        <v>12066</v>
      </c>
      <c r="S408">
        <v>4811</v>
      </c>
      <c r="T408">
        <v>7255</v>
      </c>
      <c r="U408" t="s">
        <v>8</v>
      </c>
      <c r="V408" s="1">
        <v>44101</v>
      </c>
      <c r="W408" t="s">
        <v>12</v>
      </c>
      <c r="X408" t="s">
        <v>1295</v>
      </c>
      <c r="Y408" t="s">
        <v>108</v>
      </c>
      <c r="Z408">
        <v>31</v>
      </c>
      <c r="AA40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409" spans="1:27" x14ac:dyDescent="0.3">
      <c r="A409" t="s">
        <v>659</v>
      </c>
      <c r="B409">
        <v>6206</v>
      </c>
      <c r="C409">
        <v>440</v>
      </c>
      <c r="D409">
        <f>IFERROR(tinder[[#This Row],[Tinder Opened]]/tinder[[#This Row],[Days on Tinder]],0)</f>
        <v>14.104545454545455</v>
      </c>
      <c r="E409">
        <f>tinder[[#This Row],[Engagement]]/MAX(tinder[Engagement])</f>
        <v>7.0877112836911838E-2</v>
      </c>
      <c r="F40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09">
        <v>21</v>
      </c>
      <c r="H409">
        <f>IFERROR(tinder[[#This Row],[Conversations]]/tinder[[#This Row],[Tinder Opened]],0)</f>
        <v>3.3838221076377701E-3</v>
      </c>
      <c r="I409">
        <f>tinder[[#This Row],[Conversations]]/MAX(tinder[Conversations])</f>
        <v>1.6611295681063123E-3</v>
      </c>
      <c r="J409">
        <f>(tinder[[#This Row],[Norm Engagement]]*2)+(tinder[[#This Row],[Norm Swipes]]*1)+(tinder[[#This Row],[Norm Conversations]]*2)</f>
        <v>0.21129224888611403</v>
      </c>
      <c r="K40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09">
        <v>0</v>
      </c>
      <c r="M409">
        <v>19</v>
      </c>
      <c r="N409">
        <v>286</v>
      </c>
      <c r="O409">
        <v>14</v>
      </c>
      <c r="P409">
        <v>38</v>
      </c>
      <c r="Q409">
        <f>tinder[[#This Row],[All Swipes]]/MAX(tinder[All Swipes])</f>
        <v>6.6215764076077738E-2</v>
      </c>
      <c r="R409">
        <f>tinder[[#This Row],[Swipe Right (LIKE)]]+tinder[[#This Row],[Swipe Left (PASS)]]</f>
        <v>56205</v>
      </c>
      <c r="S409">
        <v>27291</v>
      </c>
      <c r="T409">
        <v>28914</v>
      </c>
      <c r="U409" t="s">
        <v>75</v>
      </c>
      <c r="V409" s="1">
        <v>43857</v>
      </c>
      <c r="W409" t="s">
        <v>12</v>
      </c>
      <c r="X409" t="s">
        <v>1295</v>
      </c>
      <c r="Y409" t="s">
        <v>8</v>
      </c>
      <c r="Z409">
        <v>21</v>
      </c>
      <c r="AA40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10" spans="1:27" x14ac:dyDescent="0.3">
      <c r="A410" t="s">
        <v>1234</v>
      </c>
      <c r="B410">
        <v>12729</v>
      </c>
      <c r="C410">
        <v>905</v>
      </c>
      <c r="D410">
        <f>IFERROR(tinder[[#This Row],[Tinder Opened]]/tinder[[#This Row],[Days on Tinder]],0)</f>
        <v>14.065193370165746</v>
      </c>
      <c r="E410">
        <f>tinder[[#This Row],[Engagement]]/MAX(tinder[Engagement])</f>
        <v>7.06793636691746E-2</v>
      </c>
      <c r="F41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10">
        <v>144</v>
      </c>
      <c r="H410">
        <f>IFERROR(tinder[[#This Row],[Conversations]]/tinder[[#This Row],[Tinder Opened]],0)</f>
        <v>1.1312750412444025E-2</v>
      </c>
      <c r="I410">
        <f>tinder[[#This Row],[Conversations]]/MAX(tinder[Conversations])</f>
        <v>1.1390602752728999E-2</v>
      </c>
      <c r="J410">
        <f>(tinder[[#This Row],[Norm Engagement]]*2)+(tinder[[#This Row],[Norm Swipes]]*1)+(tinder[[#This Row],[Norm Conversations]]*2)</f>
        <v>0.24400176391202458</v>
      </c>
      <c r="K41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10">
        <v>65</v>
      </c>
      <c r="M410">
        <v>0</v>
      </c>
      <c r="N410">
        <v>438</v>
      </c>
      <c r="O410">
        <v>1180</v>
      </c>
      <c r="P410">
        <v>1234</v>
      </c>
      <c r="Q410">
        <f>tinder[[#This Row],[All Swipes]]/MAX(tinder[All Swipes])</f>
        <v>7.986183106821737E-2</v>
      </c>
      <c r="R410">
        <f>tinder[[#This Row],[Swipe Right (LIKE)]]+tinder[[#This Row],[Swipe Left (PASS)]]</f>
        <v>67788</v>
      </c>
      <c r="S410">
        <v>41299</v>
      </c>
      <c r="T410">
        <v>26489</v>
      </c>
      <c r="U410" t="s">
        <v>85</v>
      </c>
      <c r="V410" s="1">
        <v>43005</v>
      </c>
      <c r="W410" t="s">
        <v>12</v>
      </c>
      <c r="X410" t="s">
        <v>1295</v>
      </c>
      <c r="Y410" t="s">
        <v>1235</v>
      </c>
      <c r="Z410">
        <v>24</v>
      </c>
      <c r="AA41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11" spans="1:27" x14ac:dyDescent="0.3">
      <c r="A411" t="s">
        <v>667</v>
      </c>
      <c r="B411">
        <v>4483</v>
      </c>
      <c r="C411">
        <v>319</v>
      </c>
      <c r="D411">
        <f>IFERROR(tinder[[#This Row],[Tinder Opened]]/tinder[[#This Row],[Days on Tinder]],0)</f>
        <v>14.053291536050157</v>
      </c>
      <c r="E411">
        <f>tinder[[#This Row],[Engagement]]/MAX(tinder[Engagement])</f>
        <v>7.061955545753848E-2</v>
      </c>
      <c r="F41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11">
        <v>159</v>
      </c>
      <c r="H411">
        <f>IFERROR(tinder[[#This Row],[Conversations]]/tinder[[#This Row],[Tinder Opened]],0)</f>
        <v>3.546732099040821E-2</v>
      </c>
      <c r="I411">
        <f>tinder[[#This Row],[Conversations]]/MAX(tinder[Conversations])</f>
        <v>1.2577123872804937E-2</v>
      </c>
      <c r="J411">
        <f>(tinder[[#This Row],[Norm Engagement]]*2)+(tinder[[#This Row],[Norm Swipes]]*1)+(tinder[[#This Row],[Norm Conversations]]*2)</f>
        <v>0.18282094720755682</v>
      </c>
      <c r="K41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11">
        <v>35</v>
      </c>
      <c r="M411">
        <v>53</v>
      </c>
      <c r="N411">
        <v>303</v>
      </c>
      <c r="O411">
        <v>615</v>
      </c>
      <c r="P411">
        <v>544</v>
      </c>
      <c r="Q411">
        <f>tinder[[#This Row],[All Swipes]]/MAX(tinder[All Swipes])</f>
        <v>1.6427588546869994E-2</v>
      </c>
      <c r="R411">
        <f>tinder[[#This Row],[Swipe Right (LIKE)]]+tinder[[#This Row],[Swipe Left (PASS)]]</f>
        <v>13944</v>
      </c>
      <c r="S411">
        <v>8177</v>
      </c>
      <c r="T411">
        <v>5767</v>
      </c>
      <c r="U411" t="s">
        <v>8</v>
      </c>
      <c r="V411" s="1">
        <v>42593</v>
      </c>
      <c r="W411" t="s">
        <v>7</v>
      </c>
      <c r="X411" t="s">
        <v>1295</v>
      </c>
      <c r="Y411" t="s">
        <v>8</v>
      </c>
      <c r="Z411">
        <v>22</v>
      </c>
      <c r="AA41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12" spans="1:27" x14ac:dyDescent="0.3">
      <c r="A412" t="s">
        <v>1258</v>
      </c>
      <c r="B412">
        <v>13853</v>
      </c>
      <c r="C412">
        <v>986</v>
      </c>
      <c r="D412">
        <f>IFERROR(tinder[[#This Row],[Tinder Opened]]/tinder[[#This Row],[Days on Tinder]],0)</f>
        <v>14.049695740365111</v>
      </c>
      <c r="E412">
        <f>tinder[[#This Row],[Engagement]]/MAX(tinder[Engagement])</f>
        <v>7.0601486132487998E-2</v>
      </c>
      <c r="F41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12">
        <v>143</v>
      </c>
      <c r="H412">
        <f>IFERROR(tinder[[#This Row],[Conversations]]/tinder[[#This Row],[Tinder Opened]],0)</f>
        <v>1.0322673789070959E-2</v>
      </c>
      <c r="I412">
        <f>tinder[[#This Row],[Conversations]]/MAX(tinder[Conversations])</f>
        <v>1.1311501344723937E-2</v>
      </c>
      <c r="J412">
        <f>(tinder[[#This Row],[Norm Engagement]]*2)+(tinder[[#This Row],[Norm Swipes]]*1)+(tinder[[#This Row],[Norm Conversations]]*2)</f>
        <v>0.3024308080395684</v>
      </c>
      <c r="K41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12">
        <v>65</v>
      </c>
      <c r="M412">
        <v>4</v>
      </c>
      <c r="N412">
        <v>115</v>
      </c>
      <c r="O412">
        <v>413</v>
      </c>
      <c r="P412">
        <v>208</v>
      </c>
      <c r="Q412">
        <f>tinder[[#This Row],[All Swipes]]/MAX(tinder[All Swipes])</f>
        <v>0.13860483308514449</v>
      </c>
      <c r="R412">
        <f>tinder[[#This Row],[Swipe Right (LIKE)]]+tinder[[#This Row],[Swipe Left (PASS)]]</f>
        <v>117650</v>
      </c>
      <c r="S412">
        <v>49695</v>
      </c>
      <c r="T412">
        <v>67955</v>
      </c>
      <c r="U412" t="s">
        <v>10</v>
      </c>
      <c r="V412" s="1">
        <v>42366</v>
      </c>
      <c r="W412" t="s">
        <v>7</v>
      </c>
      <c r="X412" t="s">
        <v>1295</v>
      </c>
      <c r="Y412" t="s">
        <v>8</v>
      </c>
      <c r="Z412">
        <v>30</v>
      </c>
      <c r="AA41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13" spans="1:27" x14ac:dyDescent="0.3">
      <c r="A413" t="s">
        <v>1161</v>
      </c>
      <c r="B413">
        <v>1152</v>
      </c>
      <c r="C413">
        <v>82</v>
      </c>
      <c r="D413">
        <f>IFERROR(tinder[[#This Row],[Tinder Opened]]/tinder[[#This Row],[Days on Tinder]],0)</f>
        <v>14.048780487804878</v>
      </c>
      <c r="E413">
        <f>tinder[[#This Row],[Engagement]]/MAX(tinder[Engagement])</f>
        <v>7.0596886873391343E-2</v>
      </c>
      <c r="F41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13">
        <v>556</v>
      </c>
      <c r="H413">
        <f>IFERROR(tinder[[#This Row],[Conversations]]/tinder[[#This Row],[Tinder Opened]],0)</f>
        <v>0.4826388888888889</v>
      </c>
      <c r="I413">
        <f>tinder[[#This Row],[Conversations]]/MAX(tinder[Conversations])</f>
        <v>4.3980382850814743E-2</v>
      </c>
      <c r="J413">
        <f>(tinder[[#This Row],[Norm Engagement]]*2)+(tinder[[#This Row],[Norm Swipes]]*1)+(tinder[[#This Row],[Norm Conversations]]*2)</f>
        <v>0.23984708058807025</v>
      </c>
      <c r="K41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13">
        <v>187</v>
      </c>
      <c r="M413">
        <v>1</v>
      </c>
      <c r="N413">
        <v>595</v>
      </c>
      <c r="O413">
        <v>3661</v>
      </c>
      <c r="P413">
        <v>3455</v>
      </c>
      <c r="Q413">
        <f>tinder[[#This Row],[All Swipes]]/MAX(tinder[All Swipes])</f>
        <v>1.0692541139658064E-2</v>
      </c>
      <c r="R413">
        <f>tinder[[#This Row],[Swipe Right (LIKE)]]+tinder[[#This Row],[Swipe Left (PASS)]]</f>
        <v>9076</v>
      </c>
      <c r="S413">
        <v>4579</v>
      </c>
      <c r="T413">
        <v>4497</v>
      </c>
      <c r="U413" t="s">
        <v>149</v>
      </c>
      <c r="V413" s="1">
        <v>44217</v>
      </c>
      <c r="W413" t="s">
        <v>12</v>
      </c>
      <c r="X413" t="s">
        <v>1295</v>
      </c>
      <c r="Y413" t="s">
        <v>8</v>
      </c>
      <c r="Z413">
        <v>22</v>
      </c>
      <c r="AA41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14" spans="1:27" x14ac:dyDescent="0.3">
      <c r="A414" t="s">
        <v>249</v>
      </c>
      <c r="B414">
        <v>997</v>
      </c>
      <c r="C414">
        <v>71</v>
      </c>
      <c r="D414">
        <f>IFERROR(tinder[[#This Row],[Tinder Opened]]/tinder[[#This Row],[Days on Tinder]],0)</f>
        <v>14.04225352112676</v>
      </c>
      <c r="E414">
        <f>tinder[[#This Row],[Engagement]]/MAX(tinder[Engagement])</f>
        <v>7.0564088045863116E-2</v>
      </c>
      <c r="F41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14">
        <v>28</v>
      </c>
      <c r="H414">
        <f>IFERROR(tinder[[#This Row],[Conversations]]/tinder[[#This Row],[Tinder Opened]],0)</f>
        <v>2.8084252758274825E-2</v>
      </c>
      <c r="I414">
        <f>tinder[[#This Row],[Conversations]]/MAX(tinder[Conversations])</f>
        <v>2.2148394241417496E-3</v>
      </c>
      <c r="J414">
        <f>(tinder[[#This Row],[Norm Engagement]]*2)+(tinder[[#This Row],[Norm Swipes]]*1)+(tinder[[#This Row],[Norm Conversations]]*2)</f>
        <v>0.14886717050427806</v>
      </c>
      <c r="K41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14">
        <v>12</v>
      </c>
      <c r="M414">
        <v>3</v>
      </c>
      <c r="N414">
        <v>76</v>
      </c>
      <c r="O414">
        <v>124</v>
      </c>
      <c r="P414">
        <v>132</v>
      </c>
      <c r="Q414">
        <f>tinder[[#This Row],[All Swipes]]/MAX(tinder[All Swipes])</f>
        <v>3.3093155642683458E-3</v>
      </c>
      <c r="R414">
        <f>tinder[[#This Row],[Swipe Right (LIKE)]]+tinder[[#This Row],[Swipe Left (PASS)]]</f>
        <v>2809</v>
      </c>
      <c r="S414">
        <v>1486</v>
      </c>
      <c r="T414">
        <v>1323</v>
      </c>
      <c r="U414" t="s">
        <v>10</v>
      </c>
      <c r="V414" s="1">
        <v>44060</v>
      </c>
      <c r="W414" t="s">
        <v>12</v>
      </c>
      <c r="X414" t="s">
        <v>1295</v>
      </c>
      <c r="Y414" t="s">
        <v>8</v>
      </c>
      <c r="Z414">
        <v>19</v>
      </c>
      <c r="AA41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15" spans="1:27" x14ac:dyDescent="0.3">
      <c r="A415" t="s">
        <v>78</v>
      </c>
      <c r="B415">
        <v>24624</v>
      </c>
      <c r="C415">
        <v>1754</v>
      </c>
      <c r="D415">
        <f>IFERROR(tinder[[#This Row],[Tinder Opened]]/tinder[[#This Row],[Days on Tinder]],0)</f>
        <v>14.038768529076396</v>
      </c>
      <c r="E415">
        <f>tinder[[#This Row],[Engagement]]/MAX(tinder[Engagement])</f>
        <v>7.0546575522996965E-2</v>
      </c>
      <c r="F41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15">
        <v>2335</v>
      </c>
      <c r="H415">
        <f>IFERROR(tinder[[#This Row],[Conversations]]/tinder[[#This Row],[Tinder Opened]],0)</f>
        <v>9.4826185834957763E-2</v>
      </c>
      <c r="I415">
        <f>tinder[[#This Row],[Conversations]]/MAX(tinder[Conversations])</f>
        <v>0.18470178769182091</v>
      </c>
      <c r="J415">
        <f>(tinder[[#This Row],[Norm Engagement]]*2)+(tinder[[#This Row],[Norm Swipes]]*1)+(tinder[[#This Row],[Norm Conversations]]*2)</f>
        <v>0.95722369670352325</v>
      </c>
      <c r="K41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15">
        <v>636</v>
      </c>
      <c r="M415">
        <v>168</v>
      </c>
      <c r="N415">
        <v>4956</v>
      </c>
      <c r="O415">
        <v>7702</v>
      </c>
      <c r="P415">
        <v>7874</v>
      </c>
      <c r="Q415">
        <f>tinder[[#This Row],[All Swipes]]/MAX(tinder[All Swipes])</f>
        <v>0.44672697027388741</v>
      </c>
      <c r="R415">
        <f>tinder[[#This Row],[Swipe Right (LIKE)]]+tinder[[#This Row],[Swipe Left (PASS)]]</f>
        <v>379189</v>
      </c>
      <c r="S415">
        <v>13921</v>
      </c>
      <c r="T415">
        <v>365268</v>
      </c>
      <c r="U415" t="s">
        <v>27</v>
      </c>
      <c r="V415" s="1">
        <v>42007</v>
      </c>
      <c r="W415" t="s">
        <v>7</v>
      </c>
      <c r="X415" t="s">
        <v>1296</v>
      </c>
      <c r="Y415" t="s">
        <v>79</v>
      </c>
      <c r="Z415">
        <v>20</v>
      </c>
      <c r="AA41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16" spans="1:27" x14ac:dyDescent="0.3">
      <c r="A416" t="s">
        <v>1270</v>
      </c>
      <c r="B416">
        <v>1818</v>
      </c>
      <c r="C416">
        <v>130</v>
      </c>
      <c r="D416">
        <f>IFERROR(tinder[[#This Row],[Tinder Opened]]/tinder[[#This Row],[Days on Tinder]],0)</f>
        <v>13.984615384615385</v>
      </c>
      <c r="E416">
        <f>tinder[[#This Row],[Engagement]]/MAX(tinder[Engagement])</f>
        <v>7.0274449168921532E-2</v>
      </c>
      <c r="F41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16">
        <v>37</v>
      </c>
      <c r="H416">
        <f>IFERROR(tinder[[#This Row],[Conversations]]/tinder[[#This Row],[Tinder Opened]],0)</f>
        <v>2.0352035203520351E-2</v>
      </c>
      <c r="I416">
        <f>tinder[[#This Row],[Conversations]]/MAX(tinder[Conversations])</f>
        <v>2.9267520961873119E-3</v>
      </c>
      <c r="J416">
        <f>(tinder[[#This Row],[Norm Engagement]]*2)+(tinder[[#This Row],[Norm Swipes]]*1)+(tinder[[#This Row],[Norm Conversations]]*2)</f>
        <v>0.2173094071107157</v>
      </c>
      <c r="K41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16">
        <v>18</v>
      </c>
      <c r="M416">
        <v>1</v>
      </c>
      <c r="N416">
        <v>77</v>
      </c>
      <c r="O416">
        <v>127</v>
      </c>
      <c r="P416">
        <v>75</v>
      </c>
      <c r="Q416">
        <f>tinder[[#This Row],[All Swipes]]/MAX(tinder[All Swipes])</f>
        <v>7.0907004580498006E-2</v>
      </c>
      <c r="R416">
        <f>tinder[[#This Row],[Swipe Right (LIKE)]]+tinder[[#This Row],[Swipe Left (PASS)]]</f>
        <v>60187</v>
      </c>
      <c r="S416">
        <v>12821</v>
      </c>
      <c r="T416">
        <v>47366</v>
      </c>
      <c r="U416" t="s">
        <v>75</v>
      </c>
      <c r="V416" s="1">
        <v>43941</v>
      </c>
      <c r="W416" t="s">
        <v>12</v>
      </c>
      <c r="X416" t="s">
        <v>1295</v>
      </c>
      <c r="Y416" t="s">
        <v>8</v>
      </c>
      <c r="Z416">
        <v>23</v>
      </c>
      <c r="AA41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17" spans="1:27" x14ac:dyDescent="0.3">
      <c r="A417" t="s">
        <v>425</v>
      </c>
      <c r="B417">
        <v>2333</v>
      </c>
      <c r="C417">
        <v>167</v>
      </c>
      <c r="D417">
        <f>IFERROR(tinder[[#This Row],[Tinder Opened]]/tinder[[#This Row],[Days on Tinder]],0)</f>
        <v>13.970059880239521</v>
      </c>
      <c r="E417">
        <f>tinder[[#This Row],[Engagement]]/MAX(tinder[Engagement])</f>
        <v>7.0201305930851859E-2</v>
      </c>
      <c r="F41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17">
        <v>94</v>
      </c>
      <c r="H417">
        <f>IFERROR(tinder[[#This Row],[Conversations]]/tinder[[#This Row],[Tinder Opened]],0)</f>
        <v>4.0291470210030003E-2</v>
      </c>
      <c r="I417">
        <f>tinder[[#This Row],[Conversations]]/MAX(tinder[Conversations])</f>
        <v>7.4355323524758739E-3</v>
      </c>
      <c r="J417">
        <f>(tinder[[#This Row],[Norm Engagement]]*2)+(tinder[[#This Row],[Norm Swipes]]*1)+(tinder[[#This Row],[Norm Conversations]]*2)</f>
        <v>0.17247646256503441</v>
      </c>
      <c r="K41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17">
        <v>43</v>
      </c>
      <c r="M417">
        <v>2</v>
      </c>
      <c r="N417">
        <v>97</v>
      </c>
      <c r="O417">
        <v>376</v>
      </c>
      <c r="P417">
        <v>258</v>
      </c>
      <c r="Q417">
        <f>tinder[[#This Row],[All Swipes]]/MAX(tinder[All Swipes])</f>
        <v>1.7202785998378919E-2</v>
      </c>
      <c r="R417">
        <f>tinder[[#This Row],[Swipe Right (LIKE)]]+tinder[[#This Row],[Swipe Left (PASS)]]</f>
        <v>14602</v>
      </c>
      <c r="S417">
        <v>7224</v>
      </c>
      <c r="T417">
        <v>7378</v>
      </c>
      <c r="U417" t="s">
        <v>8</v>
      </c>
      <c r="V417" s="1">
        <v>44077</v>
      </c>
      <c r="W417" t="s">
        <v>12</v>
      </c>
      <c r="X417" t="s">
        <v>1295</v>
      </c>
      <c r="Y417" t="s">
        <v>8</v>
      </c>
      <c r="Z417">
        <v>24</v>
      </c>
      <c r="AA41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18" spans="1:27" x14ac:dyDescent="0.3">
      <c r="A418" t="s">
        <v>190</v>
      </c>
      <c r="B418">
        <v>765</v>
      </c>
      <c r="C418">
        <v>55</v>
      </c>
      <c r="D418">
        <f>IFERROR(tinder[[#This Row],[Tinder Opened]]/tinder[[#This Row],[Days on Tinder]],0)</f>
        <v>13.909090909090908</v>
      </c>
      <c r="E418">
        <f>tinder[[#This Row],[Engagement]]/MAX(tinder[Engagement])</f>
        <v>6.9894929191411603E-2</v>
      </c>
      <c r="F41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18">
        <v>16</v>
      </c>
      <c r="H418">
        <f>IFERROR(tinder[[#This Row],[Conversations]]/tinder[[#This Row],[Tinder Opened]],0)</f>
        <v>2.0915032679738561E-2</v>
      </c>
      <c r="I418">
        <f>tinder[[#This Row],[Conversations]]/MAX(tinder[Conversations])</f>
        <v>1.2656225280809998E-3</v>
      </c>
      <c r="J418">
        <f>(tinder[[#This Row],[Norm Engagement]]*2)+(tinder[[#This Row],[Norm Swipes]]*1)+(tinder[[#This Row],[Norm Conversations]]*2)</f>
        <v>0.15756351168765159</v>
      </c>
      <c r="K41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18">
        <v>5</v>
      </c>
      <c r="M418">
        <v>2</v>
      </c>
      <c r="N418">
        <v>83</v>
      </c>
      <c r="O418">
        <v>56</v>
      </c>
      <c r="P418">
        <v>64</v>
      </c>
      <c r="Q418">
        <f>tinder[[#This Row],[All Swipes]]/MAX(tinder[All Swipes])</f>
        <v>1.5242408248666378E-2</v>
      </c>
      <c r="R418">
        <f>tinder[[#This Row],[Swipe Right (LIKE)]]+tinder[[#This Row],[Swipe Left (PASS)]]</f>
        <v>12938</v>
      </c>
      <c r="S418">
        <v>1831</v>
      </c>
      <c r="T418">
        <v>11107</v>
      </c>
      <c r="U418" t="s">
        <v>61</v>
      </c>
      <c r="V418" s="1">
        <v>43660</v>
      </c>
      <c r="W418" t="s">
        <v>12</v>
      </c>
      <c r="X418" t="s">
        <v>1295</v>
      </c>
      <c r="Y418" t="s">
        <v>8</v>
      </c>
      <c r="Z418">
        <v>18</v>
      </c>
      <c r="AA41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19" spans="1:27" x14ac:dyDescent="0.3">
      <c r="A419" t="s">
        <v>1078</v>
      </c>
      <c r="B419">
        <v>8910</v>
      </c>
      <c r="C419">
        <v>641</v>
      </c>
      <c r="D419">
        <f>IFERROR(tinder[[#This Row],[Tinder Opened]]/tinder[[#This Row],[Days on Tinder]],0)</f>
        <v>13.90015600624025</v>
      </c>
      <c r="E419">
        <f>tinder[[#This Row],[Engagement]]/MAX(tinder[Engagement])</f>
        <v>6.9850030182111805E-2</v>
      </c>
      <c r="F41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19">
        <v>787</v>
      </c>
      <c r="H419">
        <f>IFERROR(tinder[[#This Row],[Conversations]]/tinder[[#This Row],[Tinder Opened]],0)</f>
        <v>8.8327721661055E-2</v>
      </c>
      <c r="I419">
        <f>tinder[[#This Row],[Conversations]]/MAX(tinder[Conversations])</f>
        <v>6.225280809998418E-2</v>
      </c>
      <c r="J419">
        <f>(tinder[[#This Row],[Norm Engagement]]*2)+(tinder[[#This Row],[Norm Swipes]]*1)+(tinder[[#This Row],[Norm Conversations]]*2)</f>
        <v>0.34127184873813782</v>
      </c>
      <c r="K41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19">
        <v>286</v>
      </c>
      <c r="M419">
        <v>1</v>
      </c>
      <c r="N419">
        <v>1049</v>
      </c>
      <c r="O419">
        <v>7683</v>
      </c>
      <c r="P419">
        <v>6649</v>
      </c>
      <c r="Q419">
        <f>tinder[[#This Row],[All Swipes]]/MAX(tinder[All Swipes])</f>
        <v>7.7066172173945832E-2</v>
      </c>
      <c r="R419">
        <f>tinder[[#This Row],[Swipe Right (LIKE)]]+tinder[[#This Row],[Swipe Left (PASS)]]</f>
        <v>65415</v>
      </c>
      <c r="S419">
        <v>35108</v>
      </c>
      <c r="T419">
        <v>30307</v>
      </c>
      <c r="U419" t="s">
        <v>8</v>
      </c>
      <c r="V419" s="1">
        <v>43403</v>
      </c>
      <c r="W419" t="s">
        <v>12</v>
      </c>
      <c r="X419" t="s">
        <v>1295</v>
      </c>
      <c r="Y419" t="s">
        <v>8</v>
      </c>
      <c r="Z419">
        <v>20</v>
      </c>
      <c r="AA41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20" spans="1:27" x14ac:dyDescent="0.3">
      <c r="A420" t="s">
        <v>842</v>
      </c>
      <c r="B420">
        <v>569</v>
      </c>
      <c r="C420">
        <v>41</v>
      </c>
      <c r="D420">
        <f>IFERROR(tinder[[#This Row],[Tinder Opened]]/tinder[[#This Row],[Days on Tinder]],0)</f>
        <v>13.878048780487806</v>
      </c>
      <c r="E420">
        <f>tinder[[#This Row],[Engagement]]/MAX(tinder[Engagement])</f>
        <v>6.9738938595416106E-2</v>
      </c>
      <c r="F42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20">
        <v>36</v>
      </c>
      <c r="H420">
        <f>IFERROR(tinder[[#This Row],[Conversations]]/tinder[[#This Row],[Tinder Opened]],0)</f>
        <v>6.32688927943761E-2</v>
      </c>
      <c r="I420">
        <f>tinder[[#This Row],[Conversations]]/MAX(tinder[Conversations])</f>
        <v>2.8476506881822496E-3</v>
      </c>
      <c r="J420">
        <f>(tinder[[#This Row],[Norm Engagement]]*2)+(tinder[[#This Row],[Norm Swipes]]*1)+(tinder[[#This Row],[Norm Conversations]]*2)</f>
        <v>0.16686692609316231</v>
      </c>
      <c r="K42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20">
        <v>5</v>
      </c>
      <c r="M420">
        <v>7</v>
      </c>
      <c r="N420">
        <v>19</v>
      </c>
      <c r="O420">
        <v>193</v>
      </c>
      <c r="P420">
        <v>127</v>
      </c>
      <c r="Q420">
        <f>tinder[[#This Row],[All Swipes]]/MAX(tinder[All Swipes])</f>
        <v>2.1693747525965579E-2</v>
      </c>
      <c r="R420">
        <f>tinder[[#This Row],[Swipe Right (LIKE)]]+tinder[[#This Row],[Swipe Left (PASS)]]</f>
        <v>18414</v>
      </c>
      <c r="S420">
        <v>250</v>
      </c>
      <c r="T420">
        <v>18164</v>
      </c>
      <c r="U420" t="s">
        <v>8</v>
      </c>
      <c r="V420" s="1">
        <v>44258</v>
      </c>
      <c r="W420" t="s">
        <v>12</v>
      </c>
      <c r="X420" t="s">
        <v>1295</v>
      </c>
      <c r="Y420" t="s">
        <v>8</v>
      </c>
      <c r="Z420">
        <v>25</v>
      </c>
      <c r="AA42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21" spans="1:27" x14ac:dyDescent="0.3">
      <c r="A421" t="s">
        <v>434</v>
      </c>
      <c r="B421">
        <v>3495</v>
      </c>
      <c r="C421">
        <v>252</v>
      </c>
      <c r="D421">
        <f>IFERROR(tinder[[#This Row],[Tinder Opened]]/tinder[[#This Row],[Days on Tinder]],0)</f>
        <v>13.869047619047619</v>
      </c>
      <c r="E421">
        <f>tinder[[#This Row],[Engagement]]/MAX(tinder[Engagement])</f>
        <v>6.9693706628379995E-2</v>
      </c>
      <c r="F42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21">
        <v>147</v>
      </c>
      <c r="H421">
        <f>IFERROR(tinder[[#This Row],[Conversations]]/tinder[[#This Row],[Tinder Opened]],0)</f>
        <v>4.2060085836909872E-2</v>
      </c>
      <c r="I421">
        <f>tinder[[#This Row],[Conversations]]/MAX(tinder[Conversations])</f>
        <v>1.1627906976744186E-2</v>
      </c>
      <c r="J421">
        <f>(tinder[[#This Row],[Norm Engagement]]*2)+(tinder[[#This Row],[Norm Swipes]]*1)+(tinder[[#This Row],[Norm Conversations]]*2)</f>
        <v>0.21406073112157897</v>
      </c>
      <c r="K42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21">
        <v>46</v>
      </c>
      <c r="M421">
        <v>1</v>
      </c>
      <c r="N421">
        <v>332</v>
      </c>
      <c r="O421">
        <v>1019</v>
      </c>
      <c r="P421">
        <v>744</v>
      </c>
      <c r="Q421">
        <f>tinder[[#This Row],[All Swipes]]/MAX(tinder[All Swipes])</f>
        <v>5.1417503911330605E-2</v>
      </c>
      <c r="R421">
        <f>tinder[[#This Row],[Swipe Right (LIKE)]]+tinder[[#This Row],[Swipe Left (PASS)]]</f>
        <v>43644</v>
      </c>
      <c r="S421">
        <v>24736</v>
      </c>
      <c r="T421">
        <v>18908</v>
      </c>
      <c r="U421" t="s">
        <v>311</v>
      </c>
      <c r="V421" s="1">
        <v>43677</v>
      </c>
      <c r="W421" t="s">
        <v>12</v>
      </c>
      <c r="X421" t="s">
        <v>1295</v>
      </c>
      <c r="Y421" t="s">
        <v>195</v>
      </c>
      <c r="Z421">
        <v>22</v>
      </c>
      <c r="AA42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22" spans="1:27" x14ac:dyDescent="0.3">
      <c r="A422" t="s">
        <v>21</v>
      </c>
      <c r="B422">
        <v>1245</v>
      </c>
      <c r="C422">
        <v>90</v>
      </c>
      <c r="D422">
        <f>IFERROR(tinder[[#This Row],[Tinder Opened]]/tinder[[#This Row],[Days on Tinder]],0)</f>
        <v>13.833333333333334</v>
      </c>
      <c r="E422">
        <f>tinder[[#This Row],[Engagement]]/MAX(tinder[Engagement])</f>
        <v>6.9514237855946404E-2</v>
      </c>
      <c r="F42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22">
        <v>79</v>
      </c>
      <c r="H422">
        <f>IFERROR(tinder[[#This Row],[Conversations]]/tinder[[#This Row],[Tinder Opened]],0)</f>
        <v>6.3453815261044183E-2</v>
      </c>
      <c r="I422">
        <f>tinder[[#This Row],[Conversations]]/MAX(tinder[Conversations])</f>
        <v>6.2490112323999366E-3</v>
      </c>
      <c r="J422">
        <f>(tinder[[#This Row],[Norm Engagement]]*2)+(tinder[[#This Row],[Norm Swipes]]*1)+(tinder[[#This Row],[Norm Conversations]]*2)</f>
        <v>0.15300385015874768</v>
      </c>
      <c r="K42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22">
        <v>34</v>
      </c>
      <c r="M422">
        <v>1</v>
      </c>
      <c r="N422">
        <v>87</v>
      </c>
      <c r="O422">
        <v>289</v>
      </c>
      <c r="P422">
        <v>207</v>
      </c>
      <c r="Q422">
        <f>tinder[[#This Row],[All Swipes]]/MAX(tinder[All Swipes])</f>
        <v>1.4773519820550037E-3</v>
      </c>
      <c r="R422">
        <f>tinder[[#This Row],[Swipe Right (LIKE)]]+tinder[[#This Row],[Swipe Left (PASS)]]</f>
        <v>1254</v>
      </c>
      <c r="S422">
        <v>774</v>
      </c>
      <c r="T422">
        <v>480</v>
      </c>
      <c r="U422" t="s">
        <v>8</v>
      </c>
      <c r="V422" s="1">
        <v>43744</v>
      </c>
      <c r="W422" t="s">
        <v>12</v>
      </c>
      <c r="X422" t="s">
        <v>1295</v>
      </c>
      <c r="Y422" t="s">
        <v>8</v>
      </c>
      <c r="Z422">
        <v>25</v>
      </c>
      <c r="AA42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23" spans="1:27" x14ac:dyDescent="0.3">
      <c r="A423" t="s">
        <v>735</v>
      </c>
      <c r="B423">
        <v>21545</v>
      </c>
      <c r="C423">
        <v>1558</v>
      </c>
      <c r="D423">
        <f>IFERROR(tinder[[#This Row],[Tinder Opened]]/tinder[[#This Row],[Days on Tinder]],0)</f>
        <v>13.828626444159179</v>
      </c>
      <c r="E423">
        <f>tinder[[#This Row],[Engagement]]/MAX(tinder[Engagement])</f>
        <v>6.9490585146528533E-2</v>
      </c>
      <c r="F42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23">
        <v>404</v>
      </c>
      <c r="H423">
        <f>IFERROR(tinder[[#This Row],[Conversations]]/tinder[[#This Row],[Tinder Opened]],0)</f>
        <v>1.8751450452541191E-2</v>
      </c>
      <c r="I423">
        <f>tinder[[#This Row],[Conversations]]/MAX(tinder[Conversations])</f>
        <v>3.1956968834045245E-2</v>
      </c>
      <c r="J423">
        <f>(tinder[[#This Row],[Norm Engagement]]*2)+(tinder[[#This Row],[Norm Swipes]]*1)+(tinder[[#This Row],[Norm Conversations]]*2)</f>
        <v>0.43279416735682341</v>
      </c>
      <c r="K42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23">
        <v>77</v>
      </c>
      <c r="M423">
        <v>61</v>
      </c>
      <c r="N423">
        <v>1833</v>
      </c>
      <c r="O423">
        <v>4344</v>
      </c>
      <c r="P423">
        <v>4119</v>
      </c>
      <c r="Q423">
        <f>tinder[[#This Row],[All Swipes]]/MAX(tinder[All Swipes])</f>
        <v>0.22989905939567587</v>
      </c>
      <c r="R423">
        <f>tinder[[#This Row],[Swipe Right (LIKE)]]+tinder[[#This Row],[Swipe Left (PASS)]]</f>
        <v>195142</v>
      </c>
      <c r="S423">
        <v>46365</v>
      </c>
      <c r="T423">
        <v>148777</v>
      </c>
      <c r="U423" t="s">
        <v>45</v>
      </c>
      <c r="V423" s="1">
        <v>42206</v>
      </c>
      <c r="W423" t="s">
        <v>7</v>
      </c>
      <c r="X423" t="s">
        <v>1295</v>
      </c>
      <c r="Y423" t="s">
        <v>8</v>
      </c>
      <c r="Z423">
        <v>24</v>
      </c>
      <c r="AA42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24" spans="1:27" x14ac:dyDescent="0.3">
      <c r="A424" t="s">
        <v>312</v>
      </c>
      <c r="B424">
        <v>17452</v>
      </c>
      <c r="C424">
        <v>1263</v>
      </c>
      <c r="D424">
        <f>IFERROR(tinder[[#This Row],[Tinder Opened]]/tinder[[#This Row],[Days on Tinder]],0)</f>
        <v>13.817893903404592</v>
      </c>
      <c r="E424">
        <f>tinder[[#This Row],[Engagement]]/MAX(tinder[Engagement])</f>
        <v>6.9436652780927602E-2</v>
      </c>
      <c r="F42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24">
        <v>377</v>
      </c>
      <c r="H424">
        <f>IFERROR(tinder[[#This Row],[Conversations]]/tinder[[#This Row],[Tinder Opened]],0)</f>
        <v>2.1602108640843456E-2</v>
      </c>
      <c r="I424">
        <f>tinder[[#This Row],[Conversations]]/MAX(tinder[Conversations])</f>
        <v>2.9821230817908558E-2</v>
      </c>
      <c r="J424">
        <f>(tinder[[#This Row],[Norm Engagement]]*2)+(tinder[[#This Row],[Norm Swipes]]*1)+(tinder[[#This Row],[Norm Conversations]]*2)</f>
        <v>0.33530159592851622</v>
      </c>
      <c r="K42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24">
        <v>64</v>
      </c>
      <c r="M424">
        <v>154</v>
      </c>
      <c r="N424">
        <v>1846</v>
      </c>
      <c r="O424">
        <v>2688</v>
      </c>
      <c r="P424">
        <v>3153</v>
      </c>
      <c r="Q424">
        <f>tinder[[#This Row],[All Swipes]]/MAX(tinder[All Swipes])</f>
        <v>0.13678582873084391</v>
      </c>
      <c r="R424">
        <f>tinder[[#This Row],[Swipe Right (LIKE)]]+tinder[[#This Row],[Swipe Left (PASS)]]</f>
        <v>116106</v>
      </c>
      <c r="S424">
        <v>8568</v>
      </c>
      <c r="T424">
        <v>107538</v>
      </c>
      <c r="U424" t="s">
        <v>10</v>
      </c>
      <c r="V424" s="1">
        <v>42378</v>
      </c>
      <c r="W424" t="s">
        <v>7</v>
      </c>
      <c r="X424" t="s">
        <v>1295</v>
      </c>
      <c r="Y424" t="s">
        <v>173</v>
      </c>
      <c r="Z424">
        <v>19</v>
      </c>
      <c r="AA42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25" spans="1:27" x14ac:dyDescent="0.3">
      <c r="A425" t="s">
        <v>542</v>
      </c>
      <c r="B425">
        <v>400</v>
      </c>
      <c r="C425">
        <v>29</v>
      </c>
      <c r="D425">
        <f>IFERROR(tinder[[#This Row],[Tinder Opened]]/tinder[[#This Row],[Days on Tinder]],0)</f>
        <v>13.793103448275861</v>
      </c>
      <c r="E425">
        <f>tinder[[#This Row],[Engagement]]/MAX(tinder[Engagement])</f>
        <v>6.9312077629526944E-2</v>
      </c>
      <c r="F42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25">
        <v>23</v>
      </c>
      <c r="H425">
        <f>IFERROR(tinder[[#This Row],[Conversations]]/tinder[[#This Row],[Tinder Opened]],0)</f>
        <v>5.7500000000000002E-2</v>
      </c>
      <c r="I425">
        <f>tinder[[#This Row],[Conversations]]/MAX(tinder[Conversations])</f>
        <v>1.8193323841164373E-3</v>
      </c>
      <c r="J425">
        <f>(tinder[[#This Row],[Norm Engagement]]*2)+(tinder[[#This Row],[Norm Swipes]]*1)+(tinder[[#This Row],[Norm Conversations]]*2)</f>
        <v>0.14322887156260183</v>
      </c>
      <c r="K42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25">
        <v>7</v>
      </c>
      <c r="M425">
        <v>2</v>
      </c>
      <c r="N425">
        <v>126</v>
      </c>
      <c r="O425">
        <v>352</v>
      </c>
      <c r="P425">
        <v>475</v>
      </c>
      <c r="Q425">
        <f>tinder[[#This Row],[All Swipes]]/MAX(tinder[All Swipes])</f>
        <v>9.6605153531507417E-4</v>
      </c>
      <c r="R425">
        <f>tinder[[#This Row],[Swipe Right (LIKE)]]+tinder[[#This Row],[Swipe Left (PASS)]]</f>
        <v>820</v>
      </c>
      <c r="S425">
        <v>268</v>
      </c>
      <c r="T425">
        <v>552</v>
      </c>
      <c r="U425" t="s">
        <v>8</v>
      </c>
      <c r="V425" s="1">
        <v>44186</v>
      </c>
      <c r="W425" t="s">
        <v>12</v>
      </c>
      <c r="X425" t="s">
        <v>1296</v>
      </c>
      <c r="Y425" t="s">
        <v>8</v>
      </c>
      <c r="Z425">
        <v>24</v>
      </c>
      <c r="AA42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26" spans="1:27" x14ac:dyDescent="0.3">
      <c r="A426" t="s">
        <v>408</v>
      </c>
      <c r="B426">
        <v>1309</v>
      </c>
      <c r="C426">
        <v>95</v>
      </c>
      <c r="D426">
        <f>IFERROR(tinder[[#This Row],[Tinder Opened]]/tinder[[#This Row],[Days on Tinder]],0)</f>
        <v>13.778947368421052</v>
      </c>
      <c r="E426">
        <f>tinder[[#This Row],[Engagement]]/MAX(tinder[Engagement])</f>
        <v>6.9240941549854537E-2</v>
      </c>
      <c r="F42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26">
        <v>15</v>
      </c>
      <c r="H426">
        <f>IFERROR(tinder[[#This Row],[Conversations]]/tinder[[#This Row],[Tinder Opened]],0)</f>
        <v>1.145912910618793E-2</v>
      </c>
      <c r="I426">
        <f>tinder[[#This Row],[Conversations]]/MAX(tinder[Conversations])</f>
        <v>1.1865211200759373E-3</v>
      </c>
      <c r="J426">
        <f>(tinder[[#This Row],[Norm Engagement]]*2)+(tinder[[#This Row],[Norm Swipes]]*1)+(tinder[[#This Row],[Norm Conversations]]*2)</f>
        <v>0.15054371537209407</v>
      </c>
      <c r="K42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26">
        <v>3</v>
      </c>
      <c r="M426">
        <v>0</v>
      </c>
      <c r="N426">
        <v>119</v>
      </c>
      <c r="O426">
        <v>166</v>
      </c>
      <c r="P426">
        <v>161</v>
      </c>
      <c r="Q426">
        <f>tinder[[#This Row],[All Swipes]]/MAX(tinder[All Swipes])</f>
        <v>9.6887900322331338E-3</v>
      </c>
      <c r="R426">
        <f>tinder[[#This Row],[Swipe Right (LIKE)]]+tinder[[#This Row],[Swipe Left (PASS)]]</f>
        <v>8224</v>
      </c>
      <c r="S426">
        <v>4878</v>
      </c>
      <c r="T426">
        <v>3346</v>
      </c>
      <c r="U426" t="s">
        <v>8</v>
      </c>
      <c r="V426" s="1">
        <v>44128</v>
      </c>
      <c r="W426" t="s">
        <v>12</v>
      </c>
      <c r="X426" t="s">
        <v>1295</v>
      </c>
      <c r="Y426" t="s">
        <v>8</v>
      </c>
      <c r="Z426">
        <v>25</v>
      </c>
      <c r="AA42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27" spans="1:27" x14ac:dyDescent="0.3">
      <c r="A427" t="s">
        <v>207</v>
      </c>
      <c r="B427">
        <v>922</v>
      </c>
      <c r="C427">
        <v>67</v>
      </c>
      <c r="D427">
        <f>IFERROR(tinder[[#This Row],[Tinder Opened]]/tinder[[#This Row],[Days on Tinder]],0)</f>
        <v>13.761194029850746</v>
      </c>
      <c r="E427">
        <f>tinder[[#This Row],[Engagement]]/MAX(tinder[Engagement])</f>
        <v>6.9151728793219833E-2</v>
      </c>
      <c r="F42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27">
        <v>16</v>
      </c>
      <c r="H427">
        <f>IFERROR(tinder[[#This Row],[Conversations]]/tinder[[#This Row],[Tinder Opened]],0)</f>
        <v>1.735357917570499E-2</v>
      </c>
      <c r="I427">
        <f>tinder[[#This Row],[Conversations]]/MAX(tinder[Conversations])</f>
        <v>1.2656225280809998E-3</v>
      </c>
      <c r="J427">
        <f>(tinder[[#This Row],[Norm Engagement]]*2)+(tinder[[#This Row],[Norm Swipes]]*1)+(tinder[[#This Row],[Norm Conversations]]*2)</f>
        <v>0.14658742172424011</v>
      </c>
      <c r="K42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27">
        <v>0</v>
      </c>
      <c r="M427">
        <v>0</v>
      </c>
      <c r="N427">
        <v>53</v>
      </c>
      <c r="O427">
        <v>396</v>
      </c>
      <c r="P427">
        <v>323</v>
      </c>
      <c r="Q427">
        <f>tinder[[#This Row],[All Swipes]]/MAX(tinder[All Swipes])</f>
        <v>5.7527190816384233E-3</v>
      </c>
      <c r="R427">
        <f>tinder[[#This Row],[Swipe Right (LIKE)]]+tinder[[#This Row],[Swipe Left (PASS)]]</f>
        <v>4883</v>
      </c>
      <c r="S427">
        <v>1663</v>
      </c>
      <c r="T427">
        <v>3220</v>
      </c>
      <c r="U427" t="s">
        <v>197</v>
      </c>
      <c r="V427" s="1">
        <v>44074</v>
      </c>
      <c r="W427" t="s">
        <v>12</v>
      </c>
      <c r="X427" t="s">
        <v>1295</v>
      </c>
      <c r="Y427" t="s">
        <v>8</v>
      </c>
      <c r="Z427">
        <v>25</v>
      </c>
      <c r="AA42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28" spans="1:27" x14ac:dyDescent="0.3">
      <c r="A428" t="s">
        <v>684</v>
      </c>
      <c r="B428">
        <v>13619</v>
      </c>
      <c r="C428">
        <v>991</v>
      </c>
      <c r="D428">
        <f>IFERROR(tinder[[#This Row],[Tinder Opened]]/tinder[[#This Row],[Days on Tinder]],0)</f>
        <v>13.74268415741675</v>
      </c>
      <c r="E428">
        <f>tinder[[#This Row],[Engagement]]/MAX(tinder[Engagement])</f>
        <v>6.9058714358878143E-2</v>
      </c>
      <c r="F42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28">
        <v>343</v>
      </c>
      <c r="H428">
        <f>IFERROR(tinder[[#This Row],[Conversations]]/tinder[[#This Row],[Tinder Opened]],0)</f>
        <v>2.518540274616345E-2</v>
      </c>
      <c r="I428">
        <f>tinder[[#This Row],[Conversations]]/MAX(tinder[Conversations])</f>
        <v>2.7131782945736434E-2</v>
      </c>
      <c r="J428">
        <f>(tinder[[#This Row],[Norm Engagement]]*2)+(tinder[[#This Row],[Norm Swipes]]*1)+(tinder[[#This Row],[Norm Conversations]]*2)</f>
        <v>0.28578404073465563</v>
      </c>
      <c r="K42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28">
        <v>115</v>
      </c>
      <c r="M428">
        <v>13</v>
      </c>
      <c r="N428">
        <v>823</v>
      </c>
      <c r="O428">
        <v>3862</v>
      </c>
      <c r="P428">
        <v>4417</v>
      </c>
      <c r="Q428">
        <f>tinder[[#This Row],[All Swipes]]/MAX(tinder[All Swipes])</f>
        <v>9.3403046125426478E-2</v>
      </c>
      <c r="R428">
        <f>tinder[[#This Row],[Swipe Right (LIKE)]]+tinder[[#This Row],[Swipe Left (PASS)]]</f>
        <v>79282</v>
      </c>
      <c r="S428">
        <v>54437</v>
      </c>
      <c r="T428">
        <v>24845</v>
      </c>
      <c r="U428" t="s">
        <v>61</v>
      </c>
      <c r="V428" s="1">
        <v>42186</v>
      </c>
      <c r="W428" t="s">
        <v>7</v>
      </c>
      <c r="X428" t="s">
        <v>1295</v>
      </c>
      <c r="Y428" t="s">
        <v>8</v>
      </c>
      <c r="Z428">
        <v>20</v>
      </c>
      <c r="AA42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29" spans="1:27" x14ac:dyDescent="0.3">
      <c r="A429" t="s">
        <v>116</v>
      </c>
      <c r="B429">
        <v>1620</v>
      </c>
      <c r="C429">
        <v>118</v>
      </c>
      <c r="D429">
        <f>IFERROR(tinder[[#This Row],[Tinder Opened]]/tinder[[#This Row],[Days on Tinder]],0)</f>
        <v>13.728813559322035</v>
      </c>
      <c r="E429">
        <f>tinder[[#This Row],[Engagement]]/MAX(tinder[Engagement])</f>
        <v>6.8989012860914745E-2</v>
      </c>
      <c r="F42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29">
        <v>71</v>
      </c>
      <c r="H429">
        <f>IFERROR(tinder[[#This Row],[Conversations]]/tinder[[#This Row],[Tinder Opened]],0)</f>
        <v>4.3827160493827164E-2</v>
      </c>
      <c r="I429">
        <f>tinder[[#This Row],[Conversations]]/MAX(tinder[Conversations])</f>
        <v>5.6161999683594366E-3</v>
      </c>
      <c r="J429">
        <f>(tinder[[#This Row],[Norm Engagement]]*2)+(tinder[[#This Row],[Norm Swipes]]*1)+(tinder[[#This Row],[Norm Conversations]]*2)</f>
        <v>0.17907084299281162</v>
      </c>
      <c r="K42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29">
        <v>13</v>
      </c>
      <c r="M429">
        <v>15</v>
      </c>
      <c r="N429">
        <v>186</v>
      </c>
      <c r="O429">
        <v>683</v>
      </c>
      <c r="P429">
        <v>644</v>
      </c>
      <c r="Q429">
        <f>tinder[[#This Row],[All Swipes]]/MAX(tinder[All Swipes])</f>
        <v>2.9860417334263256E-2</v>
      </c>
      <c r="R429">
        <f>tinder[[#This Row],[Swipe Right (LIKE)]]+tinder[[#This Row],[Swipe Left (PASS)]]</f>
        <v>25346</v>
      </c>
      <c r="S429">
        <v>750</v>
      </c>
      <c r="T429">
        <v>24596</v>
      </c>
      <c r="U429" t="s">
        <v>8</v>
      </c>
      <c r="V429" s="1">
        <v>43626</v>
      </c>
      <c r="W429" t="s">
        <v>12</v>
      </c>
      <c r="X429" t="s">
        <v>1296</v>
      </c>
      <c r="Y429" t="s">
        <v>8</v>
      </c>
      <c r="Z429">
        <v>18</v>
      </c>
      <c r="AA42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30" spans="1:27" x14ac:dyDescent="0.3">
      <c r="A430" t="s">
        <v>212</v>
      </c>
      <c r="B430">
        <v>876</v>
      </c>
      <c r="C430">
        <v>64</v>
      </c>
      <c r="D430">
        <f>IFERROR(tinder[[#This Row],[Tinder Opened]]/tinder[[#This Row],[Days on Tinder]],0)</f>
        <v>13.6875</v>
      </c>
      <c r="E430">
        <f>tinder[[#This Row],[Engagement]]/MAX(tinder[Engagement])</f>
        <v>6.8781407035175879E-2</v>
      </c>
      <c r="F43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30">
        <v>40</v>
      </c>
      <c r="H430">
        <f>IFERROR(tinder[[#This Row],[Conversations]]/tinder[[#This Row],[Tinder Opened]],0)</f>
        <v>4.5662100456621002E-2</v>
      </c>
      <c r="I430">
        <f>tinder[[#This Row],[Conversations]]/MAX(tinder[Conversations])</f>
        <v>3.1640563202024997E-3</v>
      </c>
      <c r="J430">
        <f>(tinder[[#This Row],[Norm Engagement]]*2)+(tinder[[#This Row],[Norm Swipes]]*1)+(tinder[[#This Row],[Norm Conversations]]*2)</f>
        <v>0.16578613132518438</v>
      </c>
      <c r="K43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30">
        <v>3</v>
      </c>
      <c r="M430">
        <v>8</v>
      </c>
      <c r="N430">
        <v>103</v>
      </c>
      <c r="O430">
        <v>905</v>
      </c>
      <c r="P430">
        <v>794</v>
      </c>
      <c r="Q430">
        <f>tinder[[#This Row],[All Swipes]]/MAX(tinder[All Swipes])</f>
        <v>2.1895204614427625E-2</v>
      </c>
      <c r="R430">
        <f>tinder[[#This Row],[Swipe Right (LIKE)]]+tinder[[#This Row],[Swipe Left (PASS)]]</f>
        <v>18585</v>
      </c>
      <c r="S430">
        <v>239</v>
      </c>
      <c r="T430">
        <v>18346</v>
      </c>
      <c r="U430" t="s">
        <v>8</v>
      </c>
      <c r="V430" s="1">
        <v>44047</v>
      </c>
      <c r="W430" t="s">
        <v>12</v>
      </c>
      <c r="X430" t="s">
        <v>1296</v>
      </c>
      <c r="Y430" t="s">
        <v>8</v>
      </c>
      <c r="Z430">
        <v>28</v>
      </c>
      <c r="AA43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31" spans="1:27" x14ac:dyDescent="0.3">
      <c r="A431" t="s">
        <v>1173</v>
      </c>
      <c r="B431">
        <v>7423</v>
      </c>
      <c r="C431">
        <v>544</v>
      </c>
      <c r="D431">
        <f>IFERROR(tinder[[#This Row],[Tinder Opened]]/tinder[[#This Row],[Days on Tinder]],0)</f>
        <v>13.645220588235293</v>
      </c>
      <c r="E431">
        <f>tinder[[#This Row],[Engagement]]/MAX(tinder[Engagement])</f>
        <v>6.8568947679574332E-2</v>
      </c>
      <c r="F43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31">
        <v>196</v>
      </c>
      <c r="H431">
        <f>IFERROR(tinder[[#This Row],[Conversations]]/tinder[[#This Row],[Tinder Opened]],0)</f>
        <v>2.6404418698639364E-2</v>
      </c>
      <c r="I431">
        <f>tinder[[#This Row],[Conversations]]/MAX(tinder[Conversations])</f>
        <v>1.5503875968992248E-2</v>
      </c>
      <c r="J431">
        <f>(tinder[[#This Row],[Norm Engagement]]*2)+(tinder[[#This Row],[Norm Swipes]]*1)+(tinder[[#This Row],[Norm Conversations]]*2)</f>
        <v>0.28950646047690359</v>
      </c>
      <c r="K43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31">
        <v>30</v>
      </c>
      <c r="M431">
        <v>12</v>
      </c>
      <c r="N431">
        <v>435</v>
      </c>
      <c r="O431">
        <v>7549</v>
      </c>
      <c r="P431">
        <v>6559</v>
      </c>
      <c r="Q431">
        <f>tinder[[#This Row],[All Swipes]]/MAX(tinder[All Swipes])</f>
        <v>0.1213608131797704</v>
      </c>
      <c r="R431">
        <f>tinder[[#This Row],[Swipe Right (LIKE)]]+tinder[[#This Row],[Swipe Left (PASS)]]</f>
        <v>103013</v>
      </c>
      <c r="S431">
        <v>3397</v>
      </c>
      <c r="T431">
        <v>99616</v>
      </c>
      <c r="U431" t="s">
        <v>65</v>
      </c>
      <c r="V431" s="1">
        <v>42456</v>
      </c>
      <c r="W431" t="s">
        <v>7</v>
      </c>
      <c r="X431" t="s">
        <v>1296</v>
      </c>
      <c r="Y431" t="s">
        <v>1174</v>
      </c>
      <c r="Z431">
        <v>35</v>
      </c>
      <c r="AA431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432" spans="1:27" x14ac:dyDescent="0.3">
      <c r="A432" t="s">
        <v>141</v>
      </c>
      <c r="B432">
        <v>2913</v>
      </c>
      <c r="C432">
        <v>215</v>
      </c>
      <c r="D432">
        <f>IFERROR(tinder[[#This Row],[Tinder Opened]]/tinder[[#This Row],[Days on Tinder]],0)</f>
        <v>13.548837209302325</v>
      </c>
      <c r="E432">
        <f>tinder[[#This Row],[Engagement]]/MAX(tinder[Engagement])</f>
        <v>6.808460909197149E-2</v>
      </c>
      <c r="F43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32">
        <v>31</v>
      </c>
      <c r="H432">
        <f>IFERROR(tinder[[#This Row],[Conversations]]/tinder[[#This Row],[Tinder Opened]],0)</f>
        <v>1.0641949879848954E-2</v>
      </c>
      <c r="I432">
        <f>tinder[[#This Row],[Conversations]]/MAX(tinder[Conversations])</f>
        <v>2.4521436481569374E-3</v>
      </c>
      <c r="J432">
        <f>(tinder[[#This Row],[Norm Engagement]]*2)+(tinder[[#This Row],[Norm Swipes]]*1)+(tinder[[#This Row],[Norm Conversations]]*2)</f>
        <v>0.18646614652378102</v>
      </c>
      <c r="K43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32">
        <v>5</v>
      </c>
      <c r="M432">
        <v>1</v>
      </c>
      <c r="N432">
        <v>101</v>
      </c>
      <c r="O432">
        <v>302</v>
      </c>
      <c r="P432">
        <v>253</v>
      </c>
      <c r="Q432">
        <f>tinder[[#This Row],[All Swipes]]/MAX(tinder[All Swipes])</f>
        <v>4.5392641043524154E-2</v>
      </c>
      <c r="R432">
        <f>tinder[[#This Row],[Swipe Right (LIKE)]]+tinder[[#This Row],[Swipe Left (PASS)]]</f>
        <v>38530</v>
      </c>
      <c r="S432">
        <v>15823</v>
      </c>
      <c r="T432">
        <v>22707</v>
      </c>
      <c r="U432" t="s">
        <v>8</v>
      </c>
      <c r="V432" s="1">
        <v>43862</v>
      </c>
      <c r="W432" t="s">
        <v>12</v>
      </c>
      <c r="X432" t="s">
        <v>1295</v>
      </c>
      <c r="Y432" t="s">
        <v>8</v>
      </c>
      <c r="Z432">
        <v>24</v>
      </c>
      <c r="AA43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33" spans="1:27" x14ac:dyDescent="0.3">
      <c r="A433" t="s">
        <v>786</v>
      </c>
      <c r="B433">
        <v>4332</v>
      </c>
      <c r="C433">
        <v>321</v>
      </c>
      <c r="D433">
        <f>IFERROR(tinder[[#This Row],[Tinder Opened]]/tinder[[#This Row],[Days on Tinder]],0)</f>
        <v>13.495327102803738</v>
      </c>
      <c r="E433">
        <f>tinder[[#This Row],[Engagement]]/MAX(tinder[Engagement])</f>
        <v>6.7815714084440898E-2</v>
      </c>
      <c r="F43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33">
        <v>176</v>
      </c>
      <c r="H433">
        <f>IFERROR(tinder[[#This Row],[Conversations]]/tinder[[#This Row],[Tinder Opened]],0)</f>
        <v>4.0627885503231764E-2</v>
      </c>
      <c r="I433">
        <f>tinder[[#This Row],[Conversations]]/MAX(tinder[Conversations])</f>
        <v>1.3921847808890999E-2</v>
      </c>
      <c r="J433">
        <f>(tinder[[#This Row],[Norm Engagement]]*2)+(tinder[[#This Row],[Norm Swipes]]*1)+(tinder[[#This Row],[Norm Conversations]]*2)</f>
        <v>0.17049902531538144</v>
      </c>
      <c r="K43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33">
        <v>68</v>
      </c>
      <c r="M433">
        <v>1</v>
      </c>
      <c r="N433">
        <v>182</v>
      </c>
      <c r="O433">
        <v>848</v>
      </c>
      <c r="P433">
        <v>934</v>
      </c>
      <c r="Q433">
        <f>tinder[[#This Row],[All Swipes]]/MAX(tinder[All Swipes])</f>
        <v>7.0239015287176495E-3</v>
      </c>
      <c r="R433">
        <f>tinder[[#This Row],[Swipe Right (LIKE)]]+tinder[[#This Row],[Swipe Left (PASS)]]</f>
        <v>5962</v>
      </c>
      <c r="S433">
        <v>4033</v>
      </c>
      <c r="T433">
        <v>1929</v>
      </c>
      <c r="U433" t="s">
        <v>75</v>
      </c>
      <c r="V433" s="1">
        <v>43940</v>
      </c>
      <c r="W433" t="s">
        <v>12</v>
      </c>
      <c r="X433" t="s">
        <v>1295</v>
      </c>
      <c r="Y433" t="s">
        <v>8</v>
      </c>
      <c r="Z433">
        <v>24</v>
      </c>
      <c r="AA43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34" spans="1:27" x14ac:dyDescent="0.3">
      <c r="A434" t="s">
        <v>481</v>
      </c>
      <c r="B434">
        <v>16438</v>
      </c>
      <c r="C434">
        <v>1222</v>
      </c>
      <c r="D434">
        <f>IFERROR(tinder[[#This Row],[Tinder Opened]]/tinder[[#This Row],[Days on Tinder]],0)</f>
        <v>13.451718494271686</v>
      </c>
      <c r="E434">
        <f>tinder[[#This Row],[Engagement]]/MAX(tinder[Engagement])</f>
        <v>6.7596575348098931E-2</v>
      </c>
      <c r="F43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34">
        <v>12</v>
      </c>
      <c r="H434">
        <f>IFERROR(tinder[[#This Row],[Conversations]]/tinder[[#This Row],[Tinder Opened]],0)</f>
        <v>7.3001581700936856E-4</v>
      </c>
      <c r="I434">
        <f>tinder[[#This Row],[Conversations]]/MAX(tinder[Conversations])</f>
        <v>9.4921689606074992E-4</v>
      </c>
      <c r="J434">
        <f>(tinder[[#This Row],[Norm Engagement]]*2)+(tinder[[#This Row],[Norm Swipes]]*1)+(tinder[[#This Row],[Norm Conversations]]*2)</f>
        <v>0.71135385098659465</v>
      </c>
      <c r="K43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34">
        <v>7</v>
      </c>
      <c r="M434">
        <v>0</v>
      </c>
      <c r="N434">
        <v>26</v>
      </c>
      <c r="O434">
        <v>130</v>
      </c>
      <c r="P434">
        <v>124</v>
      </c>
      <c r="Q434">
        <f>tinder[[#This Row],[All Swipes]]/MAX(tinder[All Swipes])</f>
        <v>0.57426226649827528</v>
      </c>
      <c r="R434">
        <f>tinder[[#This Row],[Swipe Right (LIKE)]]+tinder[[#This Row],[Swipe Left (PASS)]]</f>
        <v>487443</v>
      </c>
      <c r="S434">
        <v>3595</v>
      </c>
      <c r="T434">
        <v>483848</v>
      </c>
      <c r="U434" t="s">
        <v>27</v>
      </c>
      <c r="V434" s="1">
        <v>42099</v>
      </c>
      <c r="W434" t="s">
        <v>7</v>
      </c>
      <c r="X434" t="s">
        <v>1295</v>
      </c>
      <c r="Y434" t="s">
        <v>19</v>
      </c>
      <c r="Z434">
        <v>23</v>
      </c>
      <c r="AA43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35" spans="1:27" x14ac:dyDescent="0.3">
      <c r="A435" t="s">
        <v>498</v>
      </c>
      <c r="B435">
        <v>10463</v>
      </c>
      <c r="C435">
        <v>778</v>
      </c>
      <c r="D435">
        <f>IFERROR(tinder[[#This Row],[Tinder Opened]]/tinder[[#This Row],[Days on Tinder]],0)</f>
        <v>13.448586118251928</v>
      </c>
      <c r="E435">
        <f>tinder[[#This Row],[Engagement]]/MAX(tinder[Engagement])</f>
        <v>6.7580834765085071E-2</v>
      </c>
      <c r="F43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35">
        <v>310</v>
      </c>
      <c r="H435">
        <f>IFERROR(tinder[[#This Row],[Conversations]]/tinder[[#This Row],[Tinder Opened]],0)</f>
        <v>2.9628213705438212E-2</v>
      </c>
      <c r="I435">
        <f>tinder[[#This Row],[Conversations]]/MAX(tinder[Conversations])</f>
        <v>2.4521436481569372E-2</v>
      </c>
      <c r="J435">
        <f>(tinder[[#This Row],[Norm Engagement]]*2)+(tinder[[#This Row],[Norm Swipes]]*1)+(tinder[[#This Row],[Norm Conversations]]*2)</f>
        <v>0.22071657808170497</v>
      </c>
      <c r="K43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35">
        <v>108</v>
      </c>
      <c r="M435">
        <v>22</v>
      </c>
      <c r="N435">
        <v>1461</v>
      </c>
      <c r="O435">
        <v>4295</v>
      </c>
      <c r="P435">
        <v>4097</v>
      </c>
      <c r="Q435">
        <f>tinder[[#This Row],[All Swipes]]/MAX(tinder[All Swipes])</f>
        <v>3.6512035588396073E-2</v>
      </c>
      <c r="R435">
        <f>tinder[[#This Row],[Swipe Right (LIKE)]]+tinder[[#This Row],[Swipe Left (PASS)]]</f>
        <v>30992</v>
      </c>
      <c r="S435">
        <v>21944</v>
      </c>
      <c r="T435">
        <v>9048</v>
      </c>
      <c r="U435" t="s">
        <v>8</v>
      </c>
      <c r="V435" s="1">
        <v>43142</v>
      </c>
      <c r="W435" t="s">
        <v>12</v>
      </c>
      <c r="X435" t="s">
        <v>1295</v>
      </c>
      <c r="Y435" t="s">
        <v>77</v>
      </c>
      <c r="Z435">
        <v>20</v>
      </c>
      <c r="AA43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36" spans="1:27" x14ac:dyDescent="0.3">
      <c r="A436" t="s">
        <v>385</v>
      </c>
      <c r="B436">
        <v>2567</v>
      </c>
      <c r="C436">
        <v>191</v>
      </c>
      <c r="D436">
        <f>IFERROR(tinder[[#This Row],[Tinder Opened]]/tinder[[#This Row],[Days on Tinder]],0)</f>
        <v>13.439790575916231</v>
      </c>
      <c r="E436">
        <f>tinder[[#This Row],[Engagement]]/MAX(tinder[Engagement])</f>
        <v>6.7536636059880556E-2</v>
      </c>
      <c r="F43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36">
        <v>128</v>
      </c>
      <c r="H436">
        <f>IFERROR(tinder[[#This Row],[Conversations]]/tinder[[#This Row],[Tinder Opened]],0)</f>
        <v>4.9863654070899883E-2</v>
      </c>
      <c r="I436">
        <f>tinder[[#This Row],[Conversations]]/MAX(tinder[Conversations])</f>
        <v>1.0124980224647999E-2</v>
      </c>
      <c r="J436">
        <f>(tinder[[#This Row],[Norm Engagement]]*2)+(tinder[[#This Row],[Norm Swipes]]*1)+(tinder[[#This Row],[Norm Conversations]]*2)</f>
        <v>0.17827284709093227</v>
      </c>
      <c r="K43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36">
        <v>58</v>
      </c>
      <c r="M436">
        <v>8</v>
      </c>
      <c r="N436">
        <v>216</v>
      </c>
      <c r="O436">
        <v>579</v>
      </c>
      <c r="P436">
        <v>482</v>
      </c>
      <c r="Q436">
        <f>tinder[[#This Row],[All Swipes]]/MAX(tinder[All Swipes])</f>
        <v>2.2949614521875175E-2</v>
      </c>
      <c r="R436">
        <f>tinder[[#This Row],[Swipe Right (LIKE)]]+tinder[[#This Row],[Swipe Left (PASS)]]</f>
        <v>19480</v>
      </c>
      <c r="S436">
        <v>2357</v>
      </c>
      <c r="T436">
        <v>17123</v>
      </c>
      <c r="U436" t="s">
        <v>10</v>
      </c>
      <c r="V436" s="1">
        <v>44001</v>
      </c>
      <c r="W436" t="s">
        <v>12</v>
      </c>
      <c r="X436" t="s">
        <v>1295</v>
      </c>
      <c r="Y436" t="s">
        <v>8</v>
      </c>
      <c r="Z436">
        <v>27</v>
      </c>
      <c r="AA43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37" spans="1:27" x14ac:dyDescent="0.3">
      <c r="A437" t="s">
        <v>537</v>
      </c>
      <c r="B437">
        <v>7130</v>
      </c>
      <c r="C437">
        <v>535</v>
      </c>
      <c r="D437">
        <f>IFERROR(tinder[[#This Row],[Tinder Opened]]/tinder[[#This Row],[Days on Tinder]],0)</f>
        <v>13.327102803738319</v>
      </c>
      <c r="E437">
        <f>tinder[[#This Row],[Engagement]]/MAX(tinder[Engagement])</f>
        <v>6.6970365847931243E-2</v>
      </c>
      <c r="F43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37">
        <v>596</v>
      </c>
      <c r="H437">
        <f>IFERROR(tinder[[#This Row],[Conversations]]/tinder[[#This Row],[Tinder Opened]],0)</f>
        <v>8.359046283309958E-2</v>
      </c>
      <c r="I437">
        <f>tinder[[#This Row],[Conversations]]/MAX(tinder[Conversations])</f>
        <v>4.7144439171017245E-2</v>
      </c>
      <c r="J437">
        <f>(tinder[[#This Row],[Norm Engagement]]*2)+(tinder[[#This Row],[Norm Swipes]]*1)+(tinder[[#This Row],[Norm Conversations]]*2)</f>
        <v>0.27826165467419034</v>
      </c>
      <c r="K43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37">
        <v>144</v>
      </c>
      <c r="M437">
        <v>39</v>
      </c>
      <c r="N437">
        <v>1395</v>
      </c>
      <c r="O437">
        <v>7209</v>
      </c>
      <c r="P437">
        <v>7213</v>
      </c>
      <c r="Q437">
        <f>tinder[[#This Row],[All Swipes]]/MAX(tinder[All Swipes])</f>
        <v>5.0032044636293377E-2</v>
      </c>
      <c r="R437">
        <f>tinder[[#This Row],[Swipe Right (LIKE)]]+tinder[[#This Row],[Swipe Left (PASS)]]</f>
        <v>42468</v>
      </c>
      <c r="S437">
        <v>20317</v>
      </c>
      <c r="T437">
        <v>22151</v>
      </c>
      <c r="U437" t="s">
        <v>10</v>
      </c>
      <c r="V437" s="1">
        <v>43657</v>
      </c>
      <c r="W437" t="s">
        <v>12</v>
      </c>
      <c r="X437" t="s">
        <v>1295</v>
      </c>
      <c r="Y437" t="s">
        <v>8</v>
      </c>
      <c r="Z437">
        <v>41</v>
      </c>
      <c r="AA437" t="str">
        <f>_xlfn.IFS(tinder[[#This Row],[Age]]&lt;=20,"Teen",tinder[[#This Row],[Age]]&lt;=30,"Young Adult",tinder[[#This Row],[Age]]&lt;=40,"Adult",tinder[[#This Row],[Age]]&lt;=50,"Middle-Aged",TRUE,"Senior")</f>
        <v>Middle-Aged</v>
      </c>
    </row>
    <row r="438" spans="1:27" x14ac:dyDescent="0.3">
      <c r="A438" t="s">
        <v>764</v>
      </c>
      <c r="B438">
        <v>10953</v>
      </c>
      <c r="C438">
        <v>822</v>
      </c>
      <c r="D438">
        <f>IFERROR(tinder[[#This Row],[Tinder Opened]]/tinder[[#This Row],[Days on Tinder]],0)</f>
        <v>13.324817518248175</v>
      </c>
      <c r="E438">
        <f>tinder[[#This Row],[Engagement]]/MAX(tinder[Engagement])</f>
        <v>6.6958882001247111E-2</v>
      </c>
      <c r="F43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38">
        <v>141</v>
      </c>
      <c r="H438">
        <f>IFERROR(tinder[[#This Row],[Conversations]]/tinder[[#This Row],[Tinder Opened]],0)</f>
        <v>1.2873185428649686E-2</v>
      </c>
      <c r="I438">
        <f>tinder[[#This Row],[Conversations]]/MAX(tinder[Conversations])</f>
        <v>1.1153298528713811E-2</v>
      </c>
      <c r="J438">
        <f>(tinder[[#This Row],[Norm Engagement]]*2)+(tinder[[#This Row],[Norm Swipes]]*1)+(tinder[[#This Row],[Norm Conversations]]*2)</f>
        <v>0.32753239483873847</v>
      </c>
      <c r="K43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38">
        <v>55</v>
      </c>
      <c r="M438">
        <v>13</v>
      </c>
      <c r="N438">
        <v>702</v>
      </c>
      <c r="O438">
        <v>503</v>
      </c>
      <c r="P438">
        <v>490</v>
      </c>
      <c r="Q438">
        <f>tinder[[#This Row],[All Swipes]]/MAX(tinder[All Swipes])</f>
        <v>0.17130803377881662</v>
      </c>
      <c r="R438">
        <f>tinder[[#This Row],[Swipe Right (LIKE)]]+tinder[[#This Row],[Swipe Left (PASS)]]</f>
        <v>145409</v>
      </c>
      <c r="S438">
        <v>16543</v>
      </c>
      <c r="T438">
        <v>128866</v>
      </c>
      <c r="U438" t="s">
        <v>8</v>
      </c>
      <c r="V438" s="1">
        <v>42206</v>
      </c>
      <c r="W438" t="s">
        <v>7</v>
      </c>
      <c r="X438" t="s">
        <v>1295</v>
      </c>
      <c r="Y438" t="s">
        <v>765</v>
      </c>
      <c r="Z438">
        <v>19</v>
      </c>
      <c r="AA43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39" spans="1:27" x14ac:dyDescent="0.3">
      <c r="A439" t="s">
        <v>48</v>
      </c>
      <c r="B439">
        <v>14280</v>
      </c>
      <c r="C439">
        <v>1076</v>
      </c>
      <c r="D439">
        <f>IFERROR(tinder[[#This Row],[Tinder Opened]]/tinder[[#This Row],[Days on Tinder]],0)</f>
        <v>13.271375464684015</v>
      </c>
      <c r="E439">
        <f>tinder[[#This Row],[Engagement]]/MAX(tinder[Engagement])</f>
        <v>6.6690328968261381E-2</v>
      </c>
      <c r="F43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39">
        <v>357</v>
      </c>
      <c r="H439">
        <f>IFERROR(tinder[[#This Row],[Conversations]]/tinder[[#This Row],[Tinder Opened]],0)</f>
        <v>2.5000000000000001E-2</v>
      </c>
      <c r="I439">
        <f>tinder[[#This Row],[Conversations]]/MAX(tinder[Conversations])</f>
        <v>2.823920265780731E-2</v>
      </c>
      <c r="J439">
        <f>(tinder[[#This Row],[Norm Engagement]]*2)+(tinder[[#This Row],[Norm Swipes]]*1)+(tinder[[#This Row],[Norm Conversations]]*2)</f>
        <v>0.45694168186441614</v>
      </c>
      <c r="K43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39">
        <v>83</v>
      </c>
      <c r="M439">
        <v>15</v>
      </c>
      <c r="N439">
        <v>644</v>
      </c>
      <c r="O439">
        <v>6959</v>
      </c>
      <c r="P439">
        <v>5022</v>
      </c>
      <c r="Q439">
        <f>tinder[[#This Row],[All Swipes]]/MAX(tinder[All Swipes])</f>
        <v>0.26708261861227878</v>
      </c>
      <c r="R439">
        <f>tinder[[#This Row],[Swipe Right (LIKE)]]+tinder[[#This Row],[Swipe Left (PASS)]]</f>
        <v>226704</v>
      </c>
      <c r="S439">
        <v>86707</v>
      </c>
      <c r="T439">
        <v>139997</v>
      </c>
      <c r="U439" t="s">
        <v>8</v>
      </c>
      <c r="V439" s="1">
        <v>42025</v>
      </c>
      <c r="W439" t="s">
        <v>7</v>
      </c>
      <c r="X439" t="s">
        <v>1295</v>
      </c>
      <c r="Y439" t="s">
        <v>8</v>
      </c>
      <c r="Z439">
        <v>28</v>
      </c>
      <c r="AA43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40" spans="1:27" x14ac:dyDescent="0.3">
      <c r="A440" t="s">
        <v>888</v>
      </c>
      <c r="B440">
        <v>4593</v>
      </c>
      <c r="C440">
        <v>347</v>
      </c>
      <c r="D440">
        <f>IFERROR(tinder[[#This Row],[Tinder Opened]]/tinder[[#This Row],[Days on Tinder]],0)</f>
        <v>13.236311239193084</v>
      </c>
      <c r="E440">
        <f>tinder[[#This Row],[Engagement]]/MAX(tinder[Engagement])</f>
        <v>6.6514126830115997E-2</v>
      </c>
      <c r="F44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40">
        <v>178</v>
      </c>
      <c r="H440">
        <f>IFERROR(tinder[[#This Row],[Conversations]]/tinder[[#This Row],[Tinder Opened]],0)</f>
        <v>3.8754626605704334E-2</v>
      </c>
      <c r="I440">
        <f>tinder[[#This Row],[Conversations]]/MAX(tinder[Conversations])</f>
        <v>1.4080050624901124E-2</v>
      </c>
      <c r="J440">
        <f>(tinder[[#This Row],[Norm Engagement]]*2)+(tinder[[#This Row],[Norm Swipes]]*1)+(tinder[[#This Row],[Norm Conversations]]*2)</f>
        <v>0.17943612592283326</v>
      </c>
      <c r="K44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40">
        <v>50</v>
      </c>
      <c r="M440">
        <v>2</v>
      </c>
      <c r="N440">
        <v>258</v>
      </c>
      <c r="O440">
        <v>4498</v>
      </c>
      <c r="P440">
        <v>4121</v>
      </c>
      <c r="Q440">
        <f>tinder[[#This Row],[All Swipes]]/MAX(tinder[All Swipes])</f>
        <v>1.8247771012799004E-2</v>
      </c>
      <c r="R440">
        <f>tinder[[#This Row],[Swipe Right (LIKE)]]+tinder[[#This Row],[Swipe Left (PASS)]]</f>
        <v>15489</v>
      </c>
      <c r="S440">
        <v>4338</v>
      </c>
      <c r="T440">
        <v>11151</v>
      </c>
      <c r="U440" t="s">
        <v>25</v>
      </c>
      <c r="V440" s="1">
        <v>43557</v>
      </c>
      <c r="W440" t="s">
        <v>12</v>
      </c>
      <c r="X440" t="s">
        <v>1295</v>
      </c>
      <c r="Y440" t="s">
        <v>8</v>
      </c>
      <c r="Z440">
        <v>29</v>
      </c>
      <c r="AA44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41" spans="1:27" x14ac:dyDescent="0.3">
      <c r="A441" t="s">
        <v>918</v>
      </c>
      <c r="B441">
        <v>6376</v>
      </c>
      <c r="C441">
        <v>482</v>
      </c>
      <c r="D441">
        <f>IFERROR(tinder[[#This Row],[Tinder Opened]]/tinder[[#This Row],[Days on Tinder]],0)</f>
        <v>13.228215767634854</v>
      </c>
      <c r="E441">
        <f>tinder[[#This Row],[Engagement]]/MAX(tinder[Engagement])</f>
        <v>6.647344606851685E-2</v>
      </c>
      <c r="F44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41">
        <v>300</v>
      </c>
      <c r="H441">
        <f>IFERROR(tinder[[#This Row],[Conversations]]/tinder[[#This Row],[Tinder Opened]],0)</f>
        <v>4.7051442910915932E-2</v>
      </c>
      <c r="I441">
        <f>tinder[[#This Row],[Conversations]]/MAX(tinder[Conversations])</f>
        <v>2.3730422401518746E-2</v>
      </c>
      <c r="J441">
        <f>(tinder[[#This Row],[Norm Engagement]]*2)+(tinder[[#This Row],[Norm Swipes]]*1)+(tinder[[#This Row],[Norm Conversations]]*2)</f>
        <v>0.25113331232979053</v>
      </c>
      <c r="K44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41">
        <v>82</v>
      </c>
      <c r="M441">
        <v>11</v>
      </c>
      <c r="N441">
        <v>689</v>
      </c>
      <c r="O441">
        <v>4704</v>
      </c>
      <c r="P441">
        <v>4339</v>
      </c>
      <c r="Q441">
        <f>tinder[[#This Row],[All Swipes]]/MAX(tinder[All Swipes])</f>
        <v>7.0725575389719325E-2</v>
      </c>
      <c r="R441">
        <f>tinder[[#This Row],[Swipe Right (LIKE)]]+tinder[[#This Row],[Swipe Left (PASS)]]</f>
        <v>60033</v>
      </c>
      <c r="S441">
        <v>28083</v>
      </c>
      <c r="T441">
        <v>31950</v>
      </c>
      <c r="U441" t="s">
        <v>27</v>
      </c>
      <c r="V441" s="1">
        <v>43779</v>
      </c>
      <c r="W441" t="s">
        <v>12</v>
      </c>
      <c r="X441" t="s">
        <v>1295</v>
      </c>
      <c r="Y441" t="s">
        <v>263</v>
      </c>
      <c r="Z441">
        <v>23</v>
      </c>
      <c r="AA44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42" spans="1:27" x14ac:dyDescent="0.3">
      <c r="A442" t="s">
        <v>13</v>
      </c>
      <c r="B442">
        <v>2077</v>
      </c>
      <c r="C442">
        <v>158</v>
      </c>
      <c r="D442">
        <f>IFERROR(tinder[[#This Row],[Tinder Opened]]/tinder[[#This Row],[Days on Tinder]],0)</f>
        <v>13.145569620253164</v>
      </c>
      <c r="E442">
        <f>tinder[[#This Row],[Engagement]]/MAX(tinder[Engagement])</f>
        <v>6.6058138795242027E-2</v>
      </c>
      <c r="F44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42">
        <v>47</v>
      </c>
      <c r="H442">
        <f>IFERROR(tinder[[#This Row],[Conversations]]/tinder[[#This Row],[Tinder Opened]],0)</f>
        <v>2.2628791526239769E-2</v>
      </c>
      <c r="I442">
        <f>tinder[[#This Row],[Conversations]]/MAX(tinder[Conversations])</f>
        <v>3.717766176237937E-3</v>
      </c>
      <c r="J442">
        <f>(tinder[[#This Row],[Norm Engagement]]*2)+(tinder[[#This Row],[Norm Swipes]]*1)+(tinder[[#This Row],[Norm Conversations]]*2)</f>
        <v>0.15677933628553595</v>
      </c>
      <c r="K44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42">
        <v>3</v>
      </c>
      <c r="M442">
        <v>0</v>
      </c>
      <c r="N442">
        <v>94</v>
      </c>
      <c r="O442">
        <v>371</v>
      </c>
      <c r="P442">
        <v>224</v>
      </c>
      <c r="Q442">
        <f>tinder[[#This Row],[All Swipes]]/MAX(tinder[All Swipes])</f>
        <v>1.7227526342576013E-2</v>
      </c>
      <c r="R442">
        <f>tinder[[#This Row],[Swipe Right (LIKE)]]+tinder[[#This Row],[Swipe Left (PASS)]]</f>
        <v>14623</v>
      </c>
      <c r="S442">
        <v>6724</v>
      </c>
      <c r="T442">
        <v>7899</v>
      </c>
      <c r="U442" t="s">
        <v>14</v>
      </c>
      <c r="V442" s="1">
        <v>43733</v>
      </c>
      <c r="W442" t="s">
        <v>12</v>
      </c>
      <c r="X442" t="s">
        <v>1295</v>
      </c>
      <c r="Y442" t="s">
        <v>8</v>
      </c>
      <c r="Z442">
        <v>21</v>
      </c>
      <c r="AA44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43" spans="1:27" x14ac:dyDescent="0.3">
      <c r="A443" t="s">
        <v>690</v>
      </c>
      <c r="B443">
        <v>2458</v>
      </c>
      <c r="C443">
        <v>187</v>
      </c>
      <c r="D443">
        <f>IFERROR(tinder[[#This Row],[Tinder Opened]]/tinder[[#This Row],[Days on Tinder]],0)</f>
        <v>13.144385026737968</v>
      </c>
      <c r="E443">
        <f>tinder[[#This Row],[Engagement]]/MAX(tinder[Engagement])</f>
        <v>6.6052186064009893E-2</v>
      </c>
      <c r="F44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43">
        <v>1325</v>
      </c>
      <c r="H443">
        <f>IFERROR(tinder[[#This Row],[Conversations]]/tinder[[#This Row],[Tinder Opened]],0)</f>
        <v>0.53905614320585837</v>
      </c>
      <c r="I443">
        <f>tinder[[#This Row],[Conversations]]/MAX(tinder[Conversations])</f>
        <v>0.1048093656067078</v>
      </c>
      <c r="J443">
        <f>(tinder[[#This Row],[Norm Engagement]]*2)+(tinder[[#This Row],[Norm Swipes]]*1)+(tinder[[#This Row],[Norm Conversations]]*2)</f>
        <v>0.35317434836980433</v>
      </c>
      <c r="K44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43">
        <v>212</v>
      </c>
      <c r="M443">
        <v>988</v>
      </c>
      <c r="N443">
        <v>2451</v>
      </c>
      <c r="O443">
        <v>775</v>
      </c>
      <c r="P443">
        <v>3111</v>
      </c>
      <c r="Q443">
        <f>tinder[[#This Row],[All Swipes]]/MAX(tinder[All Swipes])</f>
        <v>1.1451245028368928E-2</v>
      </c>
      <c r="R443">
        <f>tinder[[#This Row],[Swipe Right (LIKE)]]+tinder[[#This Row],[Swipe Left (PASS)]]</f>
        <v>9720</v>
      </c>
      <c r="S443">
        <v>5077</v>
      </c>
      <c r="T443">
        <v>4643</v>
      </c>
      <c r="U443" t="s">
        <v>8</v>
      </c>
      <c r="V443" s="1">
        <v>44094</v>
      </c>
      <c r="W443" t="s">
        <v>12</v>
      </c>
      <c r="X443" t="s">
        <v>1296</v>
      </c>
      <c r="Y443" t="s">
        <v>691</v>
      </c>
      <c r="Z443">
        <v>19</v>
      </c>
      <c r="AA44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44" spans="1:27" x14ac:dyDescent="0.3">
      <c r="A444" t="s">
        <v>620</v>
      </c>
      <c r="B444">
        <v>4986</v>
      </c>
      <c r="C444">
        <v>380</v>
      </c>
      <c r="D444">
        <f>IFERROR(tinder[[#This Row],[Tinder Opened]]/tinder[[#This Row],[Days on Tinder]],0)</f>
        <v>13.121052631578948</v>
      </c>
      <c r="E444">
        <f>tinder[[#This Row],[Engagement]]/MAX(tinder[Engagement])</f>
        <v>6.5934937847130393E-2</v>
      </c>
      <c r="F44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44">
        <v>311</v>
      </c>
      <c r="H444">
        <f>IFERROR(tinder[[#This Row],[Conversations]]/tinder[[#This Row],[Tinder Opened]],0)</f>
        <v>6.2374649017248297E-2</v>
      </c>
      <c r="I444">
        <f>tinder[[#This Row],[Conversations]]/MAX(tinder[Conversations])</f>
        <v>2.4600537889574434E-2</v>
      </c>
      <c r="J444">
        <f>(tinder[[#This Row],[Norm Engagement]]*2)+(tinder[[#This Row],[Norm Swipes]]*1)+(tinder[[#This Row],[Norm Conversations]]*2)</f>
        <v>0.23424737604599075</v>
      </c>
      <c r="K44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44">
        <v>62</v>
      </c>
      <c r="M444">
        <v>12</v>
      </c>
      <c r="N444">
        <v>730</v>
      </c>
      <c r="O444">
        <v>2778</v>
      </c>
      <c r="P444">
        <v>2131</v>
      </c>
      <c r="Q444">
        <f>tinder[[#This Row],[All Swipes]]/MAX(tinder[All Swipes])</f>
        <v>5.3176424572581101E-2</v>
      </c>
      <c r="R444">
        <f>tinder[[#This Row],[Swipe Right (LIKE)]]+tinder[[#This Row],[Swipe Left (PASS)]]</f>
        <v>45137</v>
      </c>
      <c r="S444">
        <v>19515</v>
      </c>
      <c r="T444">
        <v>25622</v>
      </c>
      <c r="U444" t="s">
        <v>8</v>
      </c>
      <c r="V444" s="1">
        <v>42880</v>
      </c>
      <c r="W444" t="s">
        <v>7</v>
      </c>
      <c r="X444" t="s">
        <v>1295</v>
      </c>
      <c r="Y444" t="s">
        <v>8</v>
      </c>
      <c r="Z444">
        <v>31</v>
      </c>
      <c r="AA444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445" spans="1:27" x14ac:dyDescent="0.3">
      <c r="A445" t="s">
        <v>1150</v>
      </c>
      <c r="B445">
        <v>12314</v>
      </c>
      <c r="C445">
        <v>939</v>
      </c>
      <c r="D445">
        <f>IFERROR(tinder[[#This Row],[Tinder Opened]]/tinder[[#This Row],[Days on Tinder]],0)</f>
        <v>13.11395101171459</v>
      </c>
      <c r="E445">
        <f>tinder[[#This Row],[Engagement]]/MAX(tinder[Engagement])</f>
        <v>6.5899251315148691E-2</v>
      </c>
      <c r="F44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45">
        <v>643</v>
      </c>
      <c r="H445">
        <f>IFERROR(tinder[[#This Row],[Conversations]]/tinder[[#This Row],[Tinder Opened]],0)</f>
        <v>5.2216988793243463E-2</v>
      </c>
      <c r="I445">
        <f>tinder[[#This Row],[Conversations]]/MAX(tinder[Conversations])</f>
        <v>5.0862205347255184E-2</v>
      </c>
      <c r="J445">
        <f>(tinder[[#This Row],[Norm Engagement]]*2)+(tinder[[#This Row],[Norm Swipes]]*1)+(tinder[[#This Row],[Norm Conversations]]*2)</f>
        <v>0.38721346581203703</v>
      </c>
      <c r="K44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45">
        <v>205</v>
      </c>
      <c r="M445">
        <v>259</v>
      </c>
      <c r="N445">
        <v>2611</v>
      </c>
      <c r="O445">
        <v>1487</v>
      </c>
      <c r="P445">
        <v>2048</v>
      </c>
      <c r="Q445">
        <f>tinder[[#This Row],[All Swipes]]/MAX(tinder[All Swipes])</f>
        <v>0.15369055248722926</v>
      </c>
      <c r="R445">
        <f>tinder[[#This Row],[Swipe Right (LIKE)]]+tinder[[#This Row],[Swipe Left (PASS)]]</f>
        <v>130455</v>
      </c>
      <c r="S445">
        <v>24419</v>
      </c>
      <c r="T445">
        <v>106036</v>
      </c>
      <c r="U445" t="s">
        <v>10</v>
      </c>
      <c r="V445" s="1">
        <v>43313</v>
      </c>
      <c r="W445" t="s">
        <v>12</v>
      </c>
      <c r="X445" t="s">
        <v>1295</v>
      </c>
      <c r="Y445" t="s">
        <v>8</v>
      </c>
      <c r="Z445">
        <v>25</v>
      </c>
      <c r="AA44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46" spans="1:27" x14ac:dyDescent="0.3">
      <c r="A446" t="s">
        <v>989</v>
      </c>
      <c r="B446">
        <v>6684</v>
      </c>
      <c r="C446">
        <v>510</v>
      </c>
      <c r="D446">
        <f>IFERROR(tinder[[#This Row],[Tinder Opened]]/tinder[[#This Row],[Days on Tinder]],0)</f>
        <v>13.105882352941176</v>
      </c>
      <c r="E446">
        <f>tinder[[#This Row],[Engagement]]/MAX(tinder[Engagement])</f>
        <v>6.5858705291161695E-2</v>
      </c>
      <c r="F44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46">
        <v>564</v>
      </c>
      <c r="H446">
        <f>IFERROR(tinder[[#This Row],[Conversations]]/tinder[[#This Row],[Tinder Opened]],0)</f>
        <v>8.4380610412926396E-2</v>
      </c>
      <c r="I446">
        <f>tinder[[#This Row],[Conversations]]/MAX(tinder[Conversations])</f>
        <v>4.4613194114855245E-2</v>
      </c>
      <c r="J446">
        <f>(tinder[[#This Row],[Norm Engagement]]*2)+(tinder[[#This Row],[Norm Swipes]]*1)+(tinder[[#This Row],[Norm Conversations]]*2)</f>
        <v>0.25354450379403237</v>
      </c>
      <c r="K44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46">
        <v>226</v>
      </c>
      <c r="M446">
        <v>16</v>
      </c>
      <c r="N446">
        <v>911</v>
      </c>
      <c r="O446">
        <v>3861</v>
      </c>
      <c r="P446">
        <v>4731</v>
      </c>
      <c r="Q446">
        <f>tinder[[#This Row],[All Swipes]]/MAX(tinder[All Swipes])</f>
        <v>3.2600704981998456E-2</v>
      </c>
      <c r="R446">
        <f>tinder[[#This Row],[Swipe Right (LIKE)]]+tinder[[#This Row],[Swipe Left (PASS)]]</f>
        <v>27672</v>
      </c>
      <c r="S446">
        <v>11400</v>
      </c>
      <c r="T446">
        <v>16272</v>
      </c>
      <c r="U446" t="s">
        <v>8</v>
      </c>
      <c r="V446" s="1">
        <v>42861</v>
      </c>
      <c r="W446" t="s">
        <v>12</v>
      </c>
      <c r="X446" t="s">
        <v>1295</v>
      </c>
      <c r="Y446" t="s">
        <v>990</v>
      </c>
      <c r="Z446">
        <v>27</v>
      </c>
      <c r="AA44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47" spans="1:27" x14ac:dyDescent="0.3">
      <c r="A447" t="s">
        <v>731</v>
      </c>
      <c r="B447">
        <v>366</v>
      </c>
      <c r="C447">
        <v>28</v>
      </c>
      <c r="D447">
        <f>IFERROR(tinder[[#This Row],[Tinder Opened]]/tinder[[#This Row],[Days on Tinder]],0)</f>
        <v>13.071428571428571</v>
      </c>
      <c r="E447">
        <f>tinder[[#This Row],[Engagement]]/MAX(tinder[Engagement])</f>
        <v>6.5685570710696334E-2</v>
      </c>
      <c r="F44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47">
        <v>34</v>
      </c>
      <c r="H447">
        <f>IFERROR(tinder[[#This Row],[Conversations]]/tinder[[#This Row],[Tinder Opened]],0)</f>
        <v>9.2896174863387984E-2</v>
      </c>
      <c r="I447">
        <f>tinder[[#This Row],[Conversations]]/MAX(tinder[Conversations])</f>
        <v>2.6894478721721246E-3</v>
      </c>
      <c r="J447">
        <f>(tinder[[#This Row],[Norm Engagement]]*2)+(tinder[[#This Row],[Norm Swipes]]*1)+(tinder[[#This Row],[Norm Conversations]]*2)</f>
        <v>0.13976011237638328</v>
      </c>
      <c r="K44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47">
        <v>14</v>
      </c>
      <c r="M447">
        <v>6</v>
      </c>
      <c r="N447">
        <v>56</v>
      </c>
      <c r="O447">
        <v>116</v>
      </c>
      <c r="P447">
        <v>85</v>
      </c>
      <c r="Q447">
        <f>tinder[[#This Row],[All Swipes]]/MAX(tinder[All Swipes])</f>
        <v>3.0100752106463594E-3</v>
      </c>
      <c r="R447">
        <f>tinder[[#This Row],[Swipe Right (LIKE)]]+tinder[[#This Row],[Swipe Left (PASS)]]</f>
        <v>2555</v>
      </c>
      <c r="S447">
        <v>2492</v>
      </c>
      <c r="T447">
        <v>63</v>
      </c>
      <c r="U447" t="s">
        <v>8</v>
      </c>
      <c r="V447" s="1">
        <v>44270</v>
      </c>
      <c r="W447" t="s">
        <v>12</v>
      </c>
      <c r="X447" t="s">
        <v>1295</v>
      </c>
      <c r="Y447" t="s">
        <v>8</v>
      </c>
      <c r="Z447">
        <v>27</v>
      </c>
      <c r="AA44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48" spans="1:27" x14ac:dyDescent="0.3">
      <c r="A448" t="s">
        <v>175</v>
      </c>
      <c r="B448">
        <v>5346</v>
      </c>
      <c r="C448">
        <v>413</v>
      </c>
      <c r="D448">
        <f>IFERROR(tinder[[#This Row],[Tinder Opened]]/tinder[[#This Row],[Days on Tinder]],0)</f>
        <v>12.944309927360775</v>
      </c>
      <c r="E448">
        <f>tinder[[#This Row],[Engagement]]/MAX(tinder[Engagement])</f>
        <v>6.5046783554576756E-2</v>
      </c>
      <c r="F44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48">
        <v>223</v>
      </c>
      <c r="H448">
        <f>IFERROR(tinder[[#This Row],[Conversations]]/tinder[[#This Row],[Tinder Opened]],0)</f>
        <v>4.1713430602319489E-2</v>
      </c>
      <c r="I448">
        <f>tinder[[#This Row],[Conversations]]/MAX(tinder[Conversations])</f>
        <v>1.7639613985128935E-2</v>
      </c>
      <c r="J448">
        <f>(tinder[[#This Row],[Norm Engagement]]*2)+(tinder[[#This Row],[Norm Swipes]]*1)+(tinder[[#This Row],[Norm Conversations]]*2)</f>
        <v>0.24046916461061721</v>
      </c>
      <c r="K44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48">
        <v>69</v>
      </c>
      <c r="M448">
        <v>14</v>
      </c>
      <c r="N448">
        <v>426</v>
      </c>
      <c r="O448">
        <v>920</v>
      </c>
      <c r="P448">
        <v>1034</v>
      </c>
      <c r="Q448">
        <f>tinder[[#This Row],[All Swipes]]/MAX(tinder[All Swipes])</f>
        <v>7.5096369531205825E-2</v>
      </c>
      <c r="R448">
        <f>tinder[[#This Row],[Swipe Right (LIKE)]]+tinder[[#This Row],[Swipe Left (PASS)]]</f>
        <v>63743</v>
      </c>
      <c r="S448">
        <v>19142</v>
      </c>
      <c r="T448">
        <v>44601</v>
      </c>
      <c r="U448" t="s">
        <v>10</v>
      </c>
      <c r="V448" s="1">
        <v>43712</v>
      </c>
      <c r="W448" t="s">
        <v>12</v>
      </c>
      <c r="X448" t="s">
        <v>1295</v>
      </c>
      <c r="Y448" t="s">
        <v>176</v>
      </c>
      <c r="Z448">
        <v>29</v>
      </c>
      <c r="AA44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49" spans="1:27" x14ac:dyDescent="0.3">
      <c r="A449" t="s">
        <v>846</v>
      </c>
      <c r="B449">
        <v>2977</v>
      </c>
      <c r="C449">
        <v>230</v>
      </c>
      <c r="D449">
        <f>IFERROR(tinder[[#This Row],[Tinder Opened]]/tinder[[#This Row],[Days on Tinder]],0)</f>
        <v>12.943478260869565</v>
      </c>
      <c r="E449">
        <f>tinder[[#This Row],[Engagement]]/MAX(tinder[Engagement])</f>
        <v>6.5042604325977707E-2</v>
      </c>
      <c r="F44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49">
        <v>223</v>
      </c>
      <c r="H449">
        <f>IFERROR(tinder[[#This Row],[Conversations]]/tinder[[#This Row],[Tinder Opened]],0)</f>
        <v>7.4907625125965743E-2</v>
      </c>
      <c r="I449">
        <f>tinder[[#This Row],[Conversations]]/MAX(tinder[Conversations])</f>
        <v>1.7639613985128935E-2</v>
      </c>
      <c r="J449">
        <f>(tinder[[#This Row],[Norm Engagement]]*2)+(tinder[[#This Row],[Norm Swipes]]*1)+(tinder[[#This Row],[Norm Conversations]]*2)</f>
        <v>0.18623939656641791</v>
      </c>
      <c r="K44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49">
        <v>111</v>
      </c>
      <c r="M449">
        <v>17</v>
      </c>
      <c r="N449">
        <v>773</v>
      </c>
      <c r="O449">
        <v>964</v>
      </c>
      <c r="P449">
        <v>857</v>
      </c>
      <c r="Q449">
        <f>tinder[[#This Row],[All Swipes]]/MAX(tinder[All Swipes])</f>
        <v>2.0874959944204633E-2</v>
      </c>
      <c r="R449">
        <f>tinder[[#This Row],[Swipe Right (LIKE)]]+tinder[[#This Row],[Swipe Left (PASS)]]</f>
        <v>17719</v>
      </c>
      <c r="S449">
        <v>7093</v>
      </c>
      <c r="T449">
        <v>10626</v>
      </c>
      <c r="U449" t="s">
        <v>8</v>
      </c>
      <c r="V449" s="1">
        <v>43991</v>
      </c>
      <c r="W449" t="s">
        <v>12</v>
      </c>
      <c r="X449" t="s">
        <v>1295</v>
      </c>
      <c r="Y449" t="s">
        <v>8</v>
      </c>
      <c r="Z449">
        <v>23</v>
      </c>
      <c r="AA44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50" spans="1:27" x14ac:dyDescent="0.3">
      <c r="A450" t="s">
        <v>376</v>
      </c>
      <c r="B450">
        <v>2058</v>
      </c>
      <c r="C450">
        <v>159</v>
      </c>
      <c r="D450">
        <f>IFERROR(tinder[[#This Row],[Tinder Opened]]/tinder[[#This Row],[Days on Tinder]],0)</f>
        <v>12.943396226415095</v>
      </c>
      <c r="E450">
        <f>tinder[[#This Row],[Engagement]]/MAX(tinder[Engagement])</f>
        <v>6.504219209253817E-2</v>
      </c>
      <c r="F45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50">
        <v>62</v>
      </c>
      <c r="H450">
        <f>IFERROR(tinder[[#This Row],[Conversations]]/tinder[[#This Row],[Tinder Opened]],0)</f>
        <v>3.0126336248785229E-2</v>
      </c>
      <c r="I450">
        <f>tinder[[#This Row],[Conversations]]/MAX(tinder[Conversations])</f>
        <v>4.9042872963138747E-3</v>
      </c>
      <c r="J450">
        <f>(tinder[[#This Row],[Norm Engagement]]*2)+(tinder[[#This Row],[Norm Swipes]]*1)+(tinder[[#This Row],[Norm Conversations]]*2)</f>
        <v>0.17929961463716007</v>
      </c>
      <c r="K45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50">
        <v>10</v>
      </c>
      <c r="M450">
        <v>2</v>
      </c>
      <c r="N450">
        <v>221</v>
      </c>
      <c r="O450">
        <v>892</v>
      </c>
      <c r="P450">
        <v>771</v>
      </c>
      <c r="Q450">
        <f>tinder[[#This Row],[All Swipes]]/MAX(tinder[All Swipes])</f>
        <v>3.9406655859455998E-2</v>
      </c>
      <c r="R450">
        <f>tinder[[#This Row],[Swipe Right (LIKE)]]+tinder[[#This Row],[Swipe Left (PASS)]]</f>
        <v>33449</v>
      </c>
      <c r="S450">
        <v>11007</v>
      </c>
      <c r="T450">
        <v>22442</v>
      </c>
      <c r="U450" t="s">
        <v>311</v>
      </c>
      <c r="V450" s="1">
        <v>44061</v>
      </c>
      <c r="W450" t="s">
        <v>12</v>
      </c>
      <c r="X450" t="s">
        <v>1295</v>
      </c>
      <c r="Y450" t="s">
        <v>108</v>
      </c>
      <c r="Z450">
        <v>25</v>
      </c>
      <c r="AA45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51" spans="1:27" x14ac:dyDescent="0.3">
      <c r="A451" t="s">
        <v>148</v>
      </c>
      <c r="B451">
        <v>8438</v>
      </c>
      <c r="C451">
        <v>656</v>
      </c>
      <c r="D451">
        <f>IFERROR(tinder[[#This Row],[Tinder Opened]]/tinder[[#This Row],[Days on Tinder]],0)</f>
        <v>12.862804878048781</v>
      </c>
      <c r="E451">
        <f>tinder[[#This Row],[Engagement]]/MAX(tinder[Engagement])</f>
        <v>6.4637210442456183E-2</v>
      </c>
      <c r="F45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51">
        <v>0</v>
      </c>
      <c r="H451">
        <f>IFERROR(tinder[[#This Row],[Conversations]]/tinder[[#This Row],[Tinder Opened]],0)</f>
        <v>0</v>
      </c>
      <c r="I451">
        <f>tinder[[#This Row],[Conversations]]/MAX(tinder[Conversations])</f>
        <v>0</v>
      </c>
      <c r="J451">
        <f>(tinder[[#This Row],[Norm Engagement]]*2)+(tinder[[#This Row],[Norm Swipes]]*1)+(tinder[[#This Row],[Norm Conversations]]*2)</f>
        <v>0.18108423596851117</v>
      </c>
      <c r="K45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51">
        <v>0</v>
      </c>
      <c r="M451">
        <v>0</v>
      </c>
      <c r="N451">
        <v>2023</v>
      </c>
      <c r="O451">
        <v>4793</v>
      </c>
      <c r="P451">
        <v>4764</v>
      </c>
      <c r="Q451">
        <f>tinder[[#This Row],[All Swipes]]/MAX(tinder[All Swipes])</f>
        <v>5.1809815083598804E-2</v>
      </c>
      <c r="R451">
        <f>tinder[[#This Row],[Swipe Right (LIKE)]]+tinder[[#This Row],[Swipe Left (PASS)]]</f>
        <v>43977</v>
      </c>
      <c r="S451">
        <v>15315</v>
      </c>
      <c r="T451">
        <v>28662</v>
      </c>
      <c r="U451" t="s">
        <v>149</v>
      </c>
      <c r="V451" s="1">
        <v>43261</v>
      </c>
      <c r="W451" t="s">
        <v>12</v>
      </c>
      <c r="X451" t="s">
        <v>1295</v>
      </c>
      <c r="Y451" t="s">
        <v>8</v>
      </c>
      <c r="Z451">
        <v>21</v>
      </c>
      <c r="AA45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52" spans="1:27" x14ac:dyDescent="0.3">
      <c r="A452" t="s">
        <v>862</v>
      </c>
      <c r="B452">
        <v>11706</v>
      </c>
      <c r="C452">
        <v>912</v>
      </c>
      <c r="D452">
        <f>IFERROR(tinder[[#This Row],[Tinder Opened]]/tinder[[#This Row],[Days on Tinder]],0)</f>
        <v>12.835526315789474</v>
      </c>
      <c r="E452">
        <f>tinder[[#This Row],[Engagement]]/MAX(tinder[Engagement])</f>
        <v>6.4500132240148111E-2</v>
      </c>
      <c r="F45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52">
        <v>249</v>
      </c>
      <c r="H452">
        <f>IFERROR(tinder[[#This Row],[Conversations]]/tinder[[#This Row],[Tinder Opened]],0)</f>
        <v>2.1271143003587904E-2</v>
      </c>
      <c r="I452">
        <f>tinder[[#This Row],[Conversations]]/MAX(tinder[Conversations])</f>
        <v>1.9696250593260561E-2</v>
      </c>
      <c r="J452">
        <f>(tinder[[#This Row],[Norm Engagement]]*2)+(tinder[[#This Row],[Norm Swipes]]*1)+(tinder[[#This Row],[Norm Conversations]]*2)</f>
        <v>0.36781761156981635</v>
      </c>
      <c r="K45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52">
        <v>142</v>
      </c>
      <c r="M452">
        <v>8</v>
      </c>
      <c r="N452">
        <v>435</v>
      </c>
      <c r="O452">
        <v>768</v>
      </c>
      <c r="P452">
        <v>798</v>
      </c>
      <c r="Q452">
        <f>tinder[[#This Row],[All Swipes]]/MAX(tinder[All Swipes])</f>
        <v>0.199424845902999</v>
      </c>
      <c r="R452">
        <f>tinder[[#This Row],[Swipe Right (LIKE)]]+tinder[[#This Row],[Swipe Left (PASS)]]</f>
        <v>169275</v>
      </c>
      <c r="S452">
        <v>13931</v>
      </c>
      <c r="T452">
        <v>155344</v>
      </c>
      <c r="U452" t="s">
        <v>8</v>
      </c>
      <c r="V452" s="1">
        <v>42291</v>
      </c>
      <c r="W452" t="s">
        <v>7</v>
      </c>
      <c r="X452" t="s">
        <v>1295</v>
      </c>
      <c r="Y452" t="s">
        <v>108</v>
      </c>
      <c r="Z452">
        <v>23</v>
      </c>
      <c r="AA45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53" spans="1:27" x14ac:dyDescent="0.3">
      <c r="A453" t="s">
        <v>11</v>
      </c>
      <c r="B453">
        <v>3196</v>
      </c>
      <c r="C453">
        <v>249</v>
      </c>
      <c r="D453">
        <f>IFERROR(tinder[[#This Row],[Tinder Opened]]/tinder[[#This Row],[Days on Tinder]],0)</f>
        <v>12.835341365461847</v>
      </c>
      <c r="E453">
        <f>tinder[[#This Row],[Engagement]]/MAX(tinder[Engagement])</f>
        <v>6.449920284151682E-2</v>
      </c>
      <c r="F45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53">
        <v>303</v>
      </c>
      <c r="H453">
        <f>IFERROR(tinder[[#This Row],[Conversations]]/tinder[[#This Row],[Tinder Opened]],0)</f>
        <v>9.4806007509386739E-2</v>
      </c>
      <c r="I453">
        <f>tinder[[#This Row],[Conversations]]/MAX(tinder[Conversations])</f>
        <v>2.3967726625533935E-2</v>
      </c>
      <c r="J453">
        <f>(tinder[[#This Row],[Norm Engagement]]*2)+(tinder[[#This Row],[Norm Swipes]]*1)+(tinder[[#This Row],[Norm Conversations]]*2)</f>
        <v>0.19128208045678724</v>
      </c>
      <c r="K45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53">
        <v>106</v>
      </c>
      <c r="M453">
        <v>17</v>
      </c>
      <c r="N453">
        <v>548</v>
      </c>
      <c r="O453">
        <v>1291</v>
      </c>
      <c r="P453">
        <v>1152</v>
      </c>
      <c r="Q453">
        <f>tinder[[#This Row],[All Swipes]]/MAX(tinder[All Swipes])</f>
        <v>1.4348221522685717E-2</v>
      </c>
      <c r="R453">
        <f>tinder[[#This Row],[Swipe Right (LIKE)]]+tinder[[#This Row],[Swipe Left (PASS)]]</f>
        <v>12179</v>
      </c>
      <c r="S453">
        <v>6679</v>
      </c>
      <c r="T453">
        <v>5500</v>
      </c>
      <c r="U453" t="s">
        <v>8</v>
      </c>
      <c r="V453" s="1">
        <v>43647</v>
      </c>
      <c r="W453" t="s">
        <v>12</v>
      </c>
      <c r="X453" t="s">
        <v>1295</v>
      </c>
      <c r="Y453" t="s">
        <v>8</v>
      </c>
      <c r="Z453">
        <v>21</v>
      </c>
      <c r="AA45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54" spans="1:27" x14ac:dyDescent="0.3">
      <c r="A454" t="s">
        <v>309</v>
      </c>
      <c r="B454">
        <v>2899</v>
      </c>
      <c r="C454">
        <v>226</v>
      </c>
      <c r="D454">
        <f>IFERROR(tinder[[#This Row],[Tinder Opened]]/tinder[[#This Row],[Days on Tinder]],0)</f>
        <v>12.827433628318584</v>
      </c>
      <c r="E454">
        <f>tinder[[#This Row],[Engagement]]/MAX(tinder[Engagement])</f>
        <v>6.4459465468937605E-2</v>
      </c>
      <c r="F45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54">
        <v>122</v>
      </c>
      <c r="H454">
        <f>IFERROR(tinder[[#This Row],[Conversations]]/tinder[[#This Row],[Tinder Opened]],0)</f>
        <v>4.2083477061055537E-2</v>
      </c>
      <c r="I454">
        <f>tinder[[#This Row],[Conversations]]/MAX(tinder[Conversations])</f>
        <v>9.650371776617624E-3</v>
      </c>
      <c r="J454">
        <f>(tinder[[#This Row],[Norm Engagement]]*2)+(tinder[[#This Row],[Norm Swipes]]*1)+(tinder[[#This Row],[Norm Conversations]]*2)</f>
        <v>0.20795700272243503</v>
      </c>
      <c r="K45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54">
        <v>38</v>
      </c>
      <c r="M454">
        <v>3</v>
      </c>
      <c r="N454">
        <v>260</v>
      </c>
      <c r="O454">
        <v>908</v>
      </c>
      <c r="P454">
        <v>1011</v>
      </c>
      <c r="Q454">
        <f>tinder[[#This Row],[All Swipes]]/MAX(tinder[All Swipes])</f>
        <v>5.9737328231324577E-2</v>
      </c>
      <c r="R454">
        <f>tinder[[#This Row],[Swipe Right (LIKE)]]+tinder[[#This Row],[Swipe Left (PASS)]]</f>
        <v>50706</v>
      </c>
      <c r="S454">
        <v>4851</v>
      </c>
      <c r="T454">
        <v>45855</v>
      </c>
      <c r="U454" t="s">
        <v>10</v>
      </c>
      <c r="V454" s="1">
        <v>43911</v>
      </c>
      <c r="W454" t="s">
        <v>12</v>
      </c>
      <c r="X454" t="s">
        <v>1295</v>
      </c>
      <c r="Y454" t="s">
        <v>8</v>
      </c>
      <c r="Z454">
        <v>20</v>
      </c>
      <c r="AA45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55" spans="1:27" x14ac:dyDescent="0.3">
      <c r="A455" t="s">
        <v>511</v>
      </c>
      <c r="B455">
        <v>2532</v>
      </c>
      <c r="C455">
        <v>198</v>
      </c>
      <c r="D455">
        <f>IFERROR(tinder[[#This Row],[Tinder Opened]]/tinder[[#This Row],[Days on Tinder]],0)</f>
        <v>12.787878787878787</v>
      </c>
      <c r="E455">
        <f>tinder[[#This Row],[Engagement]]/MAX(tinder[Engagement])</f>
        <v>6.426069742652657E-2</v>
      </c>
      <c r="F45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55">
        <v>98</v>
      </c>
      <c r="H455">
        <f>IFERROR(tinder[[#This Row],[Conversations]]/tinder[[#This Row],[Tinder Opened]],0)</f>
        <v>3.8704581358609796E-2</v>
      </c>
      <c r="I455">
        <f>tinder[[#This Row],[Conversations]]/MAX(tinder[Conversations])</f>
        <v>7.7519379844961239E-3</v>
      </c>
      <c r="J455">
        <f>(tinder[[#This Row],[Norm Engagement]]*2)+(tinder[[#This Row],[Norm Swipes]]*1)+(tinder[[#This Row],[Norm Conversations]]*2)</f>
        <v>0.15362570248214605</v>
      </c>
      <c r="K45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55">
        <v>27</v>
      </c>
      <c r="M455">
        <v>2</v>
      </c>
      <c r="N455">
        <v>119</v>
      </c>
      <c r="O455">
        <v>749</v>
      </c>
      <c r="P455">
        <v>905</v>
      </c>
      <c r="Q455">
        <f>tinder[[#This Row],[All Swipes]]/MAX(tinder[All Swipes])</f>
        <v>9.6004316601006577E-3</v>
      </c>
      <c r="R455">
        <f>tinder[[#This Row],[Swipe Right (LIKE)]]+tinder[[#This Row],[Swipe Left (PASS)]]</f>
        <v>8149</v>
      </c>
      <c r="S455">
        <v>3692</v>
      </c>
      <c r="T455">
        <v>4457</v>
      </c>
      <c r="U455" t="s">
        <v>8</v>
      </c>
      <c r="V455" s="1">
        <v>44003</v>
      </c>
      <c r="W455" t="s">
        <v>12</v>
      </c>
      <c r="X455" t="s">
        <v>1295</v>
      </c>
      <c r="Y455" t="s">
        <v>8</v>
      </c>
      <c r="Z455">
        <v>30</v>
      </c>
      <c r="AA45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56" spans="1:27" x14ac:dyDescent="0.3">
      <c r="A456" t="s">
        <v>788</v>
      </c>
      <c r="B456">
        <v>932</v>
      </c>
      <c r="C456">
        <v>73</v>
      </c>
      <c r="D456">
        <f>IFERROR(tinder[[#This Row],[Tinder Opened]]/tinder[[#This Row],[Days on Tinder]],0)</f>
        <v>12.767123287671232</v>
      </c>
      <c r="E456">
        <f>tinder[[#This Row],[Engagement]]/MAX(tinder[Engagement])</f>
        <v>6.4156398430508702E-2</v>
      </c>
      <c r="F45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56">
        <v>128</v>
      </c>
      <c r="H456">
        <f>IFERROR(tinder[[#This Row],[Conversations]]/tinder[[#This Row],[Tinder Opened]],0)</f>
        <v>0.13733905579399142</v>
      </c>
      <c r="I456">
        <f>tinder[[#This Row],[Conversations]]/MAX(tinder[Conversations])</f>
        <v>1.0124980224647999E-2</v>
      </c>
      <c r="J456">
        <f>(tinder[[#This Row],[Norm Engagement]]*2)+(tinder[[#This Row],[Norm Swipes]]*1)+(tinder[[#This Row],[Norm Conversations]]*2)</f>
        <v>0.16676576008123195</v>
      </c>
      <c r="K45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56">
        <v>33</v>
      </c>
      <c r="M456">
        <v>70</v>
      </c>
      <c r="N456">
        <v>137</v>
      </c>
      <c r="O456">
        <v>153</v>
      </c>
      <c r="P456">
        <v>258</v>
      </c>
      <c r="Q456">
        <f>tinder[[#This Row],[All Swipes]]/MAX(tinder[All Swipes])</f>
        <v>1.8203002770918551E-2</v>
      </c>
      <c r="R456">
        <f>tinder[[#This Row],[Swipe Right (LIKE)]]+tinder[[#This Row],[Swipe Left (PASS)]]</f>
        <v>15451</v>
      </c>
      <c r="S456">
        <v>9081</v>
      </c>
      <c r="T456">
        <v>6370</v>
      </c>
      <c r="U456" t="s">
        <v>10</v>
      </c>
      <c r="V456" s="1">
        <v>44106</v>
      </c>
      <c r="W456" t="s">
        <v>12</v>
      </c>
      <c r="X456" t="s">
        <v>1295</v>
      </c>
      <c r="Y456" t="s">
        <v>108</v>
      </c>
      <c r="Z456">
        <v>24</v>
      </c>
      <c r="AA45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57" spans="1:27" x14ac:dyDescent="0.3">
      <c r="A457" t="s">
        <v>44</v>
      </c>
      <c r="B457">
        <v>14404</v>
      </c>
      <c r="C457">
        <v>1132</v>
      </c>
      <c r="D457">
        <f>IFERROR(tinder[[#This Row],[Tinder Opened]]/tinder[[#This Row],[Days on Tinder]],0)</f>
        <v>12.724381625441696</v>
      </c>
      <c r="E457">
        <f>tinder[[#This Row],[Engagement]]/MAX(tinder[Engagement])</f>
        <v>6.394161620824973E-2</v>
      </c>
      <c r="F45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57">
        <v>471</v>
      </c>
      <c r="H457">
        <f>IFERROR(tinder[[#This Row],[Conversations]]/tinder[[#This Row],[Tinder Opened]],0)</f>
        <v>3.2699250208275479E-2</v>
      </c>
      <c r="I457">
        <f>tinder[[#This Row],[Conversations]]/MAX(tinder[Conversations])</f>
        <v>3.7256763170384434E-2</v>
      </c>
      <c r="J457">
        <f>(tinder[[#This Row],[Norm Engagement]]*2)+(tinder[[#This Row],[Norm Swipes]]*1)+(tinder[[#This Row],[Norm Conversations]]*2)</f>
        <v>0.5476411933579356</v>
      </c>
      <c r="K45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57">
        <v>223</v>
      </c>
      <c r="M457">
        <v>52</v>
      </c>
      <c r="N457">
        <v>1370</v>
      </c>
      <c r="O457">
        <v>2593</v>
      </c>
      <c r="P457">
        <v>2366</v>
      </c>
      <c r="Q457">
        <f>tinder[[#This Row],[All Swipes]]/MAX(tinder[All Swipes])</f>
        <v>0.34524443460066728</v>
      </c>
      <c r="R457">
        <f>tinder[[#This Row],[Swipe Right (LIKE)]]+tinder[[#This Row],[Swipe Left (PASS)]]</f>
        <v>293049</v>
      </c>
      <c r="S457">
        <v>143093</v>
      </c>
      <c r="T457">
        <v>149956</v>
      </c>
      <c r="U457" t="s">
        <v>45</v>
      </c>
      <c r="V457" s="1">
        <v>42565</v>
      </c>
      <c r="W457" t="s">
        <v>12</v>
      </c>
      <c r="X457" t="s">
        <v>1295</v>
      </c>
      <c r="Y457" t="s">
        <v>46</v>
      </c>
      <c r="Z457">
        <v>21</v>
      </c>
      <c r="AA45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58" spans="1:27" x14ac:dyDescent="0.3">
      <c r="A458" t="s">
        <v>1280</v>
      </c>
      <c r="B458">
        <v>3824</v>
      </c>
      <c r="C458">
        <v>304</v>
      </c>
      <c r="D458">
        <f>IFERROR(tinder[[#This Row],[Tinder Opened]]/tinder[[#This Row],[Days on Tinder]],0)</f>
        <v>12.578947368421053</v>
      </c>
      <c r="E458">
        <f>tinder[[#This Row],[Engagement]]/MAX(tinder[Engagement])</f>
        <v>6.32107907960857E-2</v>
      </c>
      <c r="F45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58">
        <v>95</v>
      </c>
      <c r="H458">
        <f>IFERROR(tinder[[#This Row],[Conversations]]/tinder[[#This Row],[Tinder Opened]],0)</f>
        <v>2.4843096234309622E-2</v>
      </c>
      <c r="I458">
        <f>tinder[[#This Row],[Conversations]]/MAX(tinder[Conversations])</f>
        <v>7.5146337604809366E-3</v>
      </c>
      <c r="J458">
        <f>(tinder[[#This Row],[Norm Engagement]]*2)+(tinder[[#This Row],[Norm Swipes]]*1)+(tinder[[#This Row],[Norm Conversations]]*2)</f>
        <v>0.15440065213286899</v>
      </c>
      <c r="K45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58">
        <v>30</v>
      </c>
      <c r="M458">
        <v>3</v>
      </c>
      <c r="N458">
        <v>234</v>
      </c>
      <c r="O458">
        <v>981</v>
      </c>
      <c r="P458">
        <v>908</v>
      </c>
      <c r="Q458">
        <f>tinder[[#This Row],[All Swipes]]/MAX(tinder[All Swipes])</f>
        <v>1.2949803019735726E-2</v>
      </c>
      <c r="R458">
        <f>tinder[[#This Row],[Swipe Right (LIKE)]]+tinder[[#This Row],[Swipe Left (PASS)]]</f>
        <v>10992</v>
      </c>
      <c r="S458">
        <v>4751</v>
      </c>
      <c r="T458">
        <v>6241</v>
      </c>
      <c r="U458" t="s">
        <v>8</v>
      </c>
      <c r="V458" s="1">
        <v>43764</v>
      </c>
      <c r="W458" t="s">
        <v>12</v>
      </c>
      <c r="X458" t="s">
        <v>1295</v>
      </c>
      <c r="Y458" t="s">
        <v>108</v>
      </c>
      <c r="Z458">
        <v>23</v>
      </c>
      <c r="AA45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59" spans="1:27" x14ac:dyDescent="0.3">
      <c r="A459" t="s">
        <v>597</v>
      </c>
      <c r="B459">
        <v>3020</v>
      </c>
      <c r="C459">
        <v>241</v>
      </c>
      <c r="D459">
        <f>IFERROR(tinder[[#This Row],[Tinder Opened]]/tinder[[#This Row],[Days on Tinder]],0)</f>
        <v>12.531120331950207</v>
      </c>
      <c r="E459">
        <f>tinder[[#This Row],[Engagement]]/MAX(tinder[Engagement])</f>
        <v>6.2970453929398026E-2</v>
      </c>
      <c r="F45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59">
        <v>213</v>
      </c>
      <c r="H459">
        <f>IFERROR(tinder[[#This Row],[Conversations]]/tinder[[#This Row],[Tinder Opened]],0)</f>
        <v>7.0529801324503316E-2</v>
      </c>
      <c r="I459">
        <f>tinder[[#This Row],[Conversations]]/MAX(tinder[Conversations])</f>
        <v>1.684859990507831E-2</v>
      </c>
      <c r="J459">
        <f>(tinder[[#This Row],[Norm Engagement]]*2)+(tinder[[#This Row],[Norm Swipes]]*1)+(tinder[[#This Row],[Norm Conversations]]*2)</f>
        <v>0.1842523939218037</v>
      </c>
      <c r="K45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59">
        <v>68</v>
      </c>
      <c r="M459">
        <v>2</v>
      </c>
      <c r="N459">
        <v>332</v>
      </c>
      <c r="O459">
        <v>996</v>
      </c>
      <c r="P459">
        <v>589</v>
      </c>
      <c r="Q459">
        <f>tinder[[#This Row],[All Swipes]]/MAX(tinder[All Swipes])</f>
        <v>2.4614286252851031E-2</v>
      </c>
      <c r="R459">
        <f>tinder[[#This Row],[Swipe Right (LIKE)]]+tinder[[#This Row],[Swipe Left (PASS)]]</f>
        <v>20893</v>
      </c>
      <c r="S459">
        <v>15817</v>
      </c>
      <c r="T459">
        <v>5076</v>
      </c>
      <c r="U459" t="s">
        <v>10</v>
      </c>
      <c r="V459" s="1">
        <v>43987</v>
      </c>
      <c r="W459" t="s">
        <v>12</v>
      </c>
      <c r="X459" t="s">
        <v>1295</v>
      </c>
      <c r="Y459" t="s">
        <v>8</v>
      </c>
      <c r="Z459">
        <v>25</v>
      </c>
      <c r="AA45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60" spans="1:27" x14ac:dyDescent="0.3">
      <c r="A460" t="s">
        <v>471</v>
      </c>
      <c r="B460">
        <v>19895</v>
      </c>
      <c r="C460">
        <v>1588</v>
      </c>
      <c r="D460">
        <f>IFERROR(tinder[[#This Row],[Tinder Opened]]/tinder[[#This Row],[Days on Tinder]],0)</f>
        <v>12.528337531486146</v>
      </c>
      <c r="E460">
        <f>tinder[[#This Row],[Engagement]]/MAX(tinder[Engagement])</f>
        <v>6.2956470007468068E-2</v>
      </c>
      <c r="F46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60">
        <v>1424</v>
      </c>
      <c r="H460">
        <f>IFERROR(tinder[[#This Row],[Conversations]]/tinder[[#This Row],[Tinder Opened]],0)</f>
        <v>7.1575772807237995E-2</v>
      </c>
      <c r="I460">
        <f>tinder[[#This Row],[Conversations]]/MAX(tinder[Conversations])</f>
        <v>0.11264040499920899</v>
      </c>
      <c r="J460">
        <f>(tinder[[#This Row],[Norm Engagement]]*2)+(tinder[[#This Row],[Norm Swipes]]*1)+(tinder[[#This Row],[Norm Conversations]]*2)</f>
        <v>0.51774339092492982</v>
      </c>
      <c r="K46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60">
        <v>352</v>
      </c>
      <c r="M460">
        <v>30</v>
      </c>
      <c r="N460">
        <v>1755</v>
      </c>
      <c r="O460">
        <v>7682</v>
      </c>
      <c r="P460">
        <v>5493</v>
      </c>
      <c r="Q460">
        <f>tinder[[#This Row],[All Swipes]]/MAX(tinder[All Swipes])</f>
        <v>0.16654964091157565</v>
      </c>
      <c r="R460">
        <f>tinder[[#This Row],[Swipe Right (LIKE)]]+tinder[[#This Row],[Swipe Left (PASS)]]</f>
        <v>141370</v>
      </c>
      <c r="S460">
        <v>139532</v>
      </c>
      <c r="T460">
        <v>1838</v>
      </c>
      <c r="U460" t="s">
        <v>10</v>
      </c>
      <c r="V460" s="1">
        <v>41414</v>
      </c>
      <c r="W460" t="s">
        <v>7</v>
      </c>
      <c r="X460" t="s">
        <v>1295</v>
      </c>
      <c r="Y460" t="s">
        <v>472</v>
      </c>
      <c r="Z460">
        <v>19</v>
      </c>
      <c r="AA46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61" spans="1:27" x14ac:dyDescent="0.3">
      <c r="A461" t="s">
        <v>1026</v>
      </c>
      <c r="B461">
        <v>1509</v>
      </c>
      <c r="C461">
        <v>121</v>
      </c>
      <c r="D461">
        <f>IFERROR(tinder[[#This Row],[Tinder Opened]]/tinder[[#This Row],[Days on Tinder]],0)</f>
        <v>12.471074380165289</v>
      </c>
      <c r="E461">
        <f>tinder[[#This Row],[Engagement]]/MAX(tinder[Engagement])</f>
        <v>6.2668715478217535E-2</v>
      </c>
      <c r="F46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61">
        <v>312</v>
      </c>
      <c r="H461">
        <f>IFERROR(tinder[[#This Row],[Conversations]]/tinder[[#This Row],[Tinder Opened]],0)</f>
        <v>0.20675944333996024</v>
      </c>
      <c r="I461">
        <f>tinder[[#This Row],[Conversations]]/MAX(tinder[Conversations])</f>
        <v>2.4679639297579496E-2</v>
      </c>
      <c r="J461">
        <f>(tinder[[#This Row],[Norm Engagement]]*2)+(tinder[[#This Row],[Norm Swipes]]*1)+(tinder[[#This Row],[Norm Conversations]]*2)</f>
        <v>0.19137052342880656</v>
      </c>
      <c r="K46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61">
        <v>191</v>
      </c>
      <c r="M461">
        <v>6</v>
      </c>
      <c r="N461">
        <v>142</v>
      </c>
      <c r="O461">
        <v>1035</v>
      </c>
      <c r="P461">
        <v>872</v>
      </c>
      <c r="Q461">
        <f>tinder[[#This Row],[All Swipes]]/MAX(tinder[All Swipes])</f>
        <v>1.6673813877212493E-2</v>
      </c>
      <c r="R461">
        <f>tinder[[#This Row],[Swipe Right (LIKE)]]+tinder[[#This Row],[Swipe Left (PASS)]]</f>
        <v>14153</v>
      </c>
      <c r="S461">
        <v>9102</v>
      </c>
      <c r="T461">
        <v>5051</v>
      </c>
      <c r="U461" t="s">
        <v>149</v>
      </c>
      <c r="V461" s="1">
        <v>44173</v>
      </c>
      <c r="W461" t="s">
        <v>12</v>
      </c>
      <c r="X461" t="s">
        <v>1295</v>
      </c>
      <c r="Y461" t="s">
        <v>1027</v>
      </c>
      <c r="Z461">
        <v>23</v>
      </c>
      <c r="AA46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62" spans="1:27" x14ac:dyDescent="0.3">
      <c r="A462" t="s">
        <v>1272</v>
      </c>
      <c r="B462">
        <v>1905</v>
      </c>
      <c r="C462">
        <v>153</v>
      </c>
      <c r="D462">
        <f>IFERROR(tinder[[#This Row],[Tinder Opened]]/tinder[[#This Row],[Days on Tinder]],0)</f>
        <v>12.450980392156863</v>
      </c>
      <c r="E462">
        <f>tinder[[#This Row],[Engagement]]/MAX(tinder[Engagement])</f>
        <v>6.2567740664104837E-2</v>
      </c>
      <c r="F46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62">
        <v>66</v>
      </c>
      <c r="H462">
        <f>IFERROR(tinder[[#This Row],[Conversations]]/tinder[[#This Row],[Tinder Opened]],0)</f>
        <v>3.4645669291338582E-2</v>
      </c>
      <c r="I462">
        <f>tinder[[#This Row],[Conversations]]/MAX(tinder[Conversations])</f>
        <v>5.2206929283341247E-3</v>
      </c>
      <c r="J462">
        <f>(tinder[[#This Row],[Norm Engagement]]*2)+(tinder[[#This Row],[Norm Swipes]]*1)+(tinder[[#This Row],[Norm Conversations]]*2)</f>
        <v>0.16028893670288891</v>
      </c>
      <c r="K46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62">
        <v>11</v>
      </c>
      <c r="M462">
        <v>19</v>
      </c>
      <c r="N462">
        <v>224</v>
      </c>
      <c r="O462">
        <v>674</v>
      </c>
      <c r="P462">
        <v>546</v>
      </c>
      <c r="Q462">
        <f>tinder[[#This Row],[All Swipes]]/MAX(tinder[All Swipes])</f>
        <v>2.4712069518010971E-2</v>
      </c>
      <c r="R462">
        <f>tinder[[#This Row],[Swipe Right (LIKE)]]+tinder[[#This Row],[Swipe Left (PASS)]]</f>
        <v>20976</v>
      </c>
      <c r="S462">
        <v>3237</v>
      </c>
      <c r="T462">
        <v>17739</v>
      </c>
      <c r="U462" t="s">
        <v>45</v>
      </c>
      <c r="V462" s="1">
        <v>43486</v>
      </c>
      <c r="W462" t="s">
        <v>12</v>
      </c>
      <c r="X462" t="s">
        <v>1295</v>
      </c>
      <c r="Y462" t="s">
        <v>19</v>
      </c>
      <c r="Z462">
        <v>20</v>
      </c>
      <c r="AA46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63" spans="1:27" x14ac:dyDescent="0.3">
      <c r="A463" t="s">
        <v>1083</v>
      </c>
      <c r="B463">
        <v>236</v>
      </c>
      <c r="C463">
        <v>19</v>
      </c>
      <c r="D463">
        <f>IFERROR(tinder[[#This Row],[Tinder Opened]]/tinder[[#This Row],[Days on Tinder]],0)</f>
        <v>12.421052631578947</v>
      </c>
      <c r="E463">
        <f>tinder[[#This Row],[Engagement]]/MAX(tinder[Engagement])</f>
        <v>6.2417349907431897E-2</v>
      </c>
      <c r="F46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63">
        <v>11</v>
      </c>
      <c r="H463">
        <f>IFERROR(tinder[[#This Row],[Conversations]]/tinder[[#This Row],[Tinder Opened]],0)</f>
        <v>4.6610169491525424E-2</v>
      </c>
      <c r="I463">
        <f>tinder[[#This Row],[Conversations]]/MAX(tinder[Conversations])</f>
        <v>8.7011548805568742E-4</v>
      </c>
      <c r="J463">
        <f>(tinder[[#This Row],[Norm Engagement]]*2)+(tinder[[#This Row],[Norm Swipes]]*1)+(tinder[[#This Row],[Norm Conversations]]*2)</f>
        <v>0.13324657694279135</v>
      </c>
      <c r="K46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463">
        <v>5</v>
      </c>
      <c r="M463">
        <v>3</v>
      </c>
      <c r="N463">
        <v>5</v>
      </c>
      <c r="O463">
        <v>39</v>
      </c>
      <c r="P463">
        <v>41</v>
      </c>
      <c r="Q463">
        <f>tinder[[#This Row],[All Swipes]]/MAX(tinder[All Swipes])</f>
        <v>6.6716461518161766E-3</v>
      </c>
      <c r="R463">
        <f>tinder[[#This Row],[Swipe Right (LIKE)]]+tinder[[#This Row],[Swipe Left (PASS)]]</f>
        <v>5663</v>
      </c>
      <c r="S463">
        <v>482</v>
      </c>
      <c r="T463">
        <v>5181</v>
      </c>
      <c r="U463" t="s">
        <v>122</v>
      </c>
      <c r="V463" s="1">
        <v>44281</v>
      </c>
      <c r="W463" t="s">
        <v>12</v>
      </c>
      <c r="X463" t="s">
        <v>1295</v>
      </c>
      <c r="Y463" t="s">
        <v>1084</v>
      </c>
      <c r="Z463">
        <v>31</v>
      </c>
      <c r="AA463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464" spans="1:27" x14ac:dyDescent="0.3">
      <c r="A464" t="s">
        <v>1237</v>
      </c>
      <c r="B464">
        <v>7069</v>
      </c>
      <c r="C464">
        <v>571</v>
      </c>
      <c r="D464">
        <f>IFERROR(tinder[[#This Row],[Tinder Opened]]/tinder[[#This Row],[Days on Tinder]],0)</f>
        <v>12.380035026269702</v>
      </c>
      <c r="E464">
        <f>tinder[[#This Row],[Engagement]]/MAX(tinder[Engagement])</f>
        <v>6.2211231287787445E-2</v>
      </c>
      <c r="F46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64">
        <v>176</v>
      </c>
      <c r="H464">
        <f>IFERROR(tinder[[#This Row],[Conversations]]/tinder[[#This Row],[Tinder Opened]],0)</f>
        <v>2.4897439524685247E-2</v>
      </c>
      <c r="I464">
        <f>tinder[[#This Row],[Conversations]]/MAX(tinder[Conversations])</f>
        <v>1.3921847808890999E-2</v>
      </c>
      <c r="J464">
        <f>(tinder[[#This Row],[Norm Engagement]]*2)+(tinder[[#This Row],[Norm Swipes]]*1)+(tinder[[#This Row],[Norm Conversations]]*2)</f>
        <v>0.26442238522018013</v>
      </c>
      <c r="K46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64">
        <v>59</v>
      </c>
      <c r="M464">
        <v>10</v>
      </c>
      <c r="N464">
        <v>231</v>
      </c>
      <c r="O464">
        <v>1153</v>
      </c>
      <c r="P464">
        <v>1044</v>
      </c>
      <c r="Q464">
        <f>tinder[[#This Row],[All Swipes]]/MAX(tinder[All Swipes])</f>
        <v>0.11215622702682325</v>
      </c>
      <c r="R464">
        <f>tinder[[#This Row],[Swipe Right (LIKE)]]+tinder[[#This Row],[Swipe Left (PASS)]]</f>
        <v>95200</v>
      </c>
      <c r="S464">
        <v>15722</v>
      </c>
      <c r="T464">
        <v>79478</v>
      </c>
      <c r="U464" t="s">
        <v>984</v>
      </c>
      <c r="V464" s="1">
        <v>43476</v>
      </c>
      <c r="W464" t="s">
        <v>12</v>
      </c>
      <c r="X464" t="s">
        <v>1295</v>
      </c>
      <c r="Y464" t="s">
        <v>8</v>
      </c>
      <c r="Z464">
        <v>18</v>
      </c>
      <c r="AA46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65" spans="1:27" x14ac:dyDescent="0.3">
      <c r="A465" t="s">
        <v>478</v>
      </c>
      <c r="B465">
        <v>17171</v>
      </c>
      <c r="C465">
        <v>1387</v>
      </c>
      <c r="D465">
        <f>IFERROR(tinder[[#This Row],[Tinder Opened]]/tinder[[#This Row],[Days on Tinder]],0)</f>
        <v>12.379956741167989</v>
      </c>
      <c r="E465">
        <f>tinder[[#This Row],[Engagement]]/MAX(tinder[Engagement])</f>
        <v>6.2210837895316527E-2</v>
      </c>
      <c r="F46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65">
        <v>1076</v>
      </c>
      <c r="H465">
        <f>IFERROR(tinder[[#This Row],[Conversations]]/tinder[[#This Row],[Tinder Opened]],0)</f>
        <v>6.2663793605497647E-2</v>
      </c>
      <c r="I465">
        <f>tinder[[#This Row],[Conversations]]/MAX(tinder[Conversations])</f>
        <v>8.5113115013447233E-2</v>
      </c>
      <c r="J465">
        <f>(tinder[[#This Row],[Norm Engagement]]*2)+(tinder[[#This Row],[Norm Swipes]]*1)+(tinder[[#This Row],[Norm Conversations]]*2)</f>
        <v>0.63722156135653718</v>
      </c>
      <c r="K46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65">
        <v>485</v>
      </c>
      <c r="M465">
        <v>149</v>
      </c>
      <c r="N465">
        <v>1668</v>
      </c>
      <c r="O465">
        <v>4808</v>
      </c>
      <c r="P465">
        <v>5879</v>
      </c>
      <c r="Q465">
        <f>tinder[[#This Row],[All Swipes]]/MAX(tinder[All Swipes])</f>
        <v>0.34257365553900965</v>
      </c>
      <c r="R465">
        <f>tinder[[#This Row],[Swipe Right (LIKE)]]+tinder[[#This Row],[Swipe Left (PASS)]]</f>
        <v>290782</v>
      </c>
      <c r="S465">
        <v>155456</v>
      </c>
      <c r="T465">
        <v>135326</v>
      </c>
      <c r="U465" t="s">
        <v>61</v>
      </c>
      <c r="V465" s="1">
        <v>41672</v>
      </c>
      <c r="W465" t="s">
        <v>7</v>
      </c>
      <c r="X465" t="s">
        <v>1295</v>
      </c>
      <c r="Y465" t="s">
        <v>8</v>
      </c>
      <c r="Z465">
        <v>25</v>
      </c>
      <c r="AA46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66" spans="1:27" x14ac:dyDescent="0.3">
      <c r="A466" t="s">
        <v>789</v>
      </c>
      <c r="B466">
        <v>10001</v>
      </c>
      <c r="C466">
        <v>809</v>
      </c>
      <c r="D466">
        <f>IFERROR(tinder[[#This Row],[Tinder Opened]]/tinder[[#This Row],[Days on Tinder]],0)</f>
        <v>12.362175525339925</v>
      </c>
      <c r="E466">
        <f>tinder[[#This Row],[Engagement]]/MAX(tinder[Engagement])</f>
        <v>6.212148505195942E-2</v>
      </c>
      <c r="F46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66">
        <v>157</v>
      </c>
      <c r="H466">
        <f>IFERROR(tinder[[#This Row],[Conversations]]/tinder[[#This Row],[Tinder Opened]],0)</f>
        <v>1.56984301569843E-2</v>
      </c>
      <c r="I466">
        <f>tinder[[#This Row],[Conversations]]/MAX(tinder[Conversations])</f>
        <v>1.2418921056794811E-2</v>
      </c>
      <c r="J466">
        <f>(tinder[[#This Row],[Norm Engagement]]*2)+(tinder[[#This Row],[Norm Swipes]]*1)+(tinder[[#This Row],[Norm Conversations]]*2)</f>
        <v>0.2902032698526143</v>
      </c>
      <c r="K46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66">
        <v>49</v>
      </c>
      <c r="M466">
        <v>17</v>
      </c>
      <c r="N466">
        <v>468</v>
      </c>
      <c r="O466">
        <v>1303</v>
      </c>
      <c r="P466">
        <v>1272</v>
      </c>
      <c r="Q466">
        <f>tinder[[#This Row],[All Swipes]]/MAX(tinder[All Swipes])</f>
        <v>0.14112245763510584</v>
      </c>
      <c r="R466">
        <f>tinder[[#This Row],[Swipe Right (LIKE)]]+tinder[[#This Row],[Swipe Left (PASS)]]</f>
        <v>119787</v>
      </c>
      <c r="S466">
        <v>47163</v>
      </c>
      <c r="T466">
        <v>72624</v>
      </c>
      <c r="U466" t="s">
        <v>27</v>
      </c>
      <c r="V466" s="1">
        <v>41837</v>
      </c>
      <c r="W466" t="s">
        <v>7</v>
      </c>
      <c r="X466" t="s">
        <v>1295</v>
      </c>
      <c r="Y466" t="s">
        <v>8</v>
      </c>
      <c r="Z466">
        <v>29</v>
      </c>
      <c r="AA46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67" spans="1:27" x14ac:dyDescent="0.3">
      <c r="A467" t="s">
        <v>150</v>
      </c>
      <c r="B467">
        <v>1159</v>
      </c>
      <c r="C467">
        <v>94</v>
      </c>
      <c r="D467">
        <f>IFERROR(tinder[[#This Row],[Tinder Opened]]/tinder[[#This Row],[Days on Tinder]],0)</f>
        <v>12.329787234042554</v>
      </c>
      <c r="E467">
        <f>tinder[[#This Row],[Engagement]]/MAX(tinder[Engagement])</f>
        <v>6.1958729819309319E-2</v>
      </c>
      <c r="F46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67">
        <v>9</v>
      </c>
      <c r="H467">
        <f>IFERROR(tinder[[#This Row],[Conversations]]/tinder[[#This Row],[Tinder Opened]],0)</f>
        <v>7.7653149266609144E-3</v>
      </c>
      <c r="I467">
        <f>tinder[[#This Row],[Conversations]]/MAX(tinder[Conversations])</f>
        <v>7.1191267204556241E-4</v>
      </c>
      <c r="J467">
        <f>(tinder[[#This Row],[Norm Engagement]]*2)+(tinder[[#This Row],[Norm Swipes]]*1)+(tinder[[#This Row],[Norm Conversations]]*2)</f>
        <v>0.12955067783110094</v>
      </c>
      <c r="K46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467">
        <v>1</v>
      </c>
      <c r="M467">
        <v>0</v>
      </c>
      <c r="N467">
        <v>24</v>
      </c>
      <c r="O467">
        <v>359</v>
      </c>
      <c r="P467">
        <v>198</v>
      </c>
      <c r="Q467">
        <f>tinder[[#This Row],[All Swipes]]/MAX(tinder[All Swipes])</f>
        <v>4.2093928483911709E-3</v>
      </c>
      <c r="R467">
        <f>tinder[[#This Row],[Swipe Right (LIKE)]]+tinder[[#This Row],[Swipe Left (PASS)]]</f>
        <v>3573</v>
      </c>
      <c r="S467">
        <v>1053</v>
      </c>
      <c r="T467">
        <v>2520</v>
      </c>
      <c r="U467" t="s">
        <v>8</v>
      </c>
      <c r="V467" s="1">
        <v>43955</v>
      </c>
      <c r="W467" t="s">
        <v>12</v>
      </c>
      <c r="X467" t="s">
        <v>1295</v>
      </c>
      <c r="Y467" t="s">
        <v>8</v>
      </c>
      <c r="Z467">
        <v>26</v>
      </c>
      <c r="AA46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68" spans="1:27" x14ac:dyDescent="0.3">
      <c r="A468" t="s">
        <v>672</v>
      </c>
      <c r="B468">
        <v>4426</v>
      </c>
      <c r="C468">
        <v>361</v>
      </c>
      <c r="D468">
        <f>IFERROR(tinder[[#This Row],[Tinder Opened]]/tinder[[#This Row],[Days on Tinder]],0)</f>
        <v>12.260387811634349</v>
      </c>
      <c r="E468">
        <f>tinder[[#This Row],[Engagement]]/MAX(tinder[Engagement])</f>
        <v>6.1609989003187683E-2</v>
      </c>
      <c r="F46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68">
        <v>135</v>
      </c>
      <c r="H468">
        <f>IFERROR(tinder[[#This Row],[Conversations]]/tinder[[#This Row],[Tinder Opened]],0)</f>
        <v>3.0501581563488478E-2</v>
      </c>
      <c r="I468">
        <f>tinder[[#This Row],[Conversations]]/MAX(tinder[Conversations])</f>
        <v>1.0678690080683437E-2</v>
      </c>
      <c r="J468">
        <f>(tinder[[#This Row],[Norm Engagement]]*2)+(tinder[[#This Row],[Norm Swipes]]*1)+(tinder[[#This Row],[Norm Conversations]]*2)</f>
        <v>0.15379136921371686</v>
      </c>
      <c r="K46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68">
        <v>11</v>
      </c>
      <c r="M468">
        <v>1</v>
      </c>
      <c r="N468">
        <v>226</v>
      </c>
      <c r="O468">
        <v>3311</v>
      </c>
      <c r="P468">
        <v>3435</v>
      </c>
      <c r="Q468">
        <f>tinder[[#This Row],[All Swipes]]/MAX(tinder[All Swipes])</f>
        <v>9.214011045974628E-3</v>
      </c>
      <c r="R468">
        <f>tinder[[#This Row],[Swipe Right (LIKE)]]+tinder[[#This Row],[Swipe Left (PASS)]]</f>
        <v>7821</v>
      </c>
      <c r="S468">
        <v>2078</v>
      </c>
      <c r="T468">
        <v>5743</v>
      </c>
      <c r="U468" t="s">
        <v>440</v>
      </c>
      <c r="V468" s="1">
        <v>43748</v>
      </c>
      <c r="W468" t="s">
        <v>12</v>
      </c>
      <c r="X468" t="s">
        <v>1295</v>
      </c>
      <c r="Y468" t="s">
        <v>673</v>
      </c>
      <c r="Z468">
        <v>27</v>
      </c>
      <c r="AA46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69" spans="1:27" x14ac:dyDescent="0.3">
      <c r="A469" t="s">
        <v>515</v>
      </c>
      <c r="B469">
        <v>527</v>
      </c>
      <c r="C469">
        <v>43</v>
      </c>
      <c r="D469">
        <f>IFERROR(tinder[[#This Row],[Tinder Opened]]/tinder[[#This Row],[Days on Tinder]],0)</f>
        <v>12.255813953488373</v>
      </c>
      <c r="E469">
        <f>tinder[[#This Row],[Engagement]]/MAX(tinder[Engagement])</f>
        <v>6.1587004791398857E-2</v>
      </c>
      <c r="F46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69">
        <v>7</v>
      </c>
      <c r="H469">
        <f>IFERROR(tinder[[#This Row],[Conversations]]/tinder[[#This Row],[Tinder Opened]],0)</f>
        <v>1.3282732447817837E-2</v>
      </c>
      <c r="I469">
        <f>tinder[[#This Row],[Conversations]]/MAX(tinder[Conversations])</f>
        <v>5.5370985603543741E-4</v>
      </c>
      <c r="J469">
        <f>(tinder[[#This Row],[Norm Engagement]]*2)+(tinder[[#This Row],[Norm Swipes]]*1)+(tinder[[#This Row],[Norm Conversations]]*2)</f>
        <v>0.13138897674920499</v>
      </c>
      <c r="K46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469">
        <v>0</v>
      </c>
      <c r="M469">
        <v>0</v>
      </c>
      <c r="N469">
        <v>11</v>
      </c>
      <c r="O469">
        <v>174</v>
      </c>
      <c r="P469">
        <v>159</v>
      </c>
      <c r="Q469">
        <f>tinder[[#This Row],[All Swipes]]/MAX(tinder[All Swipes])</f>
        <v>7.1075474543363937E-3</v>
      </c>
      <c r="R469">
        <f>tinder[[#This Row],[Swipe Right (LIKE)]]+tinder[[#This Row],[Swipe Left (PASS)]]</f>
        <v>6033</v>
      </c>
      <c r="S469">
        <v>1027</v>
      </c>
      <c r="T469">
        <v>5006</v>
      </c>
      <c r="U469" t="s">
        <v>8</v>
      </c>
      <c r="V469" s="1">
        <v>44234</v>
      </c>
      <c r="W469" t="s">
        <v>12</v>
      </c>
      <c r="X469" t="s">
        <v>1295</v>
      </c>
      <c r="Y469" t="s">
        <v>8</v>
      </c>
      <c r="Z469">
        <v>25</v>
      </c>
      <c r="AA46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70" spans="1:27" x14ac:dyDescent="0.3">
      <c r="A470" t="s">
        <v>1249</v>
      </c>
      <c r="B470">
        <v>5799</v>
      </c>
      <c r="C470">
        <v>475</v>
      </c>
      <c r="D470">
        <f>IFERROR(tinder[[#This Row],[Tinder Opened]]/tinder[[#This Row],[Days on Tinder]],0)</f>
        <v>12.208421052631579</v>
      </c>
      <c r="E470">
        <f>tinder[[#This Row],[Engagement]]/MAX(tinder[Engagement])</f>
        <v>6.1348849510711449E-2</v>
      </c>
      <c r="F47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70">
        <v>252</v>
      </c>
      <c r="H470">
        <f>IFERROR(tinder[[#This Row],[Conversations]]/tinder[[#This Row],[Tinder Opened]],0)</f>
        <v>4.3455768235902741E-2</v>
      </c>
      <c r="I470">
        <f>tinder[[#This Row],[Conversations]]/MAX(tinder[Conversations])</f>
        <v>1.9933554817275746E-2</v>
      </c>
      <c r="J470">
        <f>(tinder[[#This Row],[Norm Engagement]]*2)+(tinder[[#This Row],[Norm Swipes]]*1)+(tinder[[#This Row],[Norm Conversations]]*2)</f>
        <v>0.27946411309886898</v>
      </c>
      <c r="K47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70">
        <v>80</v>
      </c>
      <c r="M470">
        <v>62</v>
      </c>
      <c r="N470">
        <v>957</v>
      </c>
      <c r="O470">
        <v>920</v>
      </c>
      <c r="P470">
        <v>946</v>
      </c>
      <c r="Q470">
        <f>tinder[[#This Row],[All Swipes]]/MAX(tinder[All Swipes])</f>
        <v>0.11689930444289458</v>
      </c>
      <c r="R470">
        <f>tinder[[#This Row],[Swipe Right (LIKE)]]+tinder[[#This Row],[Swipe Left (PASS)]]</f>
        <v>99226</v>
      </c>
      <c r="S470">
        <v>14819</v>
      </c>
      <c r="T470">
        <v>84407</v>
      </c>
      <c r="U470" t="s">
        <v>75</v>
      </c>
      <c r="V470" s="1">
        <v>43806</v>
      </c>
      <c r="W470" t="s">
        <v>12</v>
      </c>
      <c r="X470" t="s">
        <v>1295</v>
      </c>
      <c r="Y470" t="s">
        <v>8</v>
      </c>
      <c r="Z470">
        <v>22</v>
      </c>
      <c r="AA47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71" spans="1:27" x14ac:dyDescent="0.3">
      <c r="A471" t="s">
        <v>622</v>
      </c>
      <c r="B471">
        <v>962</v>
      </c>
      <c r="C471">
        <v>79</v>
      </c>
      <c r="D471">
        <f>IFERROR(tinder[[#This Row],[Tinder Opened]]/tinder[[#This Row],[Days on Tinder]],0)</f>
        <v>12.177215189873417</v>
      </c>
      <c r="E471">
        <f>tinder[[#This Row],[Engagement]]/MAX(tinder[Engagement])</f>
        <v>6.1192036130017169E-2</v>
      </c>
      <c r="F47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71">
        <v>29</v>
      </c>
      <c r="H471">
        <f>IFERROR(tinder[[#This Row],[Conversations]]/tinder[[#This Row],[Tinder Opened]],0)</f>
        <v>3.0145530145530147E-2</v>
      </c>
      <c r="I471">
        <f>tinder[[#This Row],[Conversations]]/MAX(tinder[Conversations])</f>
        <v>2.2939408321468123E-3</v>
      </c>
      <c r="J471">
        <f>(tinder[[#This Row],[Norm Engagement]]*2)+(tinder[[#This Row],[Norm Swipes]]*1)+(tinder[[#This Row],[Norm Conversations]]*2)</f>
        <v>0.13787773326873243</v>
      </c>
      <c r="K47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71">
        <v>7</v>
      </c>
      <c r="M471">
        <v>2</v>
      </c>
      <c r="N471">
        <v>81</v>
      </c>
      <c r="O471">
        <v>270</v>
      </c>
      <c r="P471">
        <v>164</v>
      </c>
      <c r="Q471">
        <f>tinder[[#This Row],[All Swipes]]/MAX(tinder[All Swipes])</f>
        <v>1.0905779344404442E-2</v>
      </c>
      <c r="R471">
        <f>tinder[[#This Row],[Swipe Right (LIKE)]]+tinder[[#This Row],[Swipe Left (PASS)]]</f>
        <v>9257</v>
      </c>
      <c r="S471">
        <v>4848</v>
      </c>
      <c r="T471">
        <v>4409</v>
      </c>
      <c r="U471" t="s">
        <v>293</v>
      </c>
      <c r="V471" s="1">
        <v>43632</v>
      </c>
      <c r="W471" t="s">
        <v>12</v>
      </c>
      <c r="X471" t="s">
        <v>1295</v>
      </c>
      <c r="Y471" t="s">
        <v>623</v>
      </c>
      <c r="Z471">
        <v>27</v>
      </c>
      <c r="AA47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72" spans="1:27" x14ac:dyDescent="0.3">
      <c r="A472" t="s">
        <v>374</v>
      </c>
      <c r="B472">
        <v>14133</v>
      </c>
      <c r="C472">
        <v>1162</v>
      </c>
      <c r="D472">
        <f>IFERROR(tinder[[#This Row],[Tinder Opened]]/tinder[[#This Row],[Days on Tinder]],0)</f>
        <v>12.162650602409638</v>
      </c>
      <c r="E472">
        <f>tinder[[#This Row],[Engagement]]/MAX(tinder[Engagement])</f>
        <v>6.1118847248289636E-2</v>
      </c>
      <c r="F47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72">
        <v>293</v>
      </c>
      <c r="H472">
        <f>IFERROR(tinder[[#This Row],[Conversations]]/tinder[[#This Row],[Tinder Opened]],0)</f>
        <v>2.0731621028797848E-2</v>
      </c>
      <c r="I472">
        <f>tinder[[#This Row],[Conversations]]/MAX(tinder[Conversations])</f>
        <v>2.317671254548331E-2</v>
      </c>
      <c r="J472">
        <f>(tinder[[#This Row],[Norm Engagement]]*2)+(tinder[[#This Row],[Norm Swipes]]*1)+(tinder[[#This Row],[Norm Conversations]]*2)</f>
        <v>0.40864550122031434</v>
      </c>
      <c r="K47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72">
        <v>117</v>
      </c>
      <c r="M472">
        <v>15</v>
      </c>
      <c r="N472">
        <v>417</v>
      </c>
      <c r="O472">
        <v>2298</v>
      </c>
      <c r="P472">
        <v>2151</v>
      </c>
      <c r="Q472">
        <f>tinder[[#This Row],[All Swipes]]/MAX(tinder[All Swipes])</f>
        <v>0.24005438163276846</v>
      </c>
      <c r="R472">
        <f>tinder[[#This Row],[Swipe Right (LIKE)]]+tinder[[#This Row],[Swipe Left (PASS)]]</f>
        <v>203762</v>
      </c>
      <c r="S472">
        <v>14803</v>
      </c>
      <c r="T472">
        <v>188959</v>
      </c>
      <c r="U472" t="s">
        <v>8</v>
      </c>
      <c r="V472" s="1">
        <v>42956</v>
      </c>
      <c r="W472" t="s">
        <v>7</v>
      </c>
      <c r="X472" t="s">
        <v>1295</v>
      </c>
      <c r="Y472" t="s">
        <v>375</v>
      </c>
      <c r="Z472">
        <v>29</v>
      </c>
      <c r="AA47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73" spans="1:27" x14ac:dyDescent="0.3">
      <c r="A473" t="s">
        <v>60</v>
      </c>
      <c r="B473">
        <v>4950</v>
      </c>
      <c r="C473">
        <v>408</v>
      </c>
      <c r="D473">
        <f>IFERROR(tinder[[#This Row],[Tinder Opened]]/tinder[[#This Row],[Days on Tinder]],0)</f>
        <v>12.132352941176471</v>
      </c>
      <c r="E473">
        <f>tinder[[#This Row],[Engagement]]/MAX(tinder[Engagement])</f>
        <v>6.0966597694354127E-2</v>
      </c>
      <c r="F47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73">
        <v>157</v>
      </c>
      <c r="H473">
        <f>IFERROR(tinder[[#This Row],[Conversations]]/tinder[[#This Row],[Tinder Opened]],0)</f>
        <v>3.171717171717172E-2</v>
      </c>
      <c r="I473">
        <f>tinder[[#This Row],[Conversations]]/MAX(tinder[Conversations])</f>
        <v>1.2418921056794811E-2</v>
      </c>
      <c r="J473">
        <f>(tinder[[#This Row],[Norm Engagement]]*2)+(tinder[[#This Row],[Norm Swipes]]*1)+(tinder[[#This Row],[Norm Conversations]]*2)</f>
        <v>0.25916170874317929</v>
      </c>
      <c r="K47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73">
        <v>52</v>
      </c>
      <c r="M473">
        <v>5</v>
      </c>
      <c r="N473">
        <v>249</v>
      </c>
      <c r="O473">
        <v>1294</v>
      </c>
      <c r="P473">
        <v>1054</v>
      </c>
      <c r="Q473">
        <f>tinder[[#This Row],[All Swipes]]/MAX(tinder[All Swipes])</f>
        <v>0.11239067124088141</v>
      </c>
      <c r="R473">
        <f>tinder[[#This Row],[Swipe Right (LIKE)]]+tinder[[#This Row],[Swipe Left (PASS)]]</f>
        <v>95399</v>
      </c>
      <c r="S473">
        <v>26936</v>
      </c>
      <c r="T473">
        <v>68463</v>
      </c>
      <c r="U473" t="s">
        <v>61</v>
      </c>
      <c r="V473" s="1">
        <v>43356</v>
      </c>
      <c r="W473" t="s">
        <v>12</v>
      </c>
      <c r="X473" t="s">
        <v>1295</v>
      </c>
      <c r="Y473" t="s">
        <v>8</v>
      </c>
      <c r="Z473">
        <v>24</v>
      </c>
      <c r="AA47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74" spans="1:27" x14ac:dyDescent="0.3">
      <c r="A474" t="s">
        <v>868</v>
      </c>
      <c r="B474">
        <v>15672</v>
      </c>
      <c r="C474">
        <v>1296</v>
      </c>
      <c r="D474">
        <f>IFERROR(tinder[[#This Row],[Tinder Opened]]/tinder[[#This Row],[Days on Tinder]],0)</f>
        <v>12.092592592592593</v>
      </c>
      <c r="E474">
        <f>tinder[[#This Row],[Engagement]]/MAX(tinder[Engagement])</f>
        <v>6.0766796947701478E-2</v>
      </c>
      <c r="F47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74">
        <v>1271</v>
      </c>
      <c r="H474">
        <f>IFERROR(tinder[[#This Row],[Conversations]]/tinder[[#This Row],[Tinder Opened]],0)</f>
        <v>8.1100051046452265E-2</v>
      </c>
      <c r="I474">
        <f>tinder[[#This Row],[Conversations]]/MAX(tinder[Conversations])</f>
        <v>0.10053788957443442</v>
      </c>
      <c r="J474">
        <f>(tinder[[#This Row],[Norm Engagement]]*2)+(tinder[[#This Row],[Norm Swipes]]*1)+(tinder[[#This Row],[Norm Conversations]]*2)</f>
        <v>0.38168224631716019</v>
      </c>
      <c r="K47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74">
        <v>591</v>
      </c>
      <c r="M474">
        <v>21</v>
      </c>
      <c r="N474">
        <v>3397</v>
      </c>
      <c r="O474">
        <v>9533</v>
      </c>
      <c r="P474">
        <v>8078</v>
      </c>
      <c r="Q474">
        <f>tinder[[#This Row],[All Swipes]]/MAX(tinder[All Swipes])</f>
        <v>5.9072873272888356E-2</v>
      </c>
      <c r="R474">
        <f>tinder[[#This Row],[Swipe Right (LIKE)]]+tinder[[#This Row],[Swipe Left (PASS)]]</f>
        <v>50142</v>
      </c>
      <c r="S474">
        <v>20221</v>
      </c>
      <c r="T474">
        <v>29921</v>
      </c>
      <c r="U474" t="s">
        <v>8</v>
      </c>
      <c r="V474" s="1">
        <v>41395</v>
      </c>
      <c r="W474" t="s">
        <v>7</v>
      </c>
      <c r="X474" t="s">
        <v>1295</v>
      </c>
      <c r="Y474" t="s">
        <v>8</v>
      </c>
      <c r="Z474">
        <v>22</v>
      </c>
      <c r="AA47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75" spans="1:27" x14ac:dyDescent="0.3">
      <c r="A475" t="s">
        <v>656</v>
      </c>
      <c r="B475">
        <v>3304</v>
      </c>
      <c r="C475">
        <v>274</v>
      </c>
      <c r="D475">
        <f>IFERROR(tinder[[#This Row],[Tinder Opened]]/tinder[[#This Row],[Days on Tinder]],0)</f>
        <v>12.058394160583942</v>
      </c>
      <c r="E475">
        <f>tinder[[#This Row],[Engagement]]/MAX(tinder[Engagement])</f>
        <v>6.0594945530572576E-2</v>
      </c>
      <c r="F47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75">
        <v>80</v>
      </c>
      <c r="H475">
        <f>IFERROR(tinder[[#This Row],[Conversations]]/tinder[[#This Row],[Tinder Opened]],0)</f>
        <v>2.4213075060532687E-2</v>
      </c>
      <c r="I475">
        <f>tinder[[#This Row],[Conversations]]/MAX(tinder[Conversations])</f>
        <v>6.3281126404049993E-3</v>
      </c>
      <c r="J475">
        <f>(tinder[[#This Row],[Norm Engagement]]*2)+(tinder[[#This Row],[Norm Swipes]]*1)+(tinder[[#This Row],[Norm Conversations]]*2)</f>
        <v>0.16427320536949469</v>
      </c>
      <c r="K47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75">
        <v>33</v>
      </c>
      <c r="M475">
        <v>8</v>
      </c>
      <c r="N475">
        <v>307</v>
      </c>
      <c r="O475">
        <v>358</v>
      </c>
      <c r="P475">
        <v>434</v>
      </c>
      <c r="Q475">
        <f>tinder[[#This Row],[All Swipes]]/MAX(tinder[All Swipes])</f>
        <v>3.0427089027539538E-2</v>
      </c>
      <c r="R475">
        <f>tinder[[#This Row],[Swipe Right (LIKE)]]+tinder[[#This Row],[Swipe Left (PASS)]]</f>
        <v>25827</v>
      </c>
      <c r="S475">
        <v>3661</v>
      </c>
      <c r="T475">
        <v>22166</v>
      </c>
      <c r="U475" t="s">
        <v>10</v>
      </c>
      <c r="V475" s="1">
        <v>43615</v>
      </c>
      <c r="W475" t="s">
        <v>12</v>
      </c>
      <c r="X475" t="s">
        <v>1295</v>
      </c>
      <c r="Y475" t="s">
        <v>8</v>
      </c>
      <c r="Z475">
        <v>21</v>
      </c>
      <c r="AA47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76" spans="1:27" x14ac:dyDescent="0.3">
      <c r="A476" t="s">
        <v>23</v>
      </c>
      <c r="B476">
        <v>17302</v>
      </c>
      <c r="C476">
        <v>1437</v>
      </c>
      <c r="D476">
        <f>IFERROR(tinder[[#This Row],[Tinder Opened]]/tinder[[#This Row],[Days on Tinder]],0)</f>
        <v>12.040361864996521</v>
      </c>
      <c r="E476">
        <f>tinder[[#This Row],[Engagement]]/MAX(tinder[Engagement])</f>
        <v>6.0504330979882018E-2</v>
      </c>
      <c r="F47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76">
        <v>1580</v>
      </c>
      <c r="H476">
        <f>IFERROR(tinder[[#This Row],[Conversations]]/tinder[[#This Row],[Tinder Opened]],0)</f>
        <v>9.1318922667899663E-2</v>
      </c>
      <c r="I476">
        <f>tinder[[#This Row],[Conversations]]/MAX(tinder[Conversations])</f>
        <v>0.12498022464799874</v>
      </c>
      <c r="J476">
        <f>(tinder[[#This Row],[Norm Engagement]]*2)+(tinder[[#This Row],[Norm Swipes]]*1)+(tinder[[#This Row],[Norm Conversations]]*2)</f>
        <v>0.48547802720456551</v>
      </c>
      <c r="K47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76">
        <v>498</v>
      </c>
      <c r="M476">
        <v>297</v>
      </c>
      <c r="N476">
        <v>5075</v>
      </c>
      <c r="O476">
        <v>7538</v>
      </c>
      <c r="P476">
        <v>8674</v>
      </c>
      <c r="Q476">
        <f>tinder[[#This Row],[All Swipes]]/MAX(tinder[All Swipes])</f>
        <v>0.11450891594880398</v>
      </c>
      <c r="R476">
        <f>tinder[[#This Row],[Swipe Right (LIKE)]]+tinder[[#This Row],[Swipe Left (PASS)]]</f>
        <v>97197</v>
      </c>
      <c r="S476">
        <v>52133</v>
      </c>
      <c r="T476">
        <v>45064</v>
      </c>
      <c r="U476" t="s">
        <v>8</v>
      </c>
      <c r="V476" s="1">
        <v>42323</v>
      </c>
      <c r="W476" t="s">
        <v>7</v>
      </c>
      <c r="X476" t="s">
        <v>1295</v>
      </c>
      <c r="Y476" t="s">
        <v>8</v>
      </c>
      <c r="Z476">
        <v>19</v>
      </c>
      <c r="AA47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77" spans="1:27" x14ac:dyDescent="0.3">
      <c r="A477" t="s">
        <v>894</v>
      </c>
      <c r="B477">
        <v>18466</v>
      </c>
      <c r="C477">
        <v>1534</v>
      </c>
      <c r="D477">
        <f>IFERROR(tinder[[#This Row],[Tinder Opened]]/tinder[[#This Row],[Days on Tinder]],0)</f>
        <v>12.03780964797914</v>
      </c>
      <c r="E477">
        <f>tinder[[#This Row],[Engagement]]/MAX(tinder[Engagement])</f>
        <v>6.0491505768739399E-2</v>
      </c>
      <c r="F47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77">
        <v>1071</v>
      </c>
      <c r="H477">
        <f>IFERROR(tinder[[#This Row],[Conversations]]/tinder[[#This Row],[Tinder Opened]],0)</f>
        <v>5.7998483699772556E-2</v>
      </c>
      <c r="I477">
        <f>tinder[[#This Row],[Conversations]]/MAX(tinder[Conversations])</f>
        <v>8.4717607973421927E-2</v>
      </c>
      <c r="J477">
        <f>(tinder[[#This Row],[Norm Engagement]]*2)+(tinder[[#This Row],[Norm Swipes]]*1)+(tinder[[#This Row],[Norm Conversations]]*2)</f>
        <v>0.54567378345876238</v>
      </c>
      <c r="K47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77">
        <v>521</v>
      </c>
      <c r="M477">
        <v>82</v>
      </c>
      <c r="N477">
        <v>2866</v>
      </c>
      <c r="O477">
        <v>3158</v>
      </c>
      <c r="P477">
        <v>3312</v>
      </c>
      <c r="Q477">
        <f>tinder[[#This Row],[All Swipes]]/MAX(tinder[All Swipes])</f>
        <v>0.25525555597443966</v>
      </c>
      <c r="R477">
        <f>tinder[[#This Row],[Swipe Right (LIKE)]]+tinder[[#This Row],[Swipe Left (PASS)]]</f>
        <v>216665</v>
      </c>
      <c r="S477">
        <v>146164</v>
      </c>
      <c r="T477">
        <v>70501</v>
      </c>
      <c r="U477" t="s">
        <v>770</v>
      </c>
      <c r="V477" s="1">
        <v>41850</v>
      </c>
      <c r="W477" t="s">
        <v>7</v>
      </c>
      <c r="X477" t="s">
        <v>1295</v>
      </c>
      <c r="Y477" t="s">
        <v>539</v>
      </c>
      <c r="Z477">
        <v>21</v>
      </c>
      <c r="AA47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78" spans="1:27" x14ac:dyDescent="0.3">
      <c r="A478" t="s">
        <v>214</v>
      </c>
      <c r="B478">
        <v>4459</v>
      </c>
      <c r="C478">
        <v>371</v>
      </c>
      <c r="D478">
        <f>IFERROR(tinder[[#This Row],[Tinder Opened]]/tinder[[#This Row],[Days on Tinder]],0)</f>
        <v>12.018867924528301</v>
      </c>
      <c r="E478">
        <f>tinder[[#This Row],[Engagement]]/MAX(tinder[Engagement])</f>
        <v>6.0396321228785431E-2</v>
      </c>
      <c r="F47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78">
        <v>289</v>
      </c>
      <c r="H478">
        <f>IFERROR(tinder[[#This Row],[Conversations]]/tinder[[#This Row],[Tinder Opened]],0)</f>
        <v>6.4812738282126039E-2</v>
      </c>
      <c r="I478">
        <f>tinder[[#This Row],[Conversations]]/MAX(tinder[Conversations])</f>
        <v>2.2860306913463059E-2</v>
      </c>
      <c r="J478">
        <f>(tinder[[#This Row],[Norm Engagement]]*2)+(tinder[[#This Row],[Norm Swipes]]*1)+(tinder[[#This Row],[Norm Conversations]]*2)</f>
        <v>0.19280988594275034</v>
      </c>
      <c r="K47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78">
        <v>65</v>
      </c>
      <c r="M478">
        <v>24</v>
      </c>
      <c r="N478">
        <v>1284</v>
      </c>
      <c r="O478">
        <v>3128</v>
      </c>
      <c r="P478">
        <v>2642</v>
      </c>
      <c r="Q478">
        <f>tinder[[#This Row],[All Swipes]]/MAX(tinder[All Swipes])</f>
        <v>2.6296629658253377E-2</v>
      </c>
      <c r="R478">
        <f>tinder[[#This Row],[Swipe Right (LIKE)]]+tinder[[#This Row],[Swipe Left (PASS)]]</f>
        <v>22321</v>
      </c>
      <c r="S478">
        <v>10861</v>
      </c>
      <c r="T478">
        <v>11460</v>
      </c>
      <c r="U478" t="s">
        <v>8</v>
      </c>
      <c r="V478" s="1">
        <v>43706</v>
      </c>
      <c r="W478" t="s">
        <v>12</v>
      </c>
      <c r="X478" t="s">
        <v>1295</v>
      </c>
      <c r="Y478" t="s">
        <v>8</v>
      </c>
      <c r="Z478">
        <v>20</v>
      </c>
      <c r="AA47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79" spans="1:27" x14ac:dyDescent="0.3">
      <c r="A479" t="s">
        <v>482</v>
      </c>
      <c r="B479">
        <v>574</v>
      </c>
      <c r="C479">
        <v>48</v>
      </c>
      <c r="D479">
        <f>IFERROR(tinder[[#This Row],[Tinder Opened]]/tinder[[#This Row],[Days on Tinder]],0)</f>
        <v>11.958333333333334</v>
      </c>
      <c r="E479">
        <f>tinder[[#This Row],[Engagement]]/MAX(tinder[Engagement])</f>
        <v>6.0092127303182585E-2</v>
      </c>
      <c r="F47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79">
        <v>24</v>
      </c>
      <c r="H479">
        <f>IFERROR(tinder[[#This Row],[Conversations]]/tinder[[#This Row],[Tinder Opened]],0)</f>
        <v>4.1811846689895474E-2</v>
      </c>
      <c r="I479">
        <f>tinder[[#This Row],[Conversations]]/MAX(tinder[Conversations])</f>
        <v>1.8984337921214998E-3</v>
      </c>
      <c r="J479">
        <f>(tinder[[#This Row],[Norm Engagement]]*2)+(tinder[[#This Row],[Norm Swipes]]*1)+(tinder[[#This Row],[Norm Conversations]]*2)</f>
        <v>0.13959699182548782</v>
      </c>
      <c r="K47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79">
        <v>5</v>
      </c>
      <c r="M479">
        <v>0</v>
      </c>
      <c r="N479">
        <v>40</v>
      </c>
      <c r="O479">
        <v>427</v>
      </c>
      <c r="P479">
        <v>648</v>
      </c>
      <c r="Q479">
        <f>tinder[[#This Row],[All Swipes]]/MAX(tinder[All Swipes])</f>
        <v>1.5615869634879645E-2</v>
      </c>
      <c r="R479">
        <f>tinder[[#This Row],[Swipe Right (LIKE)]]+tinder[[#This Row],[Swipe Left (PASS)]]</f>
        <v>13255</v>
      </c>
      <c r="S479">
        <v>5296</v>
      </c>
      <c r="T479">
        <v>7959</v>
      </c>
      <c r="U479" t="s">
        <v>69</v>
      </c>
      <c r="V479" s="1">
        <v>43920</v>
      </c>
      <c r="W479" t="s">
        <v>12</v>
      </c>
      <c r="X479" t="s">
        <v>1295</v>
      </c>
      <c r="Y479" t="s">
        <v>8</v>
      </c>
      <c r="Z479">
        <v>21</v>
      </c>
      <c r="AA47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80" spans="1:27" x14ac:dyDescent="0.3">
      <c r="A480" t="s">
        <v>628</v>
      </c>
      <c r="B480">
        <v>15892</v>
      </c>
      <c r="C480">
        <v>1329</v>
      </c>
      <c r="D480">
        <f>IFERROR(tinder[[#This Row],[Tinder Opened]]/tinder[[#This Row],[Days on Tinder]],0)</f>
        <v>11.957863054928518</v>
      </c>
      <c r="E480">
        <f>tinder[[#This Row],[Engagement]]/MAX(tinder[Engagement])</f>
        <v>6.0089764095118181E-2</v>
      </c>
      <c r="F48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80">
        <v>1276</v>
      </c>
      <c r="H480">
        <f>IFERROR(tinder[[#This Row],[Conversations]]/tinder[[#This Row],[Tinder Opened]],0)</f>
        <v>8.0291970802919707E-2</v>
      </c>
      <c r="I480">
        <f>tinder[[#This Row],[Conversations]]/MAX(tinder[Conversations])</f>
        <v>0.10093339661445974</v>
      </c>
      <c r="J480">
        <f>(tinder[[#This Row],[Norm Engagement]]*2)+(tinder[[#This Row],[Norm Swipes]]*1)+(tinder[[#This Row],[Norm Conversations]]*2)</f>
        <v>0.4107887579425013</v>
      </c>
      <c r="K48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80">
        <v>106</v>
      </c>
      <c r="M480">
        <v>21</v>
      </c>
      <c r="N480">
        <v>1890</v>
      </c>
      <c r="O480">
        <v>22643</v>
      </c>
      <c r="P480">
        <v>14231</v>
      </c>
      <c r="Q480">
        <f>tinder[[#This Row],[All Swipes]]/MAX(tinder[All Swipes])</f>
        <v>8.8742436523345458E-2</v>
      </c>
      <c r="R480">
        <f>tinder[[#This Row],[Swipe Right (LIKE)]]+tinder[[#This Row],[Swipe Left (PASS)]]</f>
        <v>75326</v>
      </c>
      <c r="S480">
        <v>73793</v>
      </c>
      <c r="T480">
        <v>1533</v>
      </c>
      <c r="U480" t="s">
        <v>8</v>
      </c>
      <c r="V480" s="1">
        <v>42236</v>
      </c>
      <c r="W480" t="s">
        <v>12</v>
      </c>
      <c r="X480" t="s">
        <v>1295</v>
      </c>
      <c r="Y480" t="s">
        <v>8</v>
      </c>
      <c r="Z480">
        <v>23</v>
      </c>
      <c r="AA48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81" spans="1:27" x14ac:dyDescent="0.3">
      <c r="A481" t="s">
        <v>576</v>
      </c>
      <c r="B481">
        <v>1195</v>
      </c>
      <c r="C481">
        <v>100</v>
      </c>
      <c r="D481">
        <f>IFERROR(tinder[[#This Row],[Tinder Opened]]/tinder[[#This Row],[Days on Tinder]],0)</f>
        <v>11.95</v>
      </c>
      <c r="E481">
        <f>tinder[[#This Row],[Engagement]]/MAX(tinder[Engagement])</f>
        <v>6.0050251256281405E-2</v>
      </c>
      <c r="F48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81">
        <v>215</v>
      </c>
      <c r="H481">
        <f>IFERROR(tinder[[#This Row],[Conversations]]/tinder[[#This Row],[Tinder Opened]],0)</f>
        <v>0.1799163179916318</v>
      </c>
      <c r="I481">
        <f>tinder[[#This Row],[Conversations]]/MAX(tinder[Conversations])</f>
        <v>1.7006802721088437E-2</v>
      </c>
      <c r="J481">
        <f>(tinder[[#This Row],[Norm Engagement]]*2)+(tinder[[#This Row],[Norm Swipes]]*1)+(tinder[[#This Row],[Norm Conversations]]*2)</f>
        <v>0.16272728207021347</v>
      </c>
      <c r="K48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81">
        <v>40</v>
      </c>
      <c r="M481">
        <v>105</v>
      </c>
      <c r="N481">
        <v>429</v>
      </c>
      <c r="O481">
        <v>641</v>
      </c>
      <c r="P481">
        <v>1286</v>
      </c>
      <c r="Q481">
        <f>tinder[[#This Row],[All Swipes]]/MAX(tinder[All Swipes])</f>
        <v>8.6131741154737897E-3</v>
      </c>
      <c r="R481">
        <f>tinder[[#This Row],[Swipe Right (LIKE)]]+tinder[[#This Row],[Swipe Left (PASS)]]</f>
        <v>7311</v>
      </c>
      <c r="S481">
        <v>794</v>
      </c>
      <c r="T481">
        <v>6517</v>
      </c>
      <c r="U481" t="s">
        <v>14</v>
      </c>
      <c r="V481" s="1">
        <v>44076</v>
      </c>
      <c r="W481" t="s">
        <v>12</v>
      </c>
      <c r="X481" t="s">
        <v>1296</v>
      </c>
      <c r="Y481" t="s">
        <v>16</v>
      </c>
      <c r="Z481">
        <v>22</v>
      </c>
      <c r="AA48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82" spans="1:27" x14ac:dyDescent="0.3">
      <c r="A482" t="s">
        <v>468</v>
      </c>
      <c r="B482">
        <v>1857</v>
      </c>
      <c r="C482">
        <v>156</v>
      </c>
      <c r="D482">
        <f>IFERROR(tinder[[#This Row],[Tinder Opened]]/tinder[[#This Row],[Days on Tinder]],0)</f>
        <v>11.903846153846153</v>
      </c>
      <c r="E482">
        <f>tinder[[#This Row],[Engagement]]/MAX(tinder[Engagement])</f>
        <v>5.9818322381136449E-2</v>
      </c>
      <c r="F48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82">
        <v>52</v>
      </c>
      <c r="H482">
        <f>IFERROR(tinder[[#This Row],[Conversations]]/tinder[[#This Row],[Tinder Opened]],0)</f>
        <v>2.8002154011847066E-2</v>
      </c>
      <c r="I482">
        <f>tinder[[#This Row],[Conversations]]/MAX(tinder[Conversations])</f>
        <v>4.1132732162632493E-3</v>
      </c>
      <c r="J482">
        <f>(tinder[[#This Row],[Norm Engagement]]*2)+(tinder[[#This Row],[Norm Swipes]]*1)+(tinder[[#This Row],[Norm Conversations]]*2)</f>
        <v>0.1308320324984506</v>
      </c>
      <c r="K48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482">
        <v>20</v>
      </c>
      <c r="M482">
        <v>1</v>
      </c>
      <c r="N482">
        <v>142</v>
      </c>
      <c r="O482">
        <v>273</v>
      </c>
      <c r="P482">
        <v>243</v>
      </c>
      <c r="Q482">
        <f>tinder[[#This Row],[All Swipes]]/MAX(tinder[All Swipes])</f>
        <v>2.9688413036512034E-3</v>
      </c>
      <c r="R482">
        <f>tinder[[#This Row],[Swipe Right (LIKE)]]+tinder[[#This Row],[Swipe Left (PASS)]]</f>
        <v>2520</v>
      </c>
      <c r="S482">
        <v>1907</v>
      </c>
      <c r="T482">
        <v>613</v>
      </c>
      <c r="U482" t="s">
        <v>311</v>
      </c>
      <c r="V482" s="1">
        <v>44095</v>
      </c>
      <c r="W482" t="s">
        <v>12</v>
      </c>
      <c r="X482" t="s">
        <v>1295</v>
      </c>
      <c r="Y482" t="s">
        <v>19</v>
      </c>
      <c r="Z482">
        <v>24</v>
      </c>
      <c r="AA48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83" spans="1:27" x14ac:dyDescent="0.3">
      <c r="A483" t="s">
        <v>901</v>
      </c>
      <c r="B483">
        <v>23833</v>
      </c>
      <c r="C483">
        <v>2005</v>
      </c>
      <c r="D483">
        <f>IFERROR(tinder[[#This Row],[Tinder Opened]]/tinder[[#This Row],[Days on Tinder]],0)</f>
        <v>11.886783042394015</v>
      </c>
      <c r="E483">
        <f>tinder[[#This Row],[Engagement]]/MAX(tinder[Engagement])</f>
        <v>5.9732578102482489E-2</v>
      </c>
      <c r="F48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83">
        <v>1655</v>
      </c>
      <c r="H483">
        <f>IFERROR(tinder[[#This Row],[Conversations]]/tinder[[#This Row],[Tinder Opened]],0)</f>
        <v>6.9441530650778335E-2</v>
      </c>
      <c r="I483">
        <f>tinder[[#This Row],[Conversations]]/MAX(tinder[Conversations])</f>
        <v>0.13091283024837841</v>
      </c>
      <c r="J483">
        <f>(tinder[[#This Row],[Norm Engagement]]*2)+(tinder[[#This Row],[Norm Swipes]]*1)+(tinder[[#This Row],[Norm Conversations]]*2)</f>
        <v>0.66743174712716147</v>
      </c>
      <c r="K48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83">
        <v>728</v>
      </c>
      <c r="M483">
        <v>297</v>
      </c>
      <c r="N483">
        <v>4400</v>
      </c>
      <c r="O483">
        <v>3731</v>
      </c>
      <c r="P483">
        <v>2998</v>
      </c>
      <c r="Q483">
        <f>tinder[[#This Row],[All Swipes]]/MAX(tinder[All Swipes])</f>
        <v>0.28614093042543964</v>
      </c>
      <c r="R483">
        <f>tinder[[#This Row],[Swipe Right (LIKE)]]+tinder[[#This Row],[Swipe Left (PASS)]]</f>
        <v>242881</v>
      </c>
      <c r="S483">
        <v>102575</v>
      </c>
      <c r="T483">
        <v>140306</v>
      </c>
      <c r="U483" t="s">
        <v>10</v>
      </c>
      <c r="V483" s="1">
        <v>41710</v>
      </c>
      <c r="W483" t="s">
        <v>12</v>
      </c>
      <c r="X483" t="s">
        <v>1295</v>
      </c>
      <c r="Y483" t="s">
        <v>8</v>
      </c>
      <c r="Z483">
        <v>18</v>
      </c>
      <c r="AA48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84" spans="1:27" x14ac:dyDescent="0.3">
      <c r="A484" t="s">
        <v>1184</v>
      </c>
      <c r="B484">
        <v>3303</v>
      </c>
      <c r="C484">
        <v>278</v>
      </c>
      <c r="D484">
        <f>IFERROR(tinder[[#This Row],[Tinder Opened]]/tinder[[#This Row],[Days on Tinder]],0)</f>
        <v>11.881294964028777</v>
      </c>
      <c r="E484">
        <f>tinder[[#This Row],[Engagement]]/MAX(tinder[Engagement])</f>
        <v>5.9704999819240087E-2</v>
      </c>
      <c r="F48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84">
        <v>186</v>
      </c>
      <c r="H484">
        <f>IFERROR(tinder[[#This Row],[Conversations]]/tinder[[#This Row],[Tinder Opened]],0)</f>
        <v>5.6312443233424159E-2</v>
      </c>
      <c r="I484">
        <f>tinder[[#This Row],[Conversations]]/MAX(tinder[Conversations])</f>
        <v>1.4712861888941622E-2</v>
      </c>
      <c r="J484">
        <f>(tinder[[#This Row],[Norm Engagement]]*2)+(tinder[[#This Row],[Norm Swipes]]*1)+(tinder[[#This Row],[Norm Conversations]]*2)</f>
        <v>0.17134354607757621</v>
      </c>
      <c r="K48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84">
        <v>16</v>
      </c>
      <c r="M484">
        <v>87</v>
      </c>
      <c r="N484">
        <v>332</v>
      </c>
      <c r="O484">
        <v>1454</v>
      </c>
      <c r="P484">
        <v>1354</v>
      </c>
      <c r="Q484">
        <f>tinder[[#This Row],[All Swipes]]/MAX(tinder[All Swipes])</f>
        <v>2.2507822661212797E-2</v>
      </c>
      <c r="R484">
        <f>tinder[[#This Row],[Swipe Right (LIKE)]]+tinder[[#This Row],[Swipe Left (PASS)]]</f>
        <v>19105</v>
      </c>
      <c r="S484">
        <v>713</v>
      </c>
      <c r="T484">
        <v>18392</v>
      </c>
      <c r="U484" t="s">
        <v>10</v>
      </c>
      <c r="V484" s="1">
        <v>43946</v>
      </c>
      <c r="W484" t="s">
        <v>12</v>
      </c>
      <c r="X484" t="s">
        <v>1296</v>
      </c>
      <c r="Y484" t="s">
        <v>1185</v>
      </c>
      <c r="Z484">
        <v>26</v>
      </c>
      <c r="AA48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85" spans="1:27" x14ac:dyDescent="0.3">
      <c r="A485" t="s">
        <v>953</v>
      </c>
      <c r="B485">
        <v>867</v>
      </c>
      <c r="C485">
        <v>73</v>
      </c>
      <c r="D485">
        <f>IFERROR(tinder[[#This Row],[Tinder Opened]]/tinder[[#This Row],[Days on Tinder]],0)</f>
        <v>11.876712328767123</v>
      </c>
      <c r="E485">
        <f>tinder[[#This Row],[Engagement]]/MAX(tinder[Engagement])</f>
        <v>5.9681971501342329E-2</v>
      </c>
      <c r="F48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85">
        <v>45</v>
      </c>
      <c r="H485">
        <f>IFERROR(tinder[[#This Row],[Conversations]]/tinder[[#This Row],[Tinder Opened]],0)</f>
        <v>5.1903114186851208E-2</v>
      </c>
      <c r="I485">
        <f>tinder[[#This Row],[Conversations]]/MAX(tinder[Conversations])</f>
        <v>3.559563360227812E-3</v>
      </c>
      <c r="J485">
        <f>(tinder[[#This Row],[Norm Engagement]]*2)+(tinder[[#This Row],[Norm Swipes]]*1)+(tinder[[#This Row],[Norm Conversations]]*2)</f>
        <v>0.13649584045319249</v>
      </c>
      <c r="K48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85">
        <v>15</v>
      </c>
      <c r="M485">
        <v>3</v>
      </c>
      <c r="N485">
        <v>58</v>
      </c>
      <c r="O485">
        <v>319</v>
      </c>
      <c r="P485">
        <v>359</v>
      </c>
      <c r="Q485">
        <f>tinder[[#This Row],[All Swipes]]/MAX(tinder[All Swipes])</f>
        <v>1.0012770730052214E-2</v>
      </c>
      <c r="R485">
        <f>tinder[[#This Row],[Swipe Right (LIKE)]]+tinder[[#This Row],[Swipe Left (PASS)]]</f>
        <v>8499</v>
      </c>
      <c r="S485">
        <v>2041</v>
      </c>
      <c r="T485">
        <v>6458</v>
      </c>
      <c r="U485" t="s">
        <v>8</v>
      </c>
      <c r="V485" s="1">
        <v>44226</v>
      </c>
      <c r="W485" t="s">
        <v>12</v>
      </c>
      <c r="X485" t="s">
        <v>1295</v>
      </c>
      <c r="Y485" t="s">
        <v>8</v>
      </c>
      <c r="Z485">
        <v>33</v>
      </c>
      <c r="AA485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486" spans="1:27" x14ac:dyDescent="0.3">
      <c r="A486" t="s">
        <v>95</v>
      </c>
      <c r="B486">
        <v>71</v>
      </c>
      <c r="C486">
        <v>6</v>
      </c>
      <c r="D486">
        <f>IFERROR(tinder[[#This Row],[Tinder Opened]]/tinder[[#This Row],[Days on Tinder]],0)</f>
        <v>11.833333333333334</v>
      </c>
      <c r="E486">
        <f>tinder[[#This Row],[Engagement]]/MAX(tinder[Engagement])</f>
        <v>5.9463986599664995E-2</v>
      </c>
      <c r="F48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86">
        <v>17</v>
      </c>
      <c r="H486">
        <f>IFERROR(tinder[[#This Row],[Conversations]]/tinder[[#This Row],[Tinder Opened]],0)</f>
        <v>0.23943661971830985</v>
      </c>
      <c r="I486">
        <f>tinder[[#This Row],[Conversations]]/MAX(tinder[Conversations])</f>
        <v>1.3447239360860623E-3</v>
      </c>
      <c r="J486">
        <f>(tinder[[#This Row],[Norm Engagement]]*2)+(tinder[[#This Row],[Norm Swipes]]*1)+(tinder[[#This Row],[Norm Conversations]]*2)</f>
        <v>0.1233150799280741</v>
      </c>
      <c r="K48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486">
        <v>7</v>
      </c>
      <c r="M486">
        <v>2</v>
      </c>
      <c r="N486">
        <v>32</v>
      </c>
      <c r="O486">
        <v>33</v>
      </c>
      <c r="P486">
        <v>41</v>
      </c>
      <c r="Q486">
        <f>tinder[[#This Row],[All Swipes]]/MAX(tinder[All Swipes])</f>
        <v>1.697658856571978E-3</v>
      </c>
      <c r="R486">
        <f>tinder[[#This Row],[Swipe Right (LIKE)]]+tinder[[#This Row],[Swipe Left (PASS)]]</f>
        <v>1441</v>
      </c>
      <c r="S486">
        <v>106</v>
      </c>
      <c r="T486">
        <v>1335</v>
      </c>
      <c r="U486" t="s">
        <v>8</v>
      </c>
      <c r="V486" s="1">
        <v>43880</v>
      </c>
      <c r="W486" t="s">
        <v>12</v>
      </c>
      <c r="X486" t="s">
        <v>1295</v>
      </c>
      <c r="Y486" t="s">
        <v>96</v>
      </c>
      <c r="Z486">
        <v>23</v>
      </c>
      <c r="AA48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87" spans="1:27" x14ac:dyDescent="0.3">
      <c r="A487" t="s">
        <v>1151</v>
      </c>
      <c r="B487">
        <v>295</v>
      </c>
      <c r="C487">
        <v>25</v>
      </c>
      <c r="D487">
        <f>IFERROR(tinder[[#This Row],[Tinder Opened]]/tinder[[#This Row],[Days on Tinder]],0)</f>
        <v>11.8</v>
      </c>
      <c r="E487">
        <f>tinder[[#This Row],[Engagement]]/MAX(tinder[Engagement])</f>
        <v>5.9296482412060307E-2</v>
      </c>
      <c r="F48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87">
        <v>22</v>
      </c>
      <c r="H487">
        <f>IFERROR(tinder[[#This Row],[Conversations]]/tinder[[#This Row],[Tinder Opened]],0)</f>
        <v>7.4576271186440682E-2</v>
      </c>
      <c r="I487">
        <f>tinder[[#This Row],[Conversations]]/MAX(tinder[Conversations])</f>
        <v>1.7402309761113748E-3</v>
      </c>
      <c r="J487">
        <f>(tinder[[#This Row],[Norm Engagement]]*2)+(tinder[[#This Row],[Norm Swipes]]*1)+(tinder[[#This Row],[Norm Conversations]]*2)</f>
        <v>0.1370637191365251</v>
      </c>
      <c r="K48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87">
        <v>9</v>
      </c>
      <c r="M487">
        <v>0</v>
      </c>
      <c r="N487">
        <v>6</v>
      </c>
      <c r="O487">
        <v>368</v>
      </c>
      <c r="P487">
        <v>272</v>
      </c>
      <c r="Q487">
        <f>tinder[[#This Row],[All Swipes]]/MAX(tinder[All Swipes])</f>
        <v>1.4990292360181711E-2</v>
      </c>
      <c r="R487">
        <f>tinder[[#This Row],[Swipe Right (LIKE)]]+tinder[[#This Row],[Swipe Left (PASS)]]</f>
        <v>12724</v>
      </c>
      <c r="S487">
        <v>1005</v>
      </c>
      <c r="T487">
        <v>11719</v>
      </c>
      <c r="U487" t="s">
        <v>8</v>
      </c>
      <c r="V487" s="1">
        <v>44275</v>
      </c>
      <c r="W487" t="s">
        <v>12</v>
      </c>
      <c r="X487" t="s">
        <v>1295</v>
      </c>
      <c r="Y487" t="s">
        <v>8</v>
      </c>
      <c r="Z487">
        <v>33</v>
      </c>
      <c r="AA487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488" spans="1:27" x14ac:dyDescent="0.3">
      <c r="A488" t="s">
        <v>204</v>
      </c>
      <c r="B488">
        <v>2118</v>
      </c>
      <c r="C488">
        <v>180</v>
      </c>
      <c r="D488">
        <f>IFERROR(tinder[[#This Row],[Tinder Opened]]/tinder[[#This Row],[Days on Tinder]],0)</f>
        <v>11.766666666666667</v>
      </c>
      <c r="E488">
        <f>tinder[[#This Row],[Engagement]]/MAX(tinder[Engagement])</f>
        <v>5.9128978224455613E-2</v>
      </c>
      <c r="F48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88">
        <v>54</v>
      </c>
      <c r="H488">
        <f>IFERROR(tinder[[#This Row],[Conversations]]/tinder[[#This Row],[Tinder Opened]],0)</f>
        <v>2.5495750708215296E-2</v>
      </c>
      <c r="I488">
        <f>tinder[[#This Row],[Conversations]]/MAX(tinder[Conversations])</f>
        <v>4.2714760322733747E-3</v>
      </c>
      <c r="J488">
        <f>(tinder[[#This Row],[Norm Engagement]]*2)+(tinder[[#This Row],[Norm Swipes]]*1)+(tinder[[#This Row],[Norm Conversations]]*2)</f>
        <v>0.15210910251545606</v>
      </c>
      <c r="K48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88">
        <v>12</v>
      </c>
      <c r="M488">
        <v>6</v>
      </c>
      <c r="N488">
        <v>182</v>
      </c>
      <c r="O488">
        <v>640</v>
      </c>
      <c r="P488">
        <v>486</v>
      </c>
      <c r="Q488">
        <f>tinder[[#This Row],[All Swipes]]/MAX(tinder[All Swipes])</f>
        <v>2.5308194001998078E-2</v>
      </c>
      <c r="R488">
        <f>tinder[[#This Row],[Swipe Right (LIKE)]]+tinder[[#This Row],[Swipe Left (PASS)]]</f>
        <v>21482</v>
      </c>
      <c r="S488">
        <v>15061</v>
      </c>
      <c r="T488">
        <v>6421</v>
      </c>
      <c r="U488" t="s">
        <v>10</v>
      </c>
      <c r="V488" s="1">
        <v>43953</v>
      </c>
      <c r="W488" t="s">
        <v>12</v>
      </c>
      <c r="X488" t="s">
        <v>1295</v>
      </c>
      <c r="Y488" t="s">
        <v>8</v>
      </c>
      <c r="Z488">
        <v>19</v>
      </c>
      <c r="AA48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89" spans="1:27" x14ac:dyDescent="0.3">
      <c r="A489" t="s">
        <v>688</v>
      </c>
      <c r="B489">
        <v>1716</v>
      </c>
      <c r="C489">
        <v>146</v>
      </c>
      <c r="D489">
        <f>IFERROR(tinder[[#This Row],[Tinder Opened]]/tinder[[#This Row],[Days on Tinder]],0)</f>
        <v>11.753424657534246</v>
      </c>
      <c r="E489">
        <f>tinder[[#This Row],[Engagement]]/MAX(tinder[Engagement])</f>
        <v>5.9062435464996212E-2</v>
      </c>
      <c r="F48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89">
        <v>57</v>
      </c>
      <c r="H489">
        <f>IFERROR(tinder[[#This Row],[Conversations]]/tinder[[#This Row],[Tinder Opened]],0)</f>
        <v>3.3216783216783216E-2</v>
      </c>
      <c r="I489">
        <f>tinder[[#This Row],[Conversations]]/MAX(tinder[Conversations])</f>
        <v>4.508780256288562E-3</v>
      </c>
      <c r="J489">
        <f>(tinder[[#This Row],[Norm Engagement]]*2)+(tinder[[#This Row],[Norm Swipes]]*1)+(tinder[[#This Row],[Norm Conversations]]*2)</f>
        <v>0.16628047785074282</v>
      </c>
      <c r="K48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89">
        <v>26</v>
      </c>
      <c r="M489">
        <v>3</v>
      </c>
      <c r="N489">
        <v>43</v>
      </c>
      <c r="O489">
        <v>215</v>
      </c>
      <c r="P489">
        <v>178</v>
      </c>
      <c r="Q489">
        <f>tinder[[#This Row],[All Swipes]]/MAX(tinder[All Swipes])</f>
        <v>3.9138046408173269E-2</v>
      </c>
      <c r="R489">
        <f>tinder[[#This Row],[Swipe Right (LIKE)]]+tinder[[#This Row],[Swipe Left (PASS)]]</f>
        <v>33221</v>
      </c>
      <c r="S489">
        <v>2861</v>
      </c>
      <c r="T489">
        <v>30360</v>
      </c>
      <c r="U489" t="s">
        <v>10</v>
      </c>
      <c r="V489" s="1">
        <v>44152</v>
      </c>
      <c r="W489" t="s">
        <v>12</v>
      </c>
      <c r="X489" t="s">
        <v>1295</v>
      </c>
      <c r="Y489" t="s">
        <v>689</v>
      </c>
      <c r="Z489">
        <v>24</v>
      </c>
      <c r="AA48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90" spans="1:27" x14ac:dyDescent="0.3">
      <c r="A490" t="s">
        <v>253</v>
      </c>
      <c r="B490">
        <v>18181</v>
      </c>
      <c r="C490">
        <v>1550</v>
      </c>
      <c r="D490">
        <f>IFERROR(tinder[[#This Row],[Tinder Opened]]/tinder[[#This Row],[Days on Tinder]],0)</f>
        <v>11.729677419354839</v>
      </c>
      <c r="E490">
        <f>tinder[[#This Row],[Engagement]]/MAX(tinder[Engagement])</f>
        <v>5.8943102609823314E-2</v>
      </c>
      <c r="F49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90">
        <v>2730</v>
      </c>
      <c r="H490">
        <f>IFERROR(tinder[[#This Row],[Conversations]]/tinder[[#This Row],[Tinder Opened]],0)</f>
        <v>0.15015675705406745</v>
      </c>
      <c r="I490">
        <f>tinder[[#This Row],[Conversations]]/MAX(tinder[Conversations])</f>
        <v>0.2159468438538206</v>
      </c>
      <c r="J490">
        <f>(tinder[[#This Row],[Norm Engagement]]*2)+(tinder[[#This Row],[Norm Swipes]]*1)+(tinder[[#This Row],[Norm Conversations]]*2)</f>
        <v>0.68899734405921742</v>
      </c>
      <c r="K49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4) Power User</v>
      </c>
      <c r="L490">
        <v>1128</v>
      </c>
      <c r="M490">
        <v>133</v>
      </c>
      <c r="N490">
        <v>4089</v>
      </c>
      <c r="O490">
        <v>11485</v>
      </c>
      <c r="P490">
        <v>14031</v>
      </c>
      <c r="Q490">
        <f>tinder[[#This Row],[All Swipes]]/MAX(tinder[All Swipes])</f>
        <v>0.13921745113192965</v>
      </c>
      <c r="R490">
        <f>tinder[[#This Row],[Swipe Right (LIKE)]]+tinder[[#This Row],[Swipe Left (PASS)]]</f>
        <v>118170</v>
      </c>
      <c r="S490">
        <v>14216</v>
      </c>
      <c r="T490">
        <v>103954</v>
      </c>
      <c r="U490" t="s">
        <v>10</v>
      </c>
      <c r="V490" s="1">
        <v>41737</v>
      </c>
      <c r="W490" t="s">
        <v>7</v>
      </c>
      <c r="X490" t="s">
        <v>1295</v>
      </c>
      <c r="Y490" t="s">
        <v>254</v>
      </c>
      <c r="Z490">
        <v>20</v>
      </c>
      <c r="AA49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91" spans="1:27" x14ac:dyDescent="0.3">
      <c r="A491" t="s">
        <v>477</v>
      </c>
      <c r="B491">
        <v>5257</v>
      </c>
      <c r="C491">
        <v>449</v>
      </c>
      <c r="D491">
        <f>IFERROR(tinder[[#This Row],[Tinder Opened]]/tinder[[#This Row],[Days on Tinder]],0)</f>
        <v>11.708240534521158</v>
      </c>
      <c r="E491">
        <f>tinder[[#This Row],[Engagement]]/MAX(tinder[Engagement])</f>
        <v>5.8835379570458084E-2</v>
      </c>
      <c r="F49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High Engagement</v>
      </c>
      <c r="G491">
        <v>292</v>
      </c>
      <c r="H491">
        <f>IFERROR(tinder[[#This Row],[Conversations]]/tinder[[#This Row],[Tinder Opened]],0)</f>
        <v>5.5544987635533574E-2</v>
      </c>
      <c r="I491">
        <f>tinder[[#This Row],[Conversations]]/MAX(tinder[Conversations])</f>
        <v>2.3097611137478248E-2</v>
      </c>
      <c r="J491">
        <f>(tinder[[#This Row],[Norm Engagement]]*2)+(tinder[[#This Row],[Norm Swipes]]*1)+(tinder[[#This Row],[Norm Conversations]]*2)</f>
        <v>0.19640778081644944</v>
      </c>
      <c r="K49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91">
        <v>101</v>
      </c>
      <c r="M491">
        <v>18</v>
      </c>
      <c r="N491">
        <v>739</v>
      </c>
      <c r="O491">
        <v>2193</v>
      </c>
      <c r="P491">
        <v>1993</v>
      </c>
      <c r="Q491">
        <f>tinder[[#This Row],[All Swipes]]/MAX(tinder[All Swipes])</f>
        <v>3.2541799400576804E-2</v>
      </c>
      <c r="R491">
        <f>tinder[[#This Row],[Swipe Right (LIKE)]]+tinder[[#This Row],[Swipe Left (PASS)]]</f>
        <v>27622</v>
      </c>
      <c r="S491">
        <v>6356</v>
      </c>
      <c r="T491">
        <v>21266</v>
      </c>
      <c r="U491" t="s">
        <v>311</v>
      </c>
      <c r="V491" s="1">
        <v>42324</v>
      </c>
      <c r="W491" t="s">
        <v>7</v>
      </c>
      <c r="X491" t="s">
        <v>1295</v>
      </c>
      <c r="Y491" t="s">
        <v>19</v>
      </c>
      <c r="Z491">
        <v>19</v>
      </c>
      <c r="AA49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92" spans="1:27" x14ac:dyDescent="0.3">
      <c r="A492" t="s">
        <v>242</v>
      </c>
      <c r="B492">
        <v>6530</v>
      </c>
      <c r="C492">
        <v>558</v>
      </c>
      <c r="D492">
        <f>IFERROR(tinder[[#This Row],[Tinder Opened]]/tinder[[#This Row],[Days on Tinder]],0)</f>
        <v>11.702508960573477</v>
      </c>
      <c r="E492">
        <f>tinder[[#This Row],[Engagement]]/MAX(tinder[Engagement])</f>
        <v>5.8806577691324004E-2</v>
      </c>
      <c r="F49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492">
        <v>173</v>
      </c>
      <c r="H492">
        <f>IFERROR(tinder[[#This Row],[Conversations]]/tinder[[#This Row],[Tinder Opened]],0)</f>
        <v>2.6493108728943338E-2</v>
      </c>
      <c r="I492">
        <f>tinder[[#This Row],[Conversations]]/MAX(tinder[Conversations])</f>
        <v>1.3684543584875811E-2</v>
      </c>
      <c r="J492">
        <f>(tinder[[#This Row],[Norm Engagement]]*2)+(tinder[[#This Row],[Norm Swipes]]*1)+(tinder[[#This Row],[Norm Conversations]]*2)</f>
        <v>0.24915558518496073</v>
      </c>
      <c r="K49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92">
        <v>32</v>
      </c>
      <c r="M492">
        <v>21</v>
      </c>
      <c r="N492">
        <v>524</v>
      </c>
      <c r="O492">
        <v>1859</v>
      </c>
      <c r="P492">
        <v>2005</v>
      </c>
      <c r="Q492">
        <f>tinder[[#This Row],[All Swipes]]/MAX(tinder[All Swipes])</f>
        <v>0.10417334263256112</v>
      </c>
      <c r="R492">
        <f>tinder[[#This Row],[Swipe Right (LIKE)]]+tinder[[#This Row],[Swipe Left (PASS)]]</f>
        <v>88424</v>
      </c>
      <c r="S492">
        <v>2867</v>
      </c>
      <c r="T492">
        <v>85557</v>
      </c>
      <c r="U492" t="s">
        <v>10</v>
      </c>
      <c r="V492" s="1">
        <v>41511</v>
      </c>
      <c r="W492" t="s">
        <v>7</v>
      </c>
      <c r="X492" t="s">
        <v>1296</v>
      </c>
      <c r="Y492" t="s">
        <v>8</v>
      </c>
      <c r="Z492">
        <v>27</v>
      </c>
      <c r="AA49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93" spans="1:27" x14ac:dyDescent="0.3">
      <c r="A493" t="s">
        <v>279</v>
      </c>
      <c r="B493">
        <v>8581</v>
      </c>
      <c r="C493">
        <v>734</v>
      </c>
      <c r="D493">
        <f>IFERROR(tinder[[#This Row],[Tinder Opened]]/tinder[[#This Row],[Days on Tinder]],0)</f>
        <v>11.690735694822889</v>
      </c>
      <c r="E493">
        <f>tinder[[#This Row],[Engagement]]/MAX(tinder[Engagement])</f>
        <v>5.8747415551873815E-2</v>
      </c>
      <c r="F49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493">
        <v>550</v>
      </c>
      <c r="H493">
        <f>IFERROR(tinder[[#This Row],[Conversations]]/tinder[[#This Row],[Tinder Opened]],0)</f>
        <v>6.4095093811910031E-2</v>
      </c>
      <c r="I493">
        <f>tinder[[#This Row],[Conversations]]/MAX(tinder[Conversations])</f>
        <v>4.3505774402784372E-2</v>
      </c>
      <c r="J493">
        <f>(tinder[[#This Row],[Norm Engagement]]*2)+(tinder[[#This Row],[Norm Swipes]]*1)+(tinder[[#This Row],[Norm Conversations]]*2)</f>
        <v>0.23814735745922119</v>
      </c>
      <c r="K49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93">
        <v>258</v>
      </c>
      <c r="M493">
        <v>31</v>
      </c>
      <c r="N493">
        <v>2190</v>
      </c>
      <c r="O493">
        <v>2417</v>
      </c>
      <c r="P493">
        <v>2047</v>
      </c>
      <c r="Q493">
        <f>tinder[[#This Row],[All Swipes]]/MAX(tinder[All Swipes])</f>
        <v>3.3640977549904812E-2</v>
      </c>
      <c r="R493">
        <f>tinder[[#This Row],[Swipe Right (LIKE)]]+tinder[[#This Row],[Swipe Left (PASS)]]</f>
        <v>28555</v>
      </c>
      <c r="S493">
        <v>17963</v>
      </c>
      <c r="T493">
        <v>10592</v>
      </c>
      <c r="U493" t="s">
        <v>8</v>
      </c>
      <c r="V493" s="1">
        <v>43044</v>
      </c>
      <c r="W493" t="s">
        <v>7</v>
      </c>
      <c r="X493" t="s">
        <v>1295</v>
      </c>
      <c r="Y493" t="s">
        <v>8</v>
      </c>
      <c r="Z493">
        <v>18</v>
      </c>
      <c r="AA49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94" spans="1:27" x14ac:dyDescent="0.3">
      <c r="A494" t="s">
        <v>982</v>
      </c>
      <c r="B494">
        <v>11019</v>
      </c>
      <c r="C494">
        <v>946</v>
      </c>
      <c r="D494">
        <f>IFERROR(tinder[[#This Row],[Tinder Opened]]/tinder[[#This Row],[Days on Tinder]],0)</f>
        <v>11.64799154334038</v>
      </c>
      <c r="E494">
        <f>tinder[[#This Row],[Engagement]]/MAX(tinder[Engagement])</f>
        <v>5.8532620820805931E-2</v>
      </c>
      <c r="F49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494">
        <v>214</v>
      </c>
      <c r="H494">
        <f>IFERROR(tinder[[#This Row],[Conversations]]/tinder[[#This Row],[Tinder Opened]],0)</f>
        <v>1.9421000090752337E-2</v>
      </c>
      <c r="I494">
        <f>tinder[[#This Row],[Conversations]]/MAX(tinder[Conversations])</f>
        <v>1.6927701313083372E-2</v>
      </c>
      <c r="J494">
        <f>(tinder[[#This Row],[Norm Engagement]]*2)+(tinder[[#This Row],[Norm Swipes]]*1)+(tinder[[#This Row],[Norm Conversations]]*2)</f>
        <v>0.36016505059376686</v>
      </c>
      <c r="K49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94">
        <v>99</v>
      </c>
      <c r="M494">
        <v>2</v>
      </c>
      <c r="N494">
        <v>412</v>
      </c>
      <c r="O494">
        <v>2241</v>
      </c>
      <c r="P494">
        <v>1994</v>
      </c>
      <c r="Q494">
        <f>tinder[[#This Row],[All Swipes]]/MAX(tinder[All Swipes])</f>
        <v>0.2092444063259882</v>
      </c>
      <c r="R494">
        <f>tinder[[#This Row],[Swipe Right (LIKE)]]+tinder[[#This Row],[Swipe Left (PASS)]]</f>
        <v>177610</v>
      </c>
      <c r="S494">
        <v>141151</v>
      </c>
      <c r="T494">
        <v>36459</v>
      </c>
      <c r="U494" t="s">
        <v>8</v>
      </c>
      <c r="V494" s="1">
        <v>42051</v>
      </c>
      <c r="W494" t="s">
        <v>7</v>
      </c>
      <c r="X494" t="s">
        <v>1295</v>
      </c>
      <c r="Y494" t="s">
        <v>8</v>
      </c>
      <c r="Z494">
        <v>23</v>
      </c>
      <c r="AA49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95" spans="1:27" x14ac:dyDescent="0.3">
      <c r="A495" t="s">
        <v>393</v>
      </c>
      <c r="B495">
        <v>3229</v>
      </c>
      <c r="C495">
        <v>278</v>
      </c>
      <c r="D495">
        <f>IFERROR(tinder[[#This Row],[Tinder Opened]]/tinder[[#This Row],[Days on Tinder]],0)</f>
        <v>11.615107913669064</v>
      </c>
      <c r="E495">
        <f>tinder[[#This Row],[Engagement]]/MAX(tinder[Engagement])</f>
        <v>5.8367376450598314E-2</v>
      </c>
      <c r="F49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495">
        <v>5</v>
      </c>
      <c r="H495">
        <f>IFERROR(tinder[[#This Row],[Conversations]]/tinder[[#This Row],[Tinder Opened]],0)</f>
        <v>1.548467017652524E-3</v>
      </c>
      <c r="I495">
        <f>tinder[[#This Row],[Conversations]]/MAX(tinder[Conversations])</f>
        <v>3.9550704002531246E-4</v>
      </c>
      <c r="J495">
        <f>(tinder[[#This Row],[Norm Engagement]]*2)+(tinder[[#This Row],[Norm Swipes]]*1)+(tinder[[#This Row],[Norm Conversations]]*2)</f>
        <v>0.13397456153742904</v>
      </c>
      <c r="K49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495">
        <v>2</v>
      </c>
      <c r="M495">
        <v>0</v>
      </c>
      <c r="N495">
        <v>14</v>
      </c>
      <c r="O495">
        <v>37</v>
      </c>
      <c r="P495">
        <v>28</v>
      </c>
      <c r="Q495">
        <f>tinder[[#This Row],[All Swipes]]/MAX(tinder[All Swipes])</f>
        <v>1.6448794556181787E-2</v>
      </c>
      <c r="R495">
        <f>tinder[[#This Row],[Swipe Right (LIKE)]]+tinder[[#This Row],[Swipe Left (PASS)]]</f>
        <v>13962</v>
      </c>
      <c r="S495">
        <v>1884</v>
      </c>
      <c r="T495">
        <v>12078</v>
      </c>
      <c r="U495" t="s">
        <v>8</v>
      </c>
      <c r="V495" s="1">
        <v>42552</v>
      </c>
      <c r="W495" t="s">
        <v>12</v>
      </c>
      <c r="X495" t="s">
        <v>1295</v>
      </c>
      <c r="Y495" t="s">
        <v>8</v>
      </c>
      <c r="Z495">
        <v>16</v>
      </c>
      <c r="AA49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96" spans="1:27" x14ac:dyDescent="0.3">
      <c r="A496" t="s">
        <v>611</v>
      </c>
      <c r="B496">
        <v>417</v>
      </c>
      <c r="C496">
        <v>36</v>
      </c>
      <c r="D496">
        <f>IFERROR(tinder[[#This Row],[Tinder Opened]]/tinder[[#This Row],[Days on Tinder]],0)</f>
        <v>11.583333333333334</v>
      </c>
      <c r="E496">
        <f>tinder[[#This Row],[Engagement]]/MAX(tinder[Engagement])</f>
        <v>5.820770519262982E-2</v>
      </c>
      <c r="F49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496">
        <v>8</v>
      </c>
      <c r="H496">
        <f>IFERROR(tinder[[#This Row],[Conversations]]/tinder[[#This Row],[Tinder Opened]],0)</f>
        <v>1.9184652278177457E-2</v>
      </c>
      <c r="I496">
        <f>tinder[[#This Row],[Conversations]]/MAX(tinder[Conversations])</f>
        <v>6.3281126404049991E-4</v>
      </c>
      <c r="J496">
        <f>(tinder[[#This Row],[Norm Engagement]]*2)+(tinder[[#This Row],[Norm Swipes]]*1)+(tinder[[#This Row],[Norm Conversations]]*2)</f>
        <v>0.12340429920426824</v>
      </c>
      <c r="K49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496">
        <v>1</v>
      </c>
      <c r="M496">
        <v>0</v>
      </c>
      <c r="N496">
        <v>13</v>
      </c>
      <c r="O496">
        <v>35</v>
      </c>
      <c r="P496">
        <v>28</v>
      </c>
      <c r="Q496">
        <f>tinder[[#This Row],[All Swipes]]/MAX(tinder[All Swipes])</f>
        <v>5.7232662909275983E-3</v>
      </c>
      <c r="R496">
        <f>tinder[[#This Row],[Swipe Right (LIKE)]]+tinder[[#This Row],[Swipe Left (PASS)]]</f>
        <v>4858</v>
      </c>
      <c r="S496">
        <v>3009</v>
      </c>
      <c r="T496">
        <v>1849</v>
      </c>
      <c r="U496" t="s">
        <v>8</v>
      </c>
      <c r="V496" s="1">
        <v>44251</v>
      </c>
      <c r="W496" t="s">
        <v>12</v>
      </c>
      <c r="X496" t="s">
        <v>1295</v>
      </c>
      <c r="Y496" t="s">
        <v>612</v>
      </c>
      <c r="Z496">
        <v>21</v>
      </c>
      <c r="AA49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497" spans="1:27" x14ac:dyDescent="0.3">
      <c r="A497" t="s">
        <v>1147</v>
      </c>
      <c r="B497">
        <v>8047</v>
      </c>
      <c r="C497">
        <v>695</v>
      </c>
      <c r="D497">
        <f>IFERROR(tinder[[#This Row],[Tinder Opened]]/tinder[[#This Row],[Days on Tinder]],0)</f>
        <v>11.578417266187051</v>
      </c>
      <c r="E497">
        <f>tinder[[#This Row],[Engagement]]/MAX(tinder[Engagement])</f>
        <v>5.8183001337623372E-2</v>
      </c>
      <c r="F49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497">
        <v>2</v>
      </c>
      <c r="H497">
        <f>IFERROR(tinder[[#This Row],[Conversations]]/tinder[[#This Row],[Tinder Opened]],0)</f>
        <v>2.4853982850751833E-4</v>
      </c>
      <c r="I497">
        <f>tinder[[#This Row],[Conversations]]/MAX(tinder[Conversations])</f>
        <v>1.5820281601012498E-4</v>
      </c>
      <c r="J497">
        <f>(tinder[[#This Row],[Norm Engagement]]*2)+(tinder[[#This Row],[Norm Swipes]]*1)+(tinder[[#This Row],[Norm Conversations]]*2)</f>
        <v>0.14400635130551398</v>
      </c>
      <c r="K49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97">
        <v>1</v>
      </c>
      <c r="M497">
        <v>0</v>
      </c>
      <c r="N497">
        <v>1</v>
      </c>
      <c r="O497">
        <v>4</v>
      </c>
      <c r="P497">
        <v>2</v>
      </c>
      <c r="Q497">
        <f>tinder[[#This Row],[All Swipes]]/MAX(tinder[All Swipes])</f>
        <v>2.7323942998246972E-2</v>
      </c>
      <c r="R497">
        <f>tinder[[#This Row],[Swipe Right (LIKE)]]+tinder[[#This Row],[Swipe Left (PASS)]]</f>
        <v>23193</v>
      </c>
      <c r="S497">
        <v>346</v>
      </c>
      <c r="T497">
        <v>22847</v>
      </c>
      <c r="U497" t="s">
        <v>85</v>
      </c>
      <c r="V497" s="1">
        <v>43059</v>
      </c>
      <c r="W497" t="s">
        <v>12</v>
      </c>
      <c r="X497" t="s">
        <v>1295</v>
      </c>
      <c r="Y497" t="s">
        <v>8</v>
      </c>
      <c r="Z497">
        <v>35</v>
      </c>
      <c r="AA497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498" spans="1:27" x14ac:dyDescent="0.3">
      <c r="A498" t="s">
        <v>273</v>
      </c>
      <c r="B498">
        <v>2260</v>
      </c>
      <c r="C498">
        <v>196</v>
      </c>
      <c r="D498">
        <f>IFERROR(tinder[[#This Row],[Tinder Opened]]/tinder[[#This Row],[Days on Tinder]],0)</f>
        <v>11.530612244897959</v>
      </c>
      <c r="E498">
        <f>tinder[[#This Row],[Engagement]]/MAX(tinder[Engagement])</f>
        <v>5.7942775099989748E-2</v>
      </c>
      <c r="F49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498">
        <v>315</v>
      </c>
      <c r="H498">
        <f>IFERROR(tinder[[#This Row],[Conversations]]/tinder[[#This Row],[Tinder Opened]],0)</f>
        <v>0.13938053097345132</v>
      </c>
      <c r="I498">
        <f>tinder[[#This Row],[Conversations]]/MAX(tinder[Conversations])</f>
        <v>2.4916943521594685E-2</v>
      </c>
      <c r="J498">
        <f>(tinder[[#This Row],[Norm Engagement]]*2)+(tinder[[#This Row],[Norm Swipes]]*1)+(tinder[[#This Row],[Norm Conversations]]*2)</f>
        <v>0.18508994863786452</v>
      </c>
      <c r="K49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98">
        <v>154</v>
      </c>
      <c r="M498">
        <v>7</v>
      </c>
      <c r="N498">
        <v>508</v>
      </c>
      <c r="O498">
        <v>1415</v>
      </c>
      <c r="P498">
        <v>1012</v>
      </c>
      <c r="Q498">
        <f>tinder[[#This Row],[All Swipes]]/MAX(tinder[All Swipes])</f>
        <v>1.9370511394695668E-2</v>
      </c>
      <c r="R498">
        <f>tinder[[#This Row],[Swipe Right (LIKE)]]+tinder[[#This Row],[Swipe Left (PASS)]]</f>
        <v>16442</v>
      </c>
      <c r="S498">
        <v>10194</v>
      </c>
      <c r="T498">
        <v>6248</v>
      </c>
      <c r="U498" t="s">
        <v>8</v>
      </c>
      <c r="V498" s="1">
        <v>43886</v>
      </c>
      <c r="W498" t="s">
        <v>12</v>
      </c>
      <c r="X498" t="s">
        <v>1295</v>
      </c>
      <c r="Y498" t="s">
        <v>8</v>
      </c>
      <c r="Z498">
        <v>18</v>
      </c>
      <c r="AA49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499" spans="1:27" x14ac:dyDescent="0.3">
      <c r="A499" t="s">
        <v>1003</v>
      </c>
      <c r="B499">
        <v>10614</v>
      </c>
      <c r="C499">
        <v>925</v>
      </c>
      <c r="D499">
        <f>IFERROR(tinder[[#This Row],[Tinder Opened]]/tinder[[#This Row],[Days on Tinder]],0)</f>
        <v>11.474594594594594</v>
      </c>
      <c r="E499">
        <f>tinder[[#This Row],[Engagement]]/MAX(tinder[Engagement])</f>
        <v>5.7661279369822079E-2</v>
      </c>
      <c r="F49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499">
        <v>672</v>
      </c>
      <c r="H499">
        <f>IFERROR(tinder[[#This Row],[Conversations]]/tinder[[#This Row],[Tinder Opened]],0)</f>
        <v>6.3312605992085921E-2</v>
      </c>
      <c r="I499">
        <f>tinder[[#This Row],[Conversations]]/MAX(tinder[Conversations])</f>
        <v>5.3156146179401995E-2</v>
      </c>
      <c r="J499">
        <f>(tinder[[#This Row],[Norm Engagement]]*2)+(tinder[[#This Row],[Norm Swipes]]*1)+(tinder[[#This Row],[Norm Conversations]]*2)</f>
        <v>0.40292384659334923</v>
      </c>
      <c r="K49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499">
        <v>142</v>
      </c>
      <c r="M499">
        <v>21</v>
      </c>
      <c r="N499">
        <v>760</v>
      </c>
      <c r="O499">
        <v>11887</v>
      </c>
      <c r="P499">
        <v>7459</v>
      </c>
      <c r="Q499">
        <f>tinder[[#This Row],[All Swipes]]/MAX(tinder[All Swipes])</f>
        <v>0.18128899549490113</v>
      </c>
      <c r="R499">
        <f>tinder[[#This Row],[Swipe Right (LIKE)]]+tinder[[#This Row],[Swipe Left (PASS)]]</f>
        <v>153881</v>
      </c>
      <c r="S499">
        <v>29984</v>
      </c>
      <c r="T499">
        <v>123897</v>
      </c>
      <c r="U499" t="s">
        <v>27</v>
      </c>
      <c r="V499" s="1">
        <v>41519</v>
      </c>
      <c r="W499" t="s">
        <v>7</v>
      </c>
      <c r="X499" t="s">
        <v>1295</v>
      </c>
      <c r="Y499" t="s">
        <v>1004</v>
      </c>
      <c r="Z499">
        <v>32</v>
      </c>
      <c r="AA499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500" spans="1:27" x14ac:dyDescent="0.3">
      <c r="A500" t="s">
        <v>1097</v>
      </c>
      <c r="B500">
        <v>10075</v>
      </c>
      <c r="C500">
        <v>880</v>
      </c>
      <c r="D500">
        <f>IFERROR(tinder[[#This Row],[Tinder Opened]]/tinder[[#This Row],[Days on Tinder]],0)</f>
        <v>11.448863636363637</v>
      </c>
      <c r="E500">
        <f>tinder[[#This Row],[Engagement]]/MAX(tinder[Engagement])</f>
        <v>5.753197807217908E-2</v>
      </c>
      <c r="F50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00">
        <v>1020</v>
      </c>
      <c r="H500">
        <f>IFERROR(tinder[[#This Row],[Conversations]]/tinder[[#This Row],[Tinder Opened]],0)</f>
        <v>0.10124069478908189</v>
      </c>
      <c r="I500">
        <f>tinder[[#This Row],[Conversations]]/MAX(tinder[Conversations])</f>
        <v>8.0683436165163741E-2</v>
      </c>
      <c r="J500">
        <f>(tinder[[#This Row],[Norm Engagement]]*2)+(tinder[[#This Row],[Norm Swipes]]*1)+(tinder[[#This Row],[Norm Conversations]]*2)</f>
        <v>0.44197671827883639</v>
      </c>
      <c r="K50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00">
        <v>163</v>
      </c>
      <c r="M500">
        <v>63</v>
      </c>
      <c r="N500">
        <v>2098</v>
      </c>
      <c r="O500">
        <v>8917</v>
      </c>
      <c r="P500">
        <v>13163</v>
      </c>
      <c r="Q500">
        <f>tinder[[#This Row],[All Swipes]]/MAX(tinder[All Swipes])</f>
        <v>0.16554588980415072</v>
      </c>
      <c r="R500">
        <f>tinder[[#This Row],[Swipe Right (LIKE)]]+tinder[[#This Row],[Swipe Left (PASS)]]</f>
        <v>140518</v>
      </c>
      <c r="S500">
        <v>4472</v>
      </c>
      <c r="T500">
        <v>136046</v>
      </c>
      <c r="U500" t="s">
        <v>465</v>
      </c>
      <c r="V500" s="1">
        <v>43232</v>
      </c>
      <c r="W500" t="s">
        <v>12</v>
      </c>
      <c r="X500" t="s">
        <v>1296</v>
      </c>
      <c r="Y500" t="s">
        <v>1098</v>
      </c>
      <c r="Z500">
        <v>23</v>
      </c>
      <c r="AA50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01" spans="1:27" x14ac:dyDescent="0.3">
      <c r="A501" t="s">
        <v>1135</v>
      </c>
      <c r="B501">
        <v>4351</v>
      </c>
      <c r="C501">
        <v>382</v>
      </c>
      <c r="D501">
        <f>IFERROR(tinder[[#This Row],[Tinder Opened]]/tinder[[#This Row],[Days on Tinder]],0)</f>
        <v>11.390052356020943</v>
      </c>
      <c r="E501">
        <f>tinder[[#This Row],[Engagement]]/MAX(tinder[Engagement])</f>
        <v>5.723644400010524E-2</v>
      </c>
      <c r="F50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01">
        <v>211</v>
      </c>
      <c r="H501">
        <f>IFERROR(tinder[[#This Row],[Conversations]]/tinder[[#This Row],[Tinder Opened]],0)</f>
        <v>4.8494598942771777E-2</v>
      </c>
      <c r="I501">
        <f>tinder[[#This Row],[Conversations]]/MAX(tinder[Conversations])</f>
        <v>1.6690397089068186E-2</v>
      </c>
      <c r="J501">
        <f>(tinder[[#This Row],[Norm Engagement]]*2)+(tinder[[#This Row],[Norm Swipes]]*1)+(tinder[[#This Row],[Norm Conversations]]*2)</f>
        <v>0.23974521108449376</v>
      </c>
      <c r="K50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01">
        <v>60</v>
      </c>
      <c r="M501">
        <v>16</v>
      </c>
      <c r="N501">
        <v>438</v>
      </c>
      <c r="O501">
        <v>2471</v>
      </c>
      <c r="P501">
        <v>2681</v>
      </c>
      <c r="Q501">
        <f>tinder[[#This Row],[All Swipes]]/MAX(tinder[All Swipes])</f>
        <v>9.1891528906146921E-2</v>
      </c>
      <c r="R501">
        <f>tinder[[#This Row],[Swipe Right (LIKE)]]+tinder[[#This Row],[Swipe Left (PASS)]]</f>
        <v>77999</v>
      </c>
      <c r="S501">
        <v>39026</v>
      </c>
      <c r="T501">
        <v>38973</v>
      </c>
      <c r="U501" t="s">
        <v>8</v>
      </c>
      <c r="V501" s="1">
        <v>43829</v>
      </c>
      <c r="W501" t="s">
        <v>12</v>
      </c>
      <c r="X501" t="s">
        <v>1295</v>
      </c>
      <c r="Y501" t="s">
        <v>331</v>
      </c>
      <c r="Z501">
        <v>32</v>
      </c>
      <c r="AA501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502" spans="1:27" x14ac:dyDescent="0.3">
      <c r="A502" t="s">
        <v>857</v>
      </c>
      <c r="B502">
        <v>10689</v>
      </c>
      <c r="C502">
        <v>941</v>
      </c>
      <c r="D502">
        <f>IFERROR(tinder[[#This Row],[Tinder Opened]]/tinder[[#This Row],[Days on Tinder]],0)</f>
        <v>11.359192348565356</v>
      </c>
      <c r="E502">
        <f>tinder[[#This Row],[Engagement]]/MAX(tinder[Engagement])</f>
        <v>5.7081368585755562E-2</v>
      </c>
      <c r="F50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02">
        <v>447</v>
      </c>
      <c r="H502">
        <f>IFERROR(tinder[[#This Row],[Conversations]]/tinder[[#This Row],[Tinder Opened]],0)</f>
        <v>4.1818692113387596E-2</v>
      </c>
      <c r="I502">
        <f>tinder[[#This Row],[Conversations]]/MAX(tinder[Conversations])</f>
        <v>3.5358329378262936E-2</v>
      </c>
      <c r="J502">
        <f>(tinder[[#This Row],[Norm Engagement]]*2)+(tinder[[#This Row],[Norm Swipes]]*1)+(tinder[[#This Row],[Norm Conversations]]*2)</f>
        <v>0.25165947547413414</v>
      </c>
      <c r="K50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02">
        <v>214</v>
      </c>
      <c r="M502">
        <v>11</v>
      </c>
      <c r="N502">
        <v>909</v>
      </c>
      <c r="O502">
        <v>1944</v>
      </c>
      <c r="P502">
        <v>1549</v>
      </c>
      <c r="Q502">
        <f>tinder[[#This Row],[All Swipes]]/MAX(tinder[All Swipes])</f>
        <v>6.6780079546097146E-2</v>
      </c>
      <c r="R502">
        <f>tinder[[#This Row],[Swipe Right (LIKE)]]+tinder[[#This Row],[Swipe Left (PASS)]]</f>
        <v>56684</v>
      </c>
      <c r="S502">
        <v>29909</v>
      </c>
      <c r="T502">
        <v>26775</v>
      </c>
      <c r="U502" t="s">
        <v>8</v>
      </c>
      <c r="V502" s="1">
        <v>42972</v>
      </c>
      <c r="W502" t="s">
        <v>12</v>
      </c>
      <c r="X502" t="s">
        <v>1295</v>
      </c>
      <c r="Y502" t="s">
        <v>8</v>
      </c>
      <c r="Z502">
        <v>18</v>
      </c>
      <c r="AA50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03" spans="1:27" x14ac:dyDescent="0.3">
      <c r="A503" t="s">
        <v>275</v>
      </c>
      <c r="B503">
        <v>3309</v>
      </c>
      <c r="C503">
        <v>292</v>
      </c>
      <c r="D503">
        <f>IFERROR(tinder[[#This Row],[Tinder Opened]]/tinder[[#This Row],[Days on Tinder]],0)</f>
        <v>11.332191780821917</v>
      </c>
      <c r="E503">
        <f>tinder[[#This Row],[Engagement]]/MAX(tinder[Engagement])</f>
        <v>5.6945687340813657E-2</v>
      </c>
      <c r="F50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03">
        <v>49</v>
      </c>
      <c r="H503">
        <f>IFERROR(tinder[[#This Row],[Conversations]]/tinder[[#This Row],[Tinder Opened]],0)</f>
        <v>1.4808099123602297E-2</v>
      </c>
      <c r="I503">
        <f>tinder[[#This Row],[Conversations]]/MAX(tinder[Conversations])</f>
        <v>3.875968992248062E-3</v>
      </c>
      <c r="J503">
        <f>(tinder[[#This Row],[Norm Engagement]]*2)+(tinder[[#This Row],[Norm Swipes]]*1)+(tinder[[#This Row],[Norm Conversations]]*2)</f>
        <v>0.15505809278336913</v>
      </c>
      <c r="K50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03">
        <v>19</v>
      </c>
      <c r="M503">
        <v>7</v>
      </c>
      <c r="N503">
        <v>354</v>
      </c>
      <c r="O503">
        <v>282</v>
      </c>
      <c r="P503">
        <v>254</v>
      </c>
      <c r="Q503">
        <f>tinder[[#This Row],[All Swipes]]/MAX(tinder[All Swipes])</f>
        <v>3.341478011724567E-2</v>
      </c>
      <c r="R503">
        <f>tinder[[#This Row],[Swipe Right (LIKE)]]+tinder[[#This Row],[Swipe Left (PASS)]]</f>
        <v>28363</v>
      </c>
      <c r="S503">
        <v>19894</v>
      </c>
      <c r="T503">
        <v>8469</v>
      </c>
      <c r="U503" t="s">
        <v>88</v>
      </c>
      <c r="V503" s="1">
        <v>43067</v>
      </c>
      <c r="W503" t="s">
        <v>7</v>
      </c>
      <c r="X503" t="s">
        <v>1295</v>
      </c>
      <c r="Y503" t="s">
        <v>8</v>
      </c>
      <c r="Z503">
        <v>22</v>
      </c>
      <c r="AA50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04" spans="1:27" x14ac:dyDescent="0.3">
      <c r="A504" t="s">
        <v>556</v>
      </c>
      <c r="B504">
        <v>10509</v>
      </c>
      <c r="C504">
        <v>933</v>
      </c>
      <c r="D504">
        <f>IFERROR(tinder[[#This Row],[Tinder Opened]]/tinder[[#This Row],[Days on Tinder]],0)</f>
        <v>11.263665594855306</v>
      </c>
      <c r="E504">
        <f>tinder[[#This Row],[Engagement]]/MAX(tinder[Engagement])</f>
        <v>5.6601334647514101E-2</v>
      </c>
      <c r="F50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04">
        <v>126</v>
      </c>
      <c r="H504">
        <f>IFERROR(tinder[[#This Row],[Conversations]]/tinder[[#This Row],[Tinder Opened]],0)</f>
        <v>1.1989723094490437E-2</v>
      </c>
      <c r="I504">
        <f>tinder[[#This Row],[Conversations]]/MAX(tinder[Conversations])</f>
        <v>9.9667774086378731E-3</v>
      </c>
      <c r="J504">
        <f>(tinder[[#This Row],[Norm Engagement]]*2)+(tinder[[#This Row],[Norm Swipes]]*1)+(tinder[[#This Row],[Norm Conversations]]*2)</f>
        <v>0.17311308599992151</v>
      </c>
      <c r="K50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04">
        <v>28</v>
      </c>
      <c r="M504">
        <v>3</v>
      </c>
      <c r="N504">
        <v>775</v>
      </c>
      <c r="O504">
        <v>3153</v>
      </c>
      <c r="P504">
        <v>2882</v>
      </c>
      <c r="Q504">
        <f>tinder[[#This Row],[All Swipes]]/MAX(tinder[All Swipes])</f>
        <v>3.9976861887617572E-2</v>
      </c>
      <c r="R504">
        <f>tinder[[#This Row],[Swipe Right (LIKE)]]+tinder[[#This Row],[Swipe Left (PASS)]]</f>
        <v>33933</v>
      </c>
      <c r="S504">
        <v>19742</v>
      </c>
      <c r="T504">
        <v>14191</v>
      </c>
      <c r="U504" t="s">
        <v>8</v>
      </c>
      <c r="V504" s="1">
        <v>42853</v>
      </c>
      <c r="W504" t="s">
        <v>12</v>
      </c>
      <c r="X504" t="s">
        <v>1295</v>
      </c>
      <c r="Y504" t="s">
        <v>8</v>
      </c>
      <c r="Z504">
        <v>21</v>
      </c>
      <c r="AA50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05" spans="1:27" x14ac:dyDescent="0.3">
      <c r="A505" t="s">
        <v>445</v>
      </c>
      <c r="B505">
        <v>5842</v>
      </c>
      <c r="C505">
        <v>519</v>
      </c>
      <c r="D505">
        <f>IFERROR(tinder[[#This Row],[Tinder Opened]]/tinder[[#This Row],[Days on Tinder]],0)</f>
        <v>11.25626204238921</v>
      </c>
      <c r="E505">
        <f>tinder[[#This Row],[Engagement]]/MAX(tinder[Engagement])</f>
        <v>5.6564130866277436E-2</v>
      </c>
      <c r="F50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05">
        <v>251</v>
      </c>
      <c r="H505">
        <f>IFERROR(tinder[[#This Row],[Conversations]]/tinder[[#This Row],[Tinder Opened]],0)</f>
        <v>4.2964738103389251E-2</v>
      </c>
      <c r="I505">
        <f>tinder[[#This Row],[Conversations]]/MAX(tinder[Conversations])</f>
        <v>1.9854453409270684E-2</v>
      </c>
      <c r="J505">
        <f>(tinder[[#This Row],[Norm Engagement]]*2)+(tinder[[#This Row],[Norm Swipes]]*1)+(tinder[[#This Row],[Norm Conversations]]*2)</f>
        <v>0.19006785223283645</v>
      </c>
      <c r="K50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05">
        <v>88</v>
      </c>
      <c r="M505">
        <v>3</v>
      </c>
      <c r="N505">
        <v>356</v>
      </c>
      <c r="O505">
        <v>2120</v>
      </c>
      <c r="P505">
        <v>1770</v>
      </c>
      <c r="Q505">
        <f>tinder[[#This Row],[All Swipes]]/MAX(tinder[All Swipes])</f>
        <v>3.7230683681740213E-2</v>
      </c>
      <c r="R505">
        <f>tinder[[#This Row],[Swipe Right (LIKE)]]+tinder[[#This Row],[Swipe Left (PASS)]]</f>
        <v>31602</v>
      </c>
      <c r="S505">
        <v>21081</v>
      </c>
      <c r="T505">
        <v>10521</v>
      </c>
      <c r="U505" t="s">
        <v>286</v>
      </c>
      <c r="V505" s="1">
        <v>42446</v>
      </c>
      <c r="W505" t="s">
        <v>7</v>
      </c>
      <c r="X505" t="s">
        <v>1295</v>
      </c>
      <c r="Y505" t="s">
        <v>8</v>
      </c>
      <c r="Z505">
        <v>18</v>
      </c>
      <c r="AA50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06" spans="1:27" x14ac:dyDescent="0.3">
      <c r="A506" t="s">
        <v>1206</v>
      </c>
      <c r="B506">
        <v>4373</v>
      </c>
      <c r="C506">
        <v>393</v>
      </c>
      <c r="D506">
        <f>IFERROR(tinder[[#This Row],[Tinder Opened]]/tinder[[#This Row],[Days on Tinder]],0)</f>
        <v>11.127226463104325</v>
      </c>
      <c r="E506">
        <f>tinder[[#This Row],[Engagement]]/MAX(tinder[Engagement])</f>
        <v>5.5915710869870981E-2</v>
      </c>
      <c r="F50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06">
        <v>171</v>
      </c>
      <c r="H506">
        <f>IFERROR(tinder[[#This Row],[Conversations]]/tinder[[#This Row],[Tinder Opened]],0)</f>
        <v>3.9103590212668647E-2</v>
      </c>
      <c r="I506">
        <f>tinder[[#This Row],[Conversations]]/MAX(tinder[Conversations])</f>
        <v>1.3526340768865686E-2</v>
      </c>
      <c r="J506">
        <f>(tinder[[#This Row],[Norm Engagement]]*2)+(tinder[[#This Row],[Norm Swipes]]*1)+(tinder[[#This Row],[Norm Conversations]]*2)</f>
        <v>0.16419700972598517</v>
      </c>
      <c r="K50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06">
        <v>39</v>
      </c>
      <c r="M506">
        <v>8</v>
      </c>
      <c r="N506">
        <v>302</v>
      </c>
      <c r="O506">
        <v>2031</v>
      </c>
      <c r="P506">
        <v>2089</v>
      </c>
      <c r="Q506">
        <f>tinder[[#This Row],[All Swipes]]/MAX(tinder[All Swipes])</f>
        <v>2.5312906448511811E-2</v>
      </c>
      <c r="R506">
        <f>tinder[[#This Row],[Swipe Right (LIKE)]]+tinder[[#This Row],[Swipe Left (PASS)]]</f>
        <v>21486</v>
      </c>
      <c r="S506">
        <v>11921</v>
      </c>
      <c r="T506">
        <v>9565</v>
      </c>
      <c r="U506" t="s">
        <v>8</v>
      </c>
      <c r="V506" s="1">
        <v>41937</v>
      </c>
      <c r="W506" t="s">
        <v>7</v>
      </c>
      <c r="X506" t="s">
        <v>1295</v>
      </c>
      <c r="Y506" t="s">
        <v>8</v>
      </c>
      <c r="Z506">
        <v>21</v>
      </c>
      <c r="AA50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07" spans="1:27" x14ac:dyDescent="0.3">
      <c r="A507" t="s">
        <v>998</v>
      </c>
      <c r="B507">
        <v>1688</v>
      </c>
      <c r="C507">
        <v>152</v>
      </c>
      <c r="D507">
        <f>IFERROR(tinder[[#This Row],[Tinder Opened]]/tinder[[#This Row],[Days on Tinder]],0)</f>
        <v>11.105263157894736</v>
      </c>
      <c r="E507">
        <f>tinder[[#This Row],[Engagement]]/MAX(tinder[Engagement])</f>
        <v>5.5805342501983601E-2</v>
      </c>
      <c r="F50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07">
        <v>127</v>
      </c>
      <c r="H507">
        <f>IFERROR(tinder[[#This Row],[Conversations]]/tinder[[#This Row],[Tinder Opened]],0)</f>
        <v>7.5236966824644549E-2</v>
      </c>
      <c r="I507">
        <f>tinder[[#This Row],[Conversations]]/MAX(tinder[Conversations])</f>
        <v>1.0045878816642937E-2</v>
      </c>
      <c r="J507">
        <f>(tinder[[#This Row],[Norm Engagement]]*2)+(tinder[[#This Row],[Norm Swipes]]*1)+(tinder[[#This Row],[Norm Conversations]]*2)</f>
        <v>0.18836961196488122</v>
      </c>
      <c r="K50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07">
        <v>30</v>
      </c>
      <c r="M507">
        <v>3</v>
      </c>
      <c r="N507">
        <v>226</v>
      </c>
      <c r="O507">
        <v>1251</v>
      </c>
      <c r="P507">
        <v>1299</v>
      </c>
      <c r="Q507">
        <f>tinder[[#This Row],[All Swipes]]/MAX(tinder[All Swipes])</f>
        <v>5.6667169327628129E-2</v>
      </c>
      <c r="R507">
        <f>tinder[[#This Row],[Swipe Right (LIKE)]]+tinder[[#This Row],[Swipe Left (PASS)]]</f>
        <v>48100</v>
      </c>
      <c r="S507">
        <v>7153</v>
      </c>
      <c r="T507">
        <v>40947</v>
      </c>
      <c r="U507" t="s">
        <v>8</v>
      </c>
      <c r="V507" s="1">
        <v>43512</v>
      </c>
      <c r="W507" t="s">
        <v>12</v>
      </c>
      <c r="X507" t="s">
        <v>1295</v>
      </c>
      <c r="Y507" t="s">
        <v>8</v>
      </c>
      <c r="Z507">
        <v>19</v>
      </c>
      <c r="AA50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08" spans="1:27" x14ac:dyDescent="0.3">
      <c r="A508" t="s">
        <v>349</v>
      </c>
      <c r="B508">
        <v>3298</v>
      </c>
      <c r="C508">
        <v>297</v>
      </c>
      <c r="D508">
        <f>IFERROR(tinder[[#This Row],[Tinder Opened]]/tinder[[#This Row],[Days on Tinder]],0)</f>
        <v>11.104377104377104</v>
      </c>
      <c r="E508">
        <f>tinder[[#This Row],[Engagement]]/MAX(tinder[Engagement])</f>
        <v>5.580088997174424E-2</v>
      </c>
      <c r="F50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08">
        <v>5</v>
      </c>
      <c r="H508">
        <f>IFERROR(tinder[[#This Row],[Conversations]]/tinder[[#This Row],[Tinder Opened]],0)</f>
        <v>1.5160703456640388E-3</v>
      </c>
      <c r="I508">
        <f>tinder[[#This Row],[Conversations]]/MAX(tinder[Conversations])</f>
        <v>3.9550704002531246E-4</v>
      </c>
      <c r="J508">
        <f>(tinder[[#This Row],[Norm Engagement]]*2)+(tinder[[#This Row],[Norm Swipes]]*1)+(tinder[[#This Row],[Norm Conversations]]*2)</f>
        <v>0.14057675851054216</v>
      </c>
      <c r="K50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08">
        <v>3</v>
      </c>
      <c r="M508">
        <v>0</v>
      </c>
      <c r="N508">
        <v>27</v>
      </c>
      <c r="O508">
        <v>25</v>
      </c>
      <c r="P508">
        <v>19</v>
      </c>
      <c r="Q508">
        <f>tinder[[#This Row],[All Swipes]]/MAX(tinder[All Swipes])</f>
        <v>2.8183964487003072E-2</v>
      </c>
      <c r="R508">
        <f>tinder[[#This Row],[Swipe Right (LIKE)]]+tinder[[#This Row],[Swipe Left (PASS)]]</f>
        <v>23923</v>
      </c>
      <c r="S508">
        <v>265</v>
      </c>
      <c r="T508">
        <v>23658</v>
      </c>
      <c r="U508" t="s">
        <v>8</v>
      </c>
      <c r="V508" s="1">
        <v>43914</v>
      </c>
      <c r="W508" t="s">
        <v>12</v>
      </c>
      <c r="X508" t="s">
        <v>1295</v>
      </c>
      <c r="Y508" t="s">
        <v>8</v>
      </c>
      <c r="Z508">
        <v>26</v>
      </c>
      <c r="AA50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09" spans="1:27" x14ac:dyDescent="0.3">
      <c r="A509" t="s">
        <v>1124</v>
      </c>
      <c r="B509">
        <v>4769</v>
      </c>
      <c r="C509">
        <v>430</v>
      </c>
      <c r="D509">
        <f>IFERROR(tinder[[#This Row],[Tinder Opened]]/tinder[[#This Row],[Days on Tinder]],0)</f>
        <v>11.090697674418605</v>
      </c>
      <c r="E509">
        <f>tinder[[#This Row],[Engagement]]/MAX(tinder[Engagement])</f>
        <v>5.5732149117681429E-2</v>
      </c>
      <c r="F50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09">
        <v>194</v>
      </c>
      <c r="H509">
        <f>IFERROR(tinder[[#This Row],[Conversations]]/tinder[[#This Row],[Tinder Opened]],0)</f>
        <v>4.0679387712308661E-2</v>
      </c>
      <c r="I509">
        <f>tinder[[#This Row],[Conversations]]/MAX(tinder[Conversations])</f>
        <v>1.5345673152982122E-2</v>
      </c>
      <c r="J509">
        <f>(tinder[[#This Row],[Norm Engagement]]*2)+(tinder[[#This Row],[Norm Swipes]]*1)+(tinder[[#This Row],[Norm Conversations]]*2)</f>
        <v>0.17738000411984586</v>
      </c>
      <c r="K50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09">
        <v>75</v>
      </c>
      <c r="M509">
        <v>17</v>
      </c>
      <c r="N509">
        <v>571</v>
      </c>
      <c r="O509">
        <v>961</v>
      </c>
      <c r="P509">
        <v>1258</v>
      </c>
      <c r="Q509">
        <f>tinder[[#This Row],[All Swipes]]/MAX(tinder[All Swipes])</f>
        <v>3.5224359578518785E-2</v>
      </c>
      <c r="R509">
        <f>tinder[[#This Row],[Swipe Right (LIKE)]]+tinder[[#This Row],[Swipe Left (PASS)]]</f>
        <v>29899</v>
      </c>
      <c r="S509">
        <v>1689</v>
      </c>
      <c r="T509">
        <v>28210</v>
      </c>
      <c r="U509" t="s">
        <v>88</v>
      </c>
      <c r="V509" s="1">
        <v>43710</v>
      </c>
      <c r="W509" t="s">
        <v>12</v>
      </c>
      <c r="X509" t="s">
        <v>1296</v>
      </c>
      <c r="Y509" t="s">
        <v>8</v>
      </c>
      <c r="Z509">
        <v>26</v>
      </c>
      <c r="AA50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10" spans="1:27" x14ac:dyDescent="0.3">
      <c r="A510" t="s">
        <v>882</v>
      </c>
      <c r="B510">
        <v>2206</v>
      </c>
      <c r="C510">
        <v>199</v>
      </c>
      <c r="D510">
        <f>IFERROR(tinder[[#This Row],[Tinder Opened]]/tinder[[#This Row],[Days on Tinder]],0)</f>
        <v>11.085427135678392</v>
      </c>
      <c r="E510">
        <f>tinder[[#This Row],[Engagement]]/MAX(tinder[Engagement])</f>
        <v>5.5705663998383878E-2</v>
      </c>
      <c r="F51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10">
        <v>18</v>
      </c>
      <c r="H510">
        <f>IFERROR(tinder[[#This Row],[Conversations]]/tinder[[#This Row],[Tinder Opened]],0)</f>
        <v>8.1595648232094288E-3</v>
      </c>
      <c r="I510">
        <f>tinder[[#This Row],[Conversations]]/MAX(tinder[Conversations])</f>
        <v>1.4238253440911248E-3</v>
      </c>
      <c r="J510">
        <f>(tinder[[#This Row],[Norm Engagement]]*2)+(tinder[[#This Row],[Norm Swipes]]*1)+(tinder[[#This Row],[Norm Conversations]]*2)</f>
        <v>0.19537078619093481</v>
      </c>
      <c r="K51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10">
        <v>1</v>
      </c>
      <c r="M510">
        <v>1</v>
      </c>
      <c r="N510">
        <v>55</v>
      </c>
      <c r="O510">
        <v>141</v>
      </c>
      <c r="P510">
        <v>63</v>
      </c>
      <c r="Q510">
        <f>tinder[[#This Row],[All Swipes]]/MAX(tinder[All Swipes])</f>
        <v>8.1111807505984804E-2</v>
      </c>
      <c r="R510">
        <f>tinder[[#This Row],[Swipe Right (LIKE)]]+tinder[[#This Row],[Swipe Left (PASS)]]</f>
        <v>68849</v>
      </c>
      <c r="S510">
        <v>1041</v>
      </c>
      <c r="T510">
        <v>67808</v>
      </c>
      <c r="U510" t="s">
        <v>883</v>
      </c>
      <c r="V510" s="1">
        <v>43849</v>
      </c>
      <c r="W510" t="s">
        <v>12</v>
      </c>
      <c r="X510" t="s">
        <v>1295</v>
      </c>
      <c r="Y510" t="s">
        <v>8</v>
      </c>
      <c r="Z510">
        <v>25</v>
      </c>
      <c r="AA51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11" spans="1:27" x14ac:dyDescent="0.3">
      <c r="A511" t="s">
        <v>370</v>
      </c>
      <c r="B511">
        <v>166</v>
      </c>
      <c r="C511">
        <v>15</v>
      </c>
      <c r="D511">
        <f>IFERROR(tinder[[#This Row],[Tinder Opened]]/tinder[[#This Row],[Days on Tinder]],0)</f>
        <v>11.066666666666666</v>
      </c>
      <c r="E511">
        <f>tinder[[#This Row],[Engagement]]/MAX(tinder[Engagement])</f>
        <v>5.5611390284757117E-2</v>
      </c>
      <c r="F51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11">
        <v>11</v>
      </c>
      <c r="H511">
        <f>IFERROR(tinder[[#This Row],[Conversations]]/tinder[[#This Row],[Tinder Opened]],0)</f>
        <v>6.6265060240963861E-2</v>
      </c>
      <c r="I511">
        <f>tinder[[#This Row],[Conversations]]/MAX(tinder[Conversations])</f>
        <v>8.7011548805568742E-4</v>
      </c>
      <c r="J511">
        <f>(tinder[[#This Row],[Norm Engagement]]*2)+(tinder[[#This Row],[Norm Swipes]]*1)+(tinder[[#This Row],[Norm Conversations]]*2)</f>
        <v>0.11489393650462733</v>
      </c>
      <c r="K51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11">
        <v>3</v>
      </c>
      <c r="M511">
        <v>5</v>
      </c>
      <c r="N511">
        <v>26</v>
      </c>
      <c r="O511">
        <v>67</v>
      </c>
      <c r="P511">
        <v>102</v>
      </c>
      <c r="Q511">
        <f>tinder[[#This Row],[All Swipes]]/MAX(tinder[All Swipes])</f>
        <v>1.9309249590017154E-3</v>
      </c>
      <c r="R511">
        <f>tinder[[#This Row],[Swipe Right (LIKE)]]+tinder[[#This Row],[Swipe Left (PASS)]]</f>
        <v>1639</v>
      </c>
      <c r="S511">
        <v>33</v>
      </c>
      <c r="T511">
        <v>1606</v>
      </c>
      <c r="U511" t="s">
        <v>8</v>
      </c>
      <c r="V511" s="1">
        <v>44182</v>
      </c>
      <c r="W511" t="s">
        <v>12</v>
      </c>
      <c r="X511" t="s">
        <v>1296</v>
      </c>
      <c r="Y511" t="s">
        <v>8</v>
      </c>
      <c r="Z511">
        <v>32</v>
      </c>
      <c r="AA511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512" spans="1:27" x14ac:dyDescent="0.3">
      <c r="A512" t="s">
        <v>972</v>
      </c>
      <c r="B512">
        <v>883</v>
      </c>
      <c r="C512">
        <v>80</v>
      </c>
      <c r="D512">
        <f>IFERROR(tinder[[#This Row],[Tinder Opened]]/tinder[[#This Row],[Days on Tinder]],0)</f>
        <v>11.0375</v>
      </c>
      <c r="E512">
        <f>tinder[[#This Row],[Engagement]]/MAX(tinder[Engagement])</f>
        <v>5.5464824120603017E-2</v>
      </c>
      <c r="F51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12">
        <v>16</v>
      </c>
      <c r="H512">
        <f>IFERROR(tinder[[#This Row],[Conversations]]/tinder[[#This Row],[Tinder Opened]],0)</f>
        <v>1.8120045300113252E-2</v>
      </c>
      <c r="I512">
        <f>tinder[[#This Row],[Conversations]]/MAX(tinder[Conversations])</f>
        <v>1.2656225280809998E-3</v>
      </c>
      <c r="J512">
        <f>(tinder[[#This Row],[Norm Engagement]]*2)+(tinder[[#This Row],[Norm Swipes]]*1)+(tinder[[#This Row],[Norm Conversations]]*2)</f>
        <v>0.12627285725657711</v>
      </c>
      <c r="K51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12">
        <v>5</v>
      </c>
      <c r="M512">
        <v>3</v>
      </c>
      <c r="N512">
        <v>122</v>
      </c>
      <c r="O512">
        <v>86</v>
      </c>
      <c r="P512">
        <v>69</v>
      </c>
      <c r="Q512">
        <f>tinder[[#This Row],[All Swipes]]/MAX(tinder[All Swipes])</f>
        <v>1.2811963959209064E-2</v>
      </c>
      <c r="R512">
        <f>tinder[[#This Row],[Swipe Right (LIKE)]]+tinder[[#This Row],[Swipe Left (PASS)]]</f>
        <v>10875</v>
      </c>
      <c r="S512">
        <v>3951</v>
      </c>
      <c r="T512">
        <v>6924</v>
      </c>
      <c r="U512" t="s">
        <v>10</v>
      </c>
      <c r="V512" s="1">
        <v>43217</v>
      </c>
      <c r="W512" t="s">
        <v>12</v>
      </c>
      <c r="X512" t="s">
        <v>1295</v>
      </c>
      <c r="Y512" t="s">
        <v>8</v>
      </c>
      <c r="Z512">
        <v>21</v>
      </c>
      <c r="AA51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13" spans="1:27" x14ac:dyDescent="0.3">
      <c r="A513" t="s">
        <v>937</v>
      </c>
      <c r="B513">
        <v>4954</v>
      </c>
      <c r="C513">
        <v>449</v>
      </c>
      <c r="D513">
        <f>IFERROR(tinder[[#This Row],[Tinder Opened]]/tinder[[#This Row],[Days on Tinder]],0)</f>
        <v>11.033407572383073</v>
      </c>
      <c r="E513">
        <f>tinder[[#This Row],[Engagement]]/MAX(tinder[Engagement])</f>
        <v>5.5444259157703887E-2</v>
      </c>
      <c r="F51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13">
        <v>247</v>
      </c>
      <c r="H513">
        <f>IFERROR(tinder[[#This Row],[Conversations]]/tinder[[#This Row],[Tinder Opened]],0)</f>
        <v>4.985870004037142E-2</v>
      </c>
      <c r="I513">
        <f>tinder[[#This Row],[Conversations]]/MAX(tinder[Conversations])</f>
        <v>1.9538047777250434E-2</v>
      </c>
      <c r="J513">
        <f>(tinder[[#This Row],[Norm Engagement]]*2)+(tinder[[#This Row],[Norm Swipes]]*1)+(tinder[[#This Row],[Norm Conversations]]*2)</f>
        <v>0.2822312063940835</v>
      </c>
      <c r="K51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13">
        <v>116</v>
      </c>
      <c r="M513">
        <v>5</v>
      </c>
      <c r="N513">
        <v>320</v>
      </c>
      <c r="O513">
        <v>1617</v>
      </c>
      <c r="P513">
        <v>1390</v>
      </c>
      <c r="Q513">
        <f>tinder[[#This Row],[All Swipes]]/MAX(tinder[All Swipes])</f>
        <v>0.13226659252417486</v>
      </c>
      <c r="R513">
        <f>tinder[[#This Row],[Swipe Right (LIKE)]]+tinder[[#This Row],[Swipe Left (PASS)]]</f>
        <v>112270</v>
      </c>
      <c r="S513">
        <v>57448</v>
      </c>
      <c r="T513">
        <v>54822</v>
      </c>
      <c r="U513" t="s">
        <v>311</v>
      </c>
      <c r="V513" s="1">
        <v>43715</v>
      </c>
      <c r="W513" t="s">
        <v>12</v>
      </c>
      <c r="X513" t="s">
        <v>1295</v>
      </c>
      <c r="Y513" t="s">
        <v>938</v>
      </c>
      <c r="Z513">
        <v>20</v>
      </c>
      <c r="AA51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14" spans="1:27" x14ac:dyDescent="0.3">
      <c r="A514" t="s">
        <v>897</v>
      </c>
      <c r="B514">
        <v>2117</v>
      </c>
      <c r="C514">
        <v>192</v>
      </c>
      <c r="D514">
        <f>IFERROR(tinder[[#This Row],[Tinder Opened]]/tinder[[#This Row],[Days on Tinder]],0)</f>
        <v>11.026041666666666</v>
      </c>
      <c r="E514">
        <f>tinder[[#This Row],[Engagement]]/MAX(tinder[Engagement])</f>
        <v>5.5407244556113899E-2</v>
      </c>
      <c r="F51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14">
        <v>203</v>
      </c>
      <c r="H514">
        <f>IFERROR(tinder[[#This Row],[Conversations]]/tinder[[#This Row],[Tinder Opened]],0)</f>
        <v>9.5890410958904104E-2</v>
      </c>
      <c r="I514">
        <f>tinder[[#This Row],[Conversations]]/MAX(tinder[Conversations])</f>
        <v>1.6057585825027684E-2</v>
      </c>
      <c r="J514">
        <f>(tinder[[#This Row],[Norm Engagement]]*2)+(tinder[[#This Row],[Norm Swipes]]*1)+(tinder[[#This Row],[Norm Conversations]]*2)</f>
        <v>0.16675932467059781</v>
      </c>
      <c r="K51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14">
        <v>88</v>
      </c>
      <c r="M514">
        <v>11</v>
      </c>
      <c r="N514">
        <v>522</v>
      </c>
      <c r="O514">
        <v>1492</v>
      </c>
      <c r="P514">
        <v>1729</v>
      </c>
      <c r="Q514">
        <f>tinder[[#This Row],[All Swipes]]/MAX(tinder[All Swipes])</f>
        <v>2.382966390831464E-2</v>
      </c>
      <c r="R514">
        <f>tinder[[#This Row],[Swipe Right (LIKE)]]+tinder[[#This Row],[Swipe Left (PASS)]]</f>
        <v>20227</v>
      </c>
      <c r="S514">
        <v>2152</v>
      </c>
      <c r="T514">
        <v>18075</v>
      </c>
      <c r="U514" t="s">
        <v>8</v>
      </c>
      <c r="V514" s="1">
        <v>43703</v>
      </c>
      <c r="W514" t="s">
        <v>12</v>
      </c>
      <c r="X514" t="s">
        <v>1296</v>
      </c>
      <c r="Y514" t="s">
        <v>8</v>
      </c>
      <c r="Z514">
        <v>21</v>
      </c>
      <c r="AA51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15" spans="1:27" x14ac:dyDescent="0.3">
      <c r="A515" t="s">
        <v>144</v>
      </c>
      <c r="B515">
        <v>2842</v>
      </c>
      <c r="C515">
        <v>258</v>
      </c>
      <c r="D515">
        <f>IFERROR(tinder[[#This Row],[Tinder Opened]]/tinder[[#This Row],[Days on Tinder]],0)</f>
        <v>11.015503875968992</v>
      </c>
      <c r="E515">
        <f>tinder[[#This Row],[Engagement]]/MAX(tinder[Engagement])</f>
        <v>5.5354290834015038E-2</v>
      </c>
      <c r="F51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15">
        <v>2</v>
      </c>
      <c r="H515">
        <f>IFERROR(tinder[[#This Row],[Conversations]]/tinder[[#This Row],[Tinder Opened]],0)</f>
        <v>7.0372976776917663E-4</v>
      </c>
      <c r="I515">
        <f>tinder[[#This Row],[Conversations]]/MAX(tinder[Conversations])</f>
        <v>1.5820281601012498E-4</v>
      </c>
      <c r="J515">
        <f>(tinder[[#This Row],[Norm Engagement]]*2)+(tinder[[#This Row],[Norm Swipes]]*1)+(tinder[[#This Row],[Norm Conversations]]*2)</f>
        <v>0.14120585099724739</v>
      </c>
      <c r="K51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15">
        <v>2</v>
      </c>
      <c r="M515">
        <v>0</v>
      </c>
      <c r="N515">
        <v>3</v>
      </c>
      <c r="O515">
        <v>2</v>
      </c>
      <c r="P515">
        <v>4</v>
      </c>
      <c r="Q515">
        <f>tinder[[#This Row],[All Swipes]]/MAX(tinder[All Swipes])</f>
        <v>3.0180863697197038E-2</v>
      </c>
      <c r="R515">
        <f>tinder[[#This Row],[Swipe Right (LIKE)]]+tinder[[#This Row],[Swipe Left (PASS)]]</f>
        <v>25618</v>
      </c>
      <c r="S515">
        <v>5412</v>
      </c>
      <c r="T515">
        <v>20206</v>
      </c>
      <c r="U515" t="s">
        <v>8</v>
      </c>
      <c r="V515" s="1">
        <v>43719</v>
      </c>
      <c r="W515" t="s">
        <v>12</v>
      </c>
      <c r="X515" t="s">
        <v>1295</v>
      </c>
      <c r="Y515" t="s">
        <v>145</v>
      </c>
      <c r="Z515">
        <v>26</v>
      </c>
      <c r="AA51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16" spans="1:27" x14ac:dyDescent="0.3">
      <c r="A516" t="s">
        <v>1240</v>
      </c>
      <c r="B516">
        <v>11</v>
      </c>
      <c r="C516">
        <v>1</v>
      </c>
      <c r="D516">
        <f>IFERROR(tinder[[#This Row],[Tinder Opened]]/tinder[[#This Row],[Days on Tinder]],0)</f>
        <v>11</v>
      </c>
      <c r="E516">
        <f>tinder[[#This Row],[Engagement]]/MAX(tinder[Engagement])</f>
        <v>5.5276381909547742E-2</v>
      </c>
      <c r="F51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16">
        <v>5</v>
      </c>
      <c r="H516">
        <f>IFERROR(tinder[[#This Row],[Conversations]]/tinder[[#This Row],[Tinder Opened]],0)</f>
        <v>0.45454545454545453</v>
      </c>
      <c r="I516">
        <f>tinder[[#This Row],[Conversations]]/MAX(tinder[Conversations])</f>
        <v>3.9550704002531246E-4</v>
      </c>
      <c r="J516">
        <f>(tinder[[#This Row],[Norm Engagement]]*2)+(tinder[[#This Row],[Norm Swipes]]*1)+(tinder[[#This Row],[Norm Conversations]]*2)</f>
        <v>0.11171606117373094</v>
      </c>
      <c r="K51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16">
        <v>1</v>
      </c>
      <c r="M516">
        <v>0</v>
      </c>
      <c r="N516">
        <v>0</v>
      </c>
      <c r="O516">
        <v>48</v>
      </c>
      <c r="P516">
        <v>36</v>
      </c>
      <c r="Q516">
        <f>tinder[[#This Row],[All Swipes]]/MAX(tinder[All Swipes])</f>
        <v>3.7228327458483344E-4</v>
      </c>
      <c r="R516">
        <f>tinder[[#This Row],[Swipe Right (LIKE)]]+tinder[[#This Row],[Swipe Left (PASS)]]</f>
        <v>316</v>
      </c>
      <c r="S516">
        <v>198</v>
      </c>
      <c r="T516">
        <v>118</v>
      </c>
      <c r="U516" t="s">
        <v>770</v>
      </c>
      <c r="V516" s="1">
        <v>44300</v>
      </c>
      <c r="W516" t="s">
        <v>12</v>
      </c>
      <c r="X516" t="s">
        <v>1295</v>
      </c>
      <c r="Y516" t="s">
        <v>66</v>
      </c>
      <c r="Z516">
        <v>24</v>
      </c>
      <c r="AA51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17" spans="1:27" x14ac:dyDescent="0.3">
      <c r="A517" t="s">
        <v>769</v>
      </c>
      <c r="B517">
        <v>3847</v>
      </c>
      <c r="C517">
        <v>352</v>
      </c>
      <c r="D517">
        <f>IFERROR(tinder[[#This Row],[Tinder Opened]]/tinder[[#This Row],[Days on Tinder]],0)</f>
        <v>10.928977272727273</v>
      </c>
      <c r="E517">
        <f>tinder[[#This Row],[Engagement]]/MAX(tinder[Engagement])</f>
        <v>5.4919483782549114E-2</v>
      </c>
      <c r="F51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17">
        <v>176</v>
      </c>
      <c r="H517">
        <f>IFERROR(tinder[[#This Row],[Conversations]]/tinder[[#This Row],[Tinder Opened]],0)</f>
        <v>4.5749935014296854E-2</v>
      </c>
      <c r="I517">
        <f>tinder[[#This Row],[Conversations]]/MAX(tinder[Conversations])</f>
        <v>1.3921847808890999E-2</v>
      </c>
      <c r="J517">
        <f>(tinder[[#This Row],[Norm Engagement]]*2)+(tinder[[#This Row],[Norm Swipes]]*1)+(tinder[[#This Row],[Norm Conversations]]*2)</f>
        <v>0.21423517868682926</v>
      </c>
      <c r="K51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17">
        <v>13</v>
      </c>
      <c r="M517">
        <v>49</v>
      </c>
      <c r="N517">
        <v>329</v>
      </c>
      <c r="O517">
        <v>4107</v>
      </c>
      <c r="P517">
        <v>3739</v>
      </c>
      <c r="Q517">
        <f>tinder[[#This Row],[All Swipes]]/MAX(tinder[All Swipes])</f>
        <v>7.6552515503949037E-2</v>
      </c>
      <c r="R517">
        <f>tinder[[#This Row],[Swipe Right (LIKE)]]+tinder[[#This Row],[Swipe Left (PASS)]]</f>
        <v>64979</v>
      </c>
      <c r="S517">
        <v>575</v>
      </c>
      <c r="T517">
        <v>64404</v>
      </c>
      <c r="U517" t="s">
        <v>8</v>
      </c>
      <c r="V517" s="1">
        <v>43401</v>
      </c>
      <c r="W517" t="s">
        <v>12</v>
      </c>
      <c r="X517" t="s">
        <v>1296</v>
      </c>
      <c r="Y517" t="s">
        <v>8</v>
      </c>
      <c r="Z517">
        <v>18</v>
      </c>
      <c r="AA51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18" spans="1:27" x14ac:dyDescent="0.3">
      <c r="A518" t="s">
        <v>872</v>
      </c>
      <c r="B518">
        <v>1790</v>
      </c>
      <c r="C518">
        <v>164</v>
      </c>
      <c r="D518">
        <f>IFERROR(tinder[[#This Row],[Tinder Opened]]/tinder[[#This Row],[Days on Tinder]],0)</f>
        <v>10.914634146341463</v>
      </c>
      <c r="E518">
        <f>tinder[[#This Row],[Engagement]]/MAX(tinder[Engagement])</f>
        <v>5.4847407770560117E-2</v>
      </c>
      <c r="F51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18">
        <v>82</v>
      </c>
      <c r="H518">
        <f>IFERROR(tinder[[#This Row],[Conversations]]/tinder[[#This Row],[Tinder Opened]],0)</f>
        <v>4.5810055865921788E-2</v>
      </c>
      <c r="I518">
        <f>tinder[[#This Row],[Conversations]]/MAX(tinder[Conversations])</f>
        <v>6.4863154564151239E-3</v>
      </c>
      <c r="J518">
        <f>(tinder[[#This Row],[Norm Engagement]]*2)+(tinder[[#This Row],[Norm Swipes]]*1)+(tinder[[#This Row],[Norm Conversations]]*2)</f>
        <v>0.13173537165799942</v>
      </c>
      <c r="K51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18">
        <v>22</v>
      </c>
      <c r="M518">
        <v>4</v>
      </c>
      <c r="N518">
        <v>89</v>
      </c>
      <c r="O518">
        <v>666</v>
      </c>
      <c r="P518">
        <v>573</v>
      </c>
      <c r="Q518">
        <f>tinder[[#This Row],[All Swipes]]/MAX(tinder[All Swipes])</f>
        <v>9.0679252040489332E-3</v>
      </c>
      <c r="R518">
        <f>tinder[[#This Row],[Swipe Right (LIKE)]]+tinder[[#This Row],[Swipe Left (PASS)]]</f>
        <v>7697</v>
      </c>
      <c r="S518">
        <v>1212</v>
      </c>
      <c r="T518">
        <v>6485</v>
      </c>
      <c r="U518" t="s">
        <v>10</v>
      </c>
      <c r="V518" s="1">
        <v>44070</v>
      </c>
      <c r="W518" t="s">
        <v>12</v>
      </c>
      <c r="X518" t="s">
        <v>1295</v>
      </c>
      <c r="Y518" t="s">
        <v>301</v>
      </c>
      <c r="Z518">
        <v>18</v>
      </c>
      <c r="AA51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19" spans="1:27" x14ac:dyDescent="0.3">
      <c r="A519" t="s">
        <v>726</v>
      </c>
      <c r="B519">
        <v>21488</v>
      </c>
      <c r="C519">
        <v>1977</v>
      </c>
      <c r="D519">
        <f>IFERROR(tinder[[#This Row],[Tinder Opened]]/tinder[[#This Row],[Days on Tinder]],0)</f>
        <v>10.868993424380374</v>
      </c>
      <c r="E519">
        <f>tinder[[#This Row],[Engagement]]/MAX(tinder[Engagement])</f>
        <v>5.4618057408946603E-2</v>
      </c>
      <c r="F51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19">
        <v>342</v>
      </c>
      <c r="H519">
        <f>IFERROR(tinder[[#This Row],[Conversations]]/tinder[[#This Row],[Tinder Opened]],0)</f>
        <v>1.5915860014892032E-2</v>
      </c>
      <c r="I519">
        <f>tinder[[#This Row],[Conversations]]/MAX(tinder[Conversations])</f>
        <v>2.7052681537731372E-2</v>
      </c>
      <c r="J519">
        <f>(tinder[[#This Row],[Norm Engagement]]*2)+(tinder[[#This Row],[Norm Swipes]]*1)+(tinder[[#This Row],[Norm Conversations]]*2)</f>
        <v>0.52135310821135183</v>
      </c>
      <c r="K51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19">
        <v>107</v>
      </c>
      <c r="M519">
        <v>49</v>
      </c>
      <c r="N519">
        <v>2304</v>
      </c>
      <c r="O519">
        <v>2923</v>
      </c>
      <c r="P519">
        <v>3029</v>
      </c>
      <c r="Q519">
        <f>tinder[[#This Row],[All Swipes]]/MAX(tinder[All Swipes])</f>
        <v>0.35801163031799588</v>
      </c>
      <c r="R519">
        <f>tinder[[#This Row],[Swipe Right (LIKE)]]+tinder[[#This Row],[Swipe Left (PASS)]]</f>
        <v>303886</v>
      </c>
      <c r="S519">
        <v>134734</v>
      </c>
      <c r="T519">
        <v>169152</v>
      </c>
      <c r="U519" t="s">
        <v>311</v>
      </c>
      <c r="V519" s="1">
        <v>42028</v>
      </c>
      <c r="W519" t="s">
        <v>7</v>
      </c>
      <c r="X519" t="s">
        <v>1295</v>
      </c>
      <c r="Y519" t="s">
        <v>8</v>
      </c>
      <c r="Z519">
        <v>19</v>
      </c>
      <c r="AA51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20" spans="1:27" x14ac:dyDescent="0.3">
      <c r="A520" t="s">
        <v>924</v>
      </c>
      <c r="B520">
        <v>1682</v>
      </c>
      <c r="C520">
        <v>155</v>
      </c>
      <c r="D520">
        <f>IFERROR(tinder[[#This Row],[Tinder Opened]]/tinder[[#This Row],[Days on Tinder]],0)</f>
        <v>10.851612903225806</v>
      </c>
      <c r="E520">
        <f>tinder[[#This Row],[Engagement]]/MAX(tinder[Engagement])</f>
        <v>5.4530718106662344E-2</v>
      </c>
      <c r="F52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20">
        <v>23</v>
      </c>
      <c r="H520">
        <f>IFERROR(tinder[[#This Row],[Conversations]]/tinder[[#This Row],[Tinder Opened]],0)</f>
        <v>1.3674197384066587E-2</v>
      </c>
      <c r="I520">
        <f>tinder[[#This Row],[Conversations]]/MAX(tinder[Conversations])</f>
        <v>1.8193323841164373E-3</v>
      </c>
      <c r="J520">
        <f>(tinder[[#This Row],[Norm Engagement]]*2)+(tinder[[#This Row],[Norm Swipes]]*1)+(tinder[[#This Row],[Norm Conversations]]*2)</f>
        <v>0.13288468751150045</v>
      </c>
      <c r="K52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20">
        <v>4</v>
      </c>
      <c r="M520">
        <v>1</v>
      </c>
      <c r="N520">
        <v>61</v>
      </c>
      <c r="O520">
        <v>177</v>
      </c>
      <c r="P520">
        <v>208</v>
      </c>
      <c r="Q520">
        <f>tinder[[#This Row],[All Swipes]]/MAX(tinder[All Swipes])</f>
        <v>2.0184586529942886E-2</v>
      </c>
      <c r="R520">
        <f>tinder[[#This Row],[Swipe Right (LIKE)]]+tinder[[#This Row],[Swipe Left (PASS)]]</f>
        <v>17133</v>
      </c>
      <c r="S520">
        <v>3847</v>
      </c>
      <c r="T520">
        <v>13286</v>
      </c>
      <c r="U520" t="s">
        <v>10</v>
      </c>
      <c r="V520" s="1">
        <v>43869</v>
      </c>
      <c r="W520" t="s">
        <v>12</v>
      </c>
      <c r="X520" t="s">
        <v>1295</v>
      </c>
      <c r="Y520" t="s">
        <v>8</v>
      </c>
      <c r="Z520">
        <v>30</v>
      </c>
      <c r="AA52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21" spans="1:27" x14ac:dyDescent="0.3">
      <c r="A521" t="s">
        <v>1241</v>
      </c>
      <c r="B521">
        <v>6472</v>
      </c>
      <c r="C521">
        <v>597</v>
      </c>
      <c r="D521">
        <f>IFERROR(tinder[[#This Row],[Tinder Opened]]/tinder[[#This Row],[Days on Tinder]],0)</f>
        <v>10.840871021775545</v>
      </c>
      <c r="E521">
        <f>tinder[[#This Row],[Engagement]]/MAX(tinder[Engagement])</f>
        <v>5.4476738802892187E-2</v>
      </c>
      <c r="F52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21">
        <v>37</v>
      </c>
      <c r="H521">
        <f>IFERROR(tinder[[#This Row],[Conversations]]/tinder[[#This Row],[Tinder Opened]],0)</f>
        <v>5.7169344870210137E-3</v>
      </c>
      <c r="I521">
        <f>tinder[[#This Row],[Conversations]]/MAX(tinder[Conversations])</f>
        <v>2.9267520961873119E-3</v>
      </c>
      <c r="J521">
        <f>(tinder[[#This Row],[Norm Engagement]]*2)+(tinder[[#This Row],[Norm Swipes]]*1)+(tinder[[#This Row],[Norm Conversations]]*2)</f>
        <v>0.14021767151183076</v>
      </c>
      <c r="K52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21">
        <v>7</v>
      </c>
      <c r="M521">
        <v>2</v>
      </c>
      <c r="N521">
        <v>181</v>
      </c>
      <c r="O521">
        <v>1198</v>
      </c>
      <c r="P521">
        <v>1126</v>
      </c>
      <c r="Q521">
        <f>tinder[[#This Row],[All Swipes]]/MAX(tinder[All Swipes])</f>
        <v>2.541068971367175E-2</v>
      </c>
      <c r="R521">
        <f>tinder[[#This Row],[Swipe Right (LIKE)]]+tinder[[#This Row],[Swipe Left (PASS)]]</f>
        <v>21569</v>
      </c>
      <c r="S521">
        <v>393</v>
      </c>
      <c r="T521">
        <v>21176</v>
      </c>
      <c r="U521" t="s">
        <v>238</v>
      </c>
      <c r="V521" s="1">
        <v>42996</v>
      </c>
      <c r="W521" t="s">
        <v>7</v>
      </c>
      <c r="X521" t="s">
        <v>1296</v>
      </c>
      <c r="Y521" t="s">
        <v>8</v>
      </c>
      <c r="Z521">
        <v>21</v>
      </c>
      <c r="AA52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22" spans="1:27" x14ac:dyDescent="0.3">
      <c r="A522" t="s">
        <v>1041</v>
      </c>
      <c r="B522">
        <v>7888</v>
      </c>
      <c r="C522">
        <v>728</v>
      </c>
      <c r="D522">
        <f>IFERROR(tinder[[#This Row],[Tinder Opened]]/tinder[[#This Row],[Days on Tinder]],0)</f>
        <v>10.835164835164836</v>
      </c>
      <c r="E522">
        <f>tinder[[#This Row],[Engagement]]/MAX(tinder[Engagement])</f>
        <v>5.4448064498315754E-2</v>
      </c>
      <c r="F52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22">
        <v>547</v>
      </c>
      <c r="H522">
        <f>IFERROR(tinder[[#This Row],[Conversations]]/tinder[[#This Row],[Tinder Opened]],0)</f>
        <v>6.9345841784989856E-2</v>
      </c>
      <c r="I522">
        <f>tinder[[#This Row],[Conversations]]/MAX(tinder[Conversations])</f>
        <v>4.3268470178769183E-2</v>
      </c>
      <c r="J522">
        <f>(tinder[[#This Row],[Norm Engagement]]*2)+(tinder[[#This Row],[Norm Swipes]]*1)+(tinder[[#This Row],[Norm Conversations]]*2)</f>
        <v>0.30802755390677017</v>
      </c>
      <c r="K52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22">
        <v>253</v>
      </c>
      <c r="M522">
        <v>22</v>
      </c>
      <c r="N522">
        <v>608</v>
      </c>
      <c r="O522">
        <v>2692</v>
      </c>
      <c r="P522">
        <v>1925</v>
      </c>
      <c r="Q522">
        <f>tinder[[#This Row],[All Swipes]]/MAX(tinder[All Swipes])</f>
        <v>0.11259448455260032</v>
      </c>
      <c r="R522">
        <f>tinder[[#This Row],[Swipe Right (LIKE)]]+tinder[[#This Row],[Swipe Left (PASS)]]</f>
        <v>95572</v>
      </c>
      <c r="S522">
        <v>29527</v>
      </c>
      <c r="T522">
        <v>66045</v>
      </c>
      <c r="U522" t="s">
        <v>10</v>
      </c>
      <c r="V522" s="1">
        <v>43502</v>
      </c>
      <c r="W522" t="s">
        <v>12</v>
      </c>
      <c r="X522" t="s">
        <v>1295</v>
      </c>
      <c r="Y522" t="s">
        <v>8</v>
      </c>
      <c r="Z522">
        <v>18</v>
      </c>
      <c r="AA52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23" spans="1:27" x14ac:dyDescent="0.3">
      <c r="A523" t="s">
        <v>541</v>
      </c>
      <c r="B523">
        <v>3452</v>
      </c>
      <c r="C523">
        <v>319</v>
      </c>
      <c r="D523">
        <f>IFERROR(tinder[[#This Row],[Tinder Opened]]/tinder[[#This Row],[Days on Tinder]],0)</f>
        <v>10.821316614420063</v>
      </c>
      <c r="E523">
        <f>tinder[[#This Row],[Engagement]]/MAX(tinder[Engagement])</f>
        <v>5.4378475449347048E-2</v>
      </c>
      <c r="F52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23">
        <v>140</v>
      </c>
      <c r="H523">
        <f>IFERROR(tinder[[#This Row],[Conversations]]/tinder[[#This Row],[Tinder Opened]],0)</f>
        <v>4.0556199304750871E-2</v>
      </c>
      <c r="I523">
        <f>tinder[[#This Row],[Conversations]]/MAX(tinder[Conversations])</f>
        <v>1.1074197120708749E-2</v>
      </c>
      <c r="J523">
        <f>(tinder[[#This Row],[Norm Engagement]]*2)+(tinder[[#This Row],[Norm Swipes]]*1)+(tinder[[#This Row],[Norm Conversations]]*2)</f>
        <v>0.13942309221368232</v>
      </c>
      <c r="K52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23">
        <v>57</v>
      </c>
      <c r="M523">
        <v>21</v>
      </c>
      <c r="N523">
        <v>740</v>
      </c>
      <c r="O523">
        <v>573</v>
      </c>
      <c r="P523">
        <v>578</v>
      </c>
      <c r="Q523">
        <f>tinder[[#This Row],[All Swipes]]/MAX(tinder[All Swipes])</f>
        <v>8.5177470735707146E-3</v>
      </c>
      <c r="R523">
        <f>tinder[[#This Row],[Swipe Right (LIKE)]]+tinder[[#This Row],[Swipe Left (PASS)]]</f>
        <v>7230</v>
      </c>
      <c r="S523">
        <v>6214</v>
      </c>
      <c r="T523">
        <v>1016</v>
      </c>
      <c r="U523" t="s">
        <v>10</v>
      </c>
      <c r="V523" s="1">
        <v>43667</v>
      </c>
      <c r="W523" t="s">
        <v>12</v>
      </c>
      <c r="X523" t="s">
        <v>1295</v>
      </c>
      <c r="Y523" t="s">
        <v>8</v>
      </c>
      <c r="Z523">
        <v>21</v>
      </c>
      <c r="AA52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24" spans="1:27" x14ac:dyDescent="0.3">
      <c r="A524" t="s">
        <v>276</v>
      </c>
      <c r="B524">
        <v>3289</v>
      </c>
      <c r="C524">
        <v>304</v>
      </c>
      <c r="D524">
        <f>IFERROR(tinder[[#This Row],[Tinder Opened]]/tinder[[#This Row],[Days on Tinder]],0)</f>
        <v>10.819078947368421</v>
      </c>
      <c r="E524">
        <f>tinder[[#This Row],[Engagement]]/MAX(tinder[Engagement])</f>
        <v>5.43672308912986E-2</v>
      </c>
      <c r="F52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24">
        <v>110</v>
      </c>
      <c r="H524">
        <f>IFERROR(tinder[[#This Row],[Conversations]]/tinder[[#This Row],[Tinder Opened]],0)</f>
        <v>3.3444816053511704E-2</v>
      </c>
      <c r="I524">
        <f>tinder[[#This Row],[Conversations]]/MAX(tinder[Conversations])</f>
        <v>8.7011548805568731E-3</v>
      </c>
      <c r="J524">
        <f>(tinder[[#This Row],[Norm Engagement]]*2)+(tinder[[#This Row],[Norm Swipes]]*1)+(tinder[[#This Row],[Norm Conversations]]*2)</f>
        <v>0.18911861919974005</v>
      </c>
      <c r="K52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24">
        <v>63</v>
      </c>
      <c r="M524">
        <v>2</v>
      </c>
      <c r="N524">
        <v>193</v>
      </c>
      <c r="O524">
        <v>216</v>
      </c>
      <c r="P524">
        <v>122</v>
      </c>
      <c r="Q524">
        <f>tinder[[#This Row],[All Swipes]]/MAX(tinder[All Swipes])</f>
        <v>6.29818476560291E-2</v>
      </c>
      <c r="R524">
        <f>tinder[[#This Row],[Swipe Right (LIKE)]]+tinder[[#This Row],[Swipe Left (PASS)]]</f>
        <v>53460</v>
      </c>
      <c r="S524">
        <v>6883</v>
      </c>
      <c r="T524">
        <v>46577</v>
      </c>
      <c r="U524" t="s">
        <v>8</v>
      </c>
      <c r="V524" s="1">
        <v>43744</v>
      </c>
      <c r="W524" t="s">
        <v>12</v>
      </c>
      <c r="X524" t="s">
        <v>1295</v>
      </c>
      <c r="Y524" t="s">
        <v>8</v>
      </c>
      <c r="Z524">
        <v>19</v>
      </c>
      <c r="AA52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25" spans="1:27" x14ac:dyDescent="0.3">
      <c r="A525" t="s">
        <v>553</v>
      </c>
      <c r="B525">
        <v>9109</v>
      </c>
      <c r="C525">
        <v>842</v>
      </c>
      <c r="D525">
        <f>IFERROR(tinder[[#This Row],[Tinder Opened]]/tinder[[#This Row],[Days on Tinder]],0)</f>
        <v>10.818289786223279</v>
      </c>
      <c r="E525">
        <f>tinder[[#This Row],[Engagement]]/MAX(tinder[Engagement])</f>
        <v>5.4363265257403412E-2</v>
      </c>
      <c r="F52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25">
        <v>404</v>
      </c>
      <c r="H525">
        <f>IFERROR(tinder[[#This Row],[Conversations]]/tinder[[#This Row],[Tinder Opened]],0)</f>
        <v>4.435174003732572E-2</v>
      </c>
      <c r="I525">
        <f>tinder[[#This Row],[Conversations]]/MAX(tinder[Conversations])</f>
        <v>3.1956968834045245E-2</v>
      </c>
      <c r="J525">
        <f>(tinder[[#This Row],[Norm Engagement]]*2)+(tinder[[#This Row],[Norm Swipes]]*1)+(tinder[[#This Row],[Norm Conversations]]*2)</f>
        <v>0.28447507073515838</v>
      </c>
      <c r="K52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25">
        <v>63</v>
      </c>
      <c r="M525">
        <v>137</v>
      </c>
      <c r="N525">
        <v>1202</v>
      </c>
      <c r="O525">
        <v>3411</v>
      </c>
      <c r="P525">
        <v>3543</v>
      </c>
      <c r="Q525">
        <f>tinder[[#This Row],[All Swipes]]/MAX(tinder[All Swipes])</f>
        <v>0.11183460255226103</v>
      </c>
      <c r="R525">
        <f>tinder[[#This Row],[Swipe Right (LIKE)]]+tinder[[#This Row],[Swipe Left (PASS)]]</f>
        <v>94927</v>
      </c>
      <c r="S525">
        <v>2377</v>
      </c>
      <c r="T525">
        <v>92550</v>
      </c>
      <c r="U525" t="s">
        <v>6</v>
      </c>
      <c r="V525" s="1">
        <v>42256</v>
      </c>
      <c r="W525" t="s">
        <v>7</v>
      </c>
      <c r="X525" t="s">
        <v>1296</v>
      </c>
      <c r="Y525" t="s">
        <v>554</v>
      </c>
      <c r="Z525">
        <v>18</v>
      </c>
      <c r="AA52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26" spans="1:27" x14ac:dyDescent="0.3">
      <c r="A526" t="s">
        <v>159</v>
      </c>
      <c r="B526">
        <v>1609</v>
      </c>
      <c r="C526">
        <v>149</v>
      </c>
      <c r="D526">
        <f>IFERROR(tinder[[#This Row],[Tinder Opened]]/tinder[[#This Row],[Days on Tinder]],0)</f>
        <v>10.798657718120806</v>
      </c>
      <c r="E526">
        <f>tinder[[#This Row],[Engagement]]/MAX(tinder[Engagement])</f>
        <v>5.4264611648848271E-2</v>
      </c>
      <c r="F52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26">
        <v>42</v>
      </c>
      <c r="H526">
        <f>IFERROR(tinder[[#This Row],[Conversations]]/tinder[[#This Row],[Tinder Opened]],0)</f>
        <v>2.610316967060286E-2</v>
      </c>
      <c r="I526">
        <f>tinder[[#This Row],[Conversations]]/MAX(tinder[Conversations])</f>
        <v>3.3222591362126247E-3</v>
      </c>
      <c r="J526">
        <f>(tinder[[#This Row],[Norm Engagement]]*2)+(tinder[[#This Row],[Norm Swipes]]*1)+(tinder[[#This Row],[Norm Conversations]]*2)</f>
        <v>0.13925905570180638</v>
      </c>
      <c r="K52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26">
        <v>21</v>
      </c>
      <c r="M526">
        <v>3</v>
      </c>
      <c r="N526">
        <v>125</v>
      </c>
      <c r="O526">
        <v>105</v>
      </c>
      <c r="P526">
        <v>80</v>
      </c>
      <c r="Q526">
        <f>tinder[[#This Row],[All Swipes]]/MAX(tinder[All Swipes])</f>
        <v>2.4085314131684604E-2</v>
      </c>
      <c r="R526">
        <f>tinder[[#This Row],[Swipe Right (LIKE)]]+tinder[[#This Row],[Swipe Left (PASS)]]</f>
        <v>20444</v>
      </c>
      <c r="S526">
        <v>10692</v>
      </c>
      <c r="T526">
        <v>9752</v>
      </c>
      <c r="U526" t="s">
        <v>8</v>
      </c>
      <c r="V526" s="1">
        <v>43807</v>
      </c>
      <c r="W526" t="s">
        <v>12</v>
      </c>
      <c r="X526" t="s">
        <v>1295</v>
      </c>
      <c r="Y526" t="s">
        <v>8</v>
      </c>
      <c r="Z526">
        <v>21</v>
      </c>
      <c r="AA52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27" spans="1:27" x14ac:dyDescent="0.3">
      <c r="A527" t="s">
        <v>651</v>
      </c>
      <c r="B527">
        <v>1189</v>
      </c>
      <c r="C527">
        <v>111</v>
      </c>
      <c r="D527">
        <f>IFERROR(tinder[[#This Row],[Tinder Opened]]/tinder[[#This Row],[Days on Tinder]],0)</f>
        <v>10.711711711711711</v>
      </c>
      <c r="E527">
        <f>tinder[[#This Row],[Engagement]]/MAX(tinder[Engagement])</f>
        <v>5.3827697043777441E-2</v>
      </c>
      <c r="F52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27">
        <v>41</v>
      </c>
      <c r="H527">
        <f>IFERROR(tinder[[#This Row],[Conversations]]/tinder[[#This Row],[Tinder Opened]],0)</f>
        <v>3.4482758620689655E-2</v>
      </c>
      <c r="I527">
        <f>tinder[[#This Row],[Conversations]]/MAX(tinder[Conversations])</f>
        <v>3.2431577282075619E-3</v>
      </c>
      <c r="J527">
        <f>(tinder[[#This Row],[Norm Engagement]]*2)+(tinder[[#This Row],[Norm Swipes]]*1)+(tinder[[#This Row],[Norm Conversations]]*2)</f>
        <v>0.12809172933624535</v>
      </c>
      <c r="K52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27">
        <v>7</v>
      </c>
      <c r="M527">
        <v>0</v>
      </c>
      <c r="N527">
        <v>49</v>
      </c>
      <c r="O527">
        <v>720</v>
      </c>
      <c r="P527">
        <v>674</v>
      </c>
      <c r="Q527">
        <f>tinder[[#This Row],[All Swipes]]/MAX(tinder[All Swipes])</f>
        <v>1.3950019792275357E-2</v>
      </c>
      <c r="R527">
        <f>tinder[[#This Row],[Swipe Right (LIKE)]]+tinder[[#This Row],[Swipe Left (PASS)]]</f>
        <v>11841</v>
      </c>
      <c r="S527">
        <v>3332</v>
      </c>
      <c r="T527">
        <v>8509</v>
      </c>
      <c r="U527" t="s">
        <v>45</v>
      </c>
      <c r="V527" s="1">
        <v>44187</v>
      </c>
      <c r="W527" t="s">
        <v>12</v>
      </c>
      <c r="X527" t="s">
        <v>1295</v>
      </c>
      <c r="Y527" t="s">
        <v>652</v>
      </c>
      <c r="Z527">
        <v>29</v>
      </c>
      <c r="AA52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28" spans="1:27" x14ac:dyDescent="0.3">
      <c r="A528" t="s">
        <v>898</v>
      </c>
      <c r="B528">
        <v>1419</v>
      </c>
      <c r="C528">
        <v>133</v>
      </c>
      <c r="D528">
        <f>IFERROR(tinder[[#This Row],[Tinder Opened]]/tinder[[#This Row],[Days on Tinder]],0)</f>
        <v>10.669172932330827</v>
      </c>
      <c r="E528">
        <f>tinder[[#This Row],[Engagement]]/MAX(tinder[Engagement])</f>
        <v>5.3613934333320741E-2</v>
      </c>
      <c r="F52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28">
        <v>66</v>
      </c>
      <c r="H528">
        <f>IFERROR(tinder[[#This Row],[Conversations]]/tinder[[#This Row],[Tinder Opened]],0)</f>
        <v>4.6511627906976744E-2</v>
      </c>
      <c r="I528">
        <f>tinder[[#This Row],[Conversations]]/MAX(tinder[Conversations])</f>
        <v>5.2206929283341247E-3</v>
      </c>
      <c r="J528">
        <f>(tinder[[#This Row],[Norm Engagement]]*2)+(tinder[[#This Row],[Norm Swipes]]*1)+(tinder[[#This Row],[Norm Conversations]]*2)</f>
        <v>0.13200922926459643</v>
      </c>
      <c r="K52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28">
        <v>17</v>
      </c>
      <c r="M528">
        <v>1</v>
      </c>
      <c r="N528">
        <v>152</v>
      </c>
      <c r="O528">
        <v>2110</v>
      </c>
      <c r="P528">
        <v>1600</v>
      </c>
      <c r="Q528">
        <f>tinder[[#This Row],[All Swipes]]/MAX(tinder[All Swipes])</f>
        <v>1.4339974741286687E-2</v>
      </c>
      <c r="R528">
        <f>tinder[[#This Row],[Swipe Right (LIKE)]]+tinder[[#This Row],[Swipe Left (PASS)]]</f>
        <v>12172</v>
      </c>
      <c r="S528">
        <v>1588</v>
      </c>
      <c r="T528">
        <v>10584</v>
      </c>
      <c r="U528" t="s">
        <v>8</v>
      </c>
      <c r="V528" s="1">
        <v>43818</v>
      </c>
      <c r="W528" t="s">
        <v>12</v>
      </c>
      <c r="X528" t="s">
        <v>1295</v>
      </c>
      <c r="Y528" t="s">
        <v>8</v>
      </c>
      <c r="Z528">
        <v>28</v>
      </c>
      <c r="AA52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29" spans="1:27" x14ac:dyDescent="0.3">
      <c r="A529" t="s">
        <v>63</v>
      </c>
      <c r="B529">
        <v>3187</v>
      </c>
      <c r="C529">
        <v>299</v>
      </c>
      <c r="D529">
        <f>IFERROR(tinder[[#This Row],[Tinder Opened]]/tinder[[#This Row],[Days on Tinder]],0)</f>
        <v>10.658862876254181</v>
      </c>
      <c r="E529">
        <f>tinder[[#This Row],[Engagement]]/MAX(tinder[Engagement])</f>
        <v>5.3562125006302419E-2</v>
      </c>
      <c r="F52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29">
        <v>73</v>
      </c>
      <c r="H529">
        <f>IFERROR(tinder[[#This Row],[Conversations]]/tinder[[#This Row],[Tinder Opened]],0)</f>
        <v>2.2905553812362724E-2</v>
      </c>
      <c r="I529">
        <f>tinder[[#This Row],[Conversations]]/MAX(tinder[Conversations])</f>
        <v>5.774402784369562E-3</v>
      </c>
      <c r="J529">
        <f>(tinder[[#This Row],[Norm Engagement]]*2)+(tinder[[#This Row],[Norm Swipes]]*1)+(tinder[[#This Row],[Norm Conversations]]*2)</f>
        <v>0.13608554544958396</v>
      </c>
      <c r="K52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29">
        <v>7</v>
      </c>
      <c r="M529">
        <v>1</v>
      </c>
      <c r="N529">
        <v>141</v>
      </c>
      <c r="O529">
        <v>986</v>
      </c>
      <c r="P529">
        <v>636</v>
      </c>
      <c r="Q529">
        <f>tinder[[#This Row],[All Swipes]]/MAX(tinder[All Swipes])</f>
        <v>1.7412489868239997E-2</v>
      </c>
      <c r="R529">
        <f>tinder[[#This Row],[Swipe Right (LIKE)]]+tinder[[#This Row],[Swipe Left (PASS)]]</f>
        <v>14780</v>
      </c>
      <c r="S529">
        <v>9198</v>
      </c>
      <c r="T529">
        <v>5582</v>
      </c>
      <c r="U529" t="s">
        <v>45</v>
      </c>
      <c r="V529" s="1">
        <v>43275</v>
      </c>
      <c r="W529" t="s">
        <v>12</v>
      </c>
      <c r="X529" t="s">
        <v>1295</v>
      </c>
      <c r="Y529" t="s">
        <v>8</v>
      </c>
      <c r="Z529">
        <v>19</v>
      </c>
      <c r="AA52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30" spans="1:27" x14ac:dyDescent="0.3">
      <c r="A530" t="s">
        <v>717</v>
      </c>
      <c r="B530">
        <v>4864</v>
      </c>
      <c r="C530">
        <v>457</v>
      </c>
      <c r="D530">
        <f>IFERROR(tinder[[#This Row],[Tinder Opened]]/tinder[[#This Row],[Days on Tinder]],0)</f>
        <v>10.643326039387308</v>
      </c>
      <c r="E530">
        <f>tinder[[#This Row],[Engagement]]/MAX(tinder[Engagement])</f>
        <v>5.3484050449182453E-2</v>
      </c>
      <c r="F53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30">
        <v>145</v>
      </c>
      <c r="H530">
        <f>IFERROR(tinder[[#This Row],[Conversations]]/tinder[[#This Row],[Tinder Opened]],0)</f>
        <v>2.9810855263157895E-2</v>
      </c>
      <c r="I530">
        <f>tinder[[#This Row],[Conversations]]/MAX(tinder[Conversations])</f>
        <v>1.146970416073406E-2</v>
      </c>
      <c r="J530">
        <f>(tinder[[#This Row],[Norm Engagement]]*2)+(tinder[[#This Row],[Norm Swipes]]*1)+(tinder[[#This Row],[Norm Conversations]]*2)</f>
        <v>0.1751257897423491</v>
      </c>
      <c r="K53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30">
        <v>58</v>
      </c>
      <c r="M530">
        <v>1</v>
      </c>
      <c r="N530">
        <v>254</v>
      </c>
      <c r="O530">
        <v>3140</v>
      </c>
      <c r="P530">
        <v>2847</v>
      </c>
      <c r="Q530">
        <f>tinder[[#This Row],[All Swipes]]/MAX(tinder[All Swipes])</f>
        <v>4.5218280522516072E-2</v>
      </c>
      <c r="R530">
        <f>tinder[[#This Row],[Swipe Right (LIKE)]]+tinder[[#This Row],[Swipe Left (PASS)]]</f>
        <v>38382</v>
      </c>
      <c r="S530">
        <v>19052</v>
      </c>
      <c r="T530">
        <v>19330</v>
      </c>
      <c r="U530" t="s">
        <v>8</v>
      </c>
      <c r="V530" s="1">
        <v>42653</v>
      </c>
      <c r="W530" t="s">
        <v>12</v>
      </c>
      <c r="X530" t="s">
        <v>1295</v>
      </c>
      <c r="Y530" t="s">
        <v>8</v>
      </c>
      <c r="Z530">
        <v>20</v>
      </c>
      <c r="AA53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31" spans="1:27" x14ac:dyDescent="0.3">
      <c r="A531" t="s">
        <v>437</v>
      </c>
      <c r="B531">
        <v>8441</v>
      </c>
      <c r="C531">
        <v>798</v>
      </c>
      <c r="D531">
        <f>IFERROR(tinder[[#This Row],[Tinder Opened]]/tinder[[#This Row],[Days on Tinder]],0)</f>
        <v>10.577694235588972</v>
      </c>
      <c r="E531">
        <f>tinder[[#This Row],[Engagement]]/MAX(tinder[Engagement])</f>
        <v>5.3154242389894329E-2</v>
      </c>
      <c r="F53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31">
        <v>38</v>
      </c>
      <c r="H531">
        <f>IFERROR(tinder[[#This Row],[Conversations]]/tinder[[#This Row],[Tinder Opened]],0)</f>
        <v>4.5018362753228292E-3</v>
      </c>
      <c r="I531">
        <f>tinder[[#This Row],[Conversations]]/MAX(tinder[Conversations])</f>
        <v>3.0058535041923747E-3</v>
      </c>
      <c r="J531">
        <f>(tinder[[#This Row],[Norm Engagement]]*2)+(tinder[[#This Row],[Norm Swipes]]*1)+(tinder[[#This Row],[Norm Conversations]]*2)</f>
        <v>0.17587106736073566</v>
      </c>
      <c r="K53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31">
        <v>13</v>
      </c>
      <c r="M531">
        <v>0</v>
      </c>
      <c r="N531">
        <v>49</v>
      </c>
      <c r="O531">
        <v>741</v>
      </c>
      <c r="P531">
        <v>762</v>
      </c>
      <c r="Q531">
        <f>tinder[[#This Row],[All Swipes]]/MAX(tinder[All Swipes])</f>
        <v>6.3550875572562254E-2</v>
      </c>
      <c r="R531">
        <f>tinder[[#This Row],[Swipe Right (LIKE)]]+tinder[[#This Row],[Swipe Left (PASS)]]</f>
        <v>53943</v>
      </c>
      <c r="S531">
        <v>5856</v>
      </c>
      <c r="T531">
        <v>48087</v>
      </c>
      <c r="U531" t="s">
        <v>8</v>
      </c>
      <c r="V531" s="1">
        <v>43273</v>
      </c>
      <c r="W531" t="s">
        <v>12</v>
      </c>
      <c r="X531" t="s">
        <v>1295</v>
      </c>
      <c r="Y531" t="s">
        <v>8</v>
      </c>
      <c r="Z531">
        <v>23</v>
      </c>
      <c r="AA53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32" spans="1:27" x14ac:dyDescent="0.3">
      <c r="A532" t="s">
        <v>584</v>
      </c>
      <c r="B532">
        <v>179</v>
      </c>
      <c r="C532">
        <v>17</v>
      </c>
      <c r="D532">
        <f>IFERROR(tinder[[#This Row],[Tinder Opened]]/tinder[[#This Row],[Days on Tinder]],0)</f>
        <v>10.529411764705882</v>
      </c>
      <c r="E532">
        <f>tinder[[#This Row],[Engagement]]/MAX(tinder[Engagement])</f>
        <v>5.291161690806976E-2</v>
      </c>
      <c r="F53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32">
        <v>15</v>
      </c>
      <c r="H532">
        <f>IFERROR(tinder[[#This Row],[Conversations]]/tinder[[#This Row],[Tinder Opened]],0)</f>
        <v>8.3798882681564241E-2</v>
      </c>
      <c r="I532">
        <f>tinder[[#This Row],[Conversations]]/MAX(tinder[Conversations])</f>
        <v>1.1865211200759373E-3</v>
      </c>
      <c r="J532">
        <f>(tinder[[#This Row],[Norm Engagement]]*2)+(tinder[[#This Row],[Norm Swipes]]*1)+(tinder[[#This Row],[Norm Conversations]]*2)</f>
        <v>0.11035811089446598</v>
      </c>
      <c r="K53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32">
        <v>7</v>
      </c>
      <c r="M532">
        <v>1</v>
      </c>
      <c r="N532">
        <v>17</v>
      </c>
      <c r="O532">
        <v>38</v>
      </c>
      <c r="P532">
        <v>21</v>
      </c>
      <c r="Q532">
        <f>tinder[[#This Row],[All Swipes]]/MAX(tinder[All Swipes])</f>
        <v>2.1618348381745867E-3</v>
      </c>
      <c r="R532">
        <f>tinder[[#This Row],[Swipe Right (LIKE)]]+tinder[[#This Row],[Swipe Left (PASS)]]</f>
        <v>1835</v>
      </c>
      <c r="S532">
        <v>746</v>
      </c>
      <c r="T532">
        <v>1089</v>
      </c>
      <c r="U532" t="s">
        <v>293</v>
      </c>
      <c r="V532" s="1">
        <v>44257</v>
      </c>
      <c r="W532" t="s">
        <v>12</v>
      </c>
      <c r="X532" t="s">
        <v>1295</v>
      </c>
      <c r="Y532" t="s">
        <v>585</v>
      </c>
      <c r="Z532">
        <v>28</v>
      </c>
      <c r="AA53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33" spans="1:27" x14ac:dyDescent="0.3">
      <c r="A533" t="s">
        <v>32</v>
      </c>
      <c r="B533">
        <v>6644</v>
      </c>
      <c r="C533">
        <v>631</v>
      </c>
      <c r="D533">
        <f>IFERROR(tinder[[#This Row],[Tinder Opened]]/tinder[[#This Row],[Days on Tinder]],0)</f>
        <v>10.52931854199683</v>
      </c>
      <c r="E533">
        <f>tinder[[#This Row],[Engagement]]/MAX(tinder[Engagement])</f>
        <v>5.2911148452245378E-2</v>
      </c>
      <c r="F53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33">
        <v>194</v>
      </c>
      <c r="H533">
        <f>IFERROR(tinder[[#This Row],[Conversations]]/tinder[[#This Row],[Tinder Opened]],0)</f>
        <v>2.9199277543648403E-2</v>
      </c>
      <c r="I533">
        <f>tinder[[#This Row],[Conversations]]/MAX(tinder[Conversations])</f>
        <v>1.5345673152982122E-2</v>
      </c>
      <c r="J533">
        <f>(tinder[[#This Row],[Norm Engagement]]*2)+(tinder[[#This Row],[Norm Swipes]]*1)+(tinder[[#This Row],[Norm Conversations]]*2)</f>
        <v>0.20376025496141162</v>
      </c>
      <c r="K53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33">
        <v>83</v>
      </c>
      <c r="M533">
        <v>17</v>
      </c>
      <c r="N533">
        <v>306</v>
      </c>
      <c r="O533">
        <v>769</v>
      </c>
      <c r="P533">
        <v>787</v>
      </c>
      <c r="Q533">
        <f>tinder[[#This Row],[All Swipes]]/MAX(tinder[All Swipes])</f>
        <v>6.7246611750956628E-2</v>
      </c>
      <c r="R533">
        <f>tinder[[#This Row],[Swipe Right (LIKE)]]+tinder[[#This Row],[Swipe Left (PASS)]]</f>
        <v>57080</v>
      </c>
      <c r="S533">
        <v>14909</v>
      </c>
      <c r="T533">
        <v>42171</v>
      </c>
      <c r="U533" t="s">
        <v>8</v>
      </c>
      <c r="V533" s="1">
        <v>43220</v>
      </c>
      <c r="W533" t="s">
        <v>12</v>
      </c>
      <c r="X533" t="s">
        <v>1295</v>
      </c>
      <c r="Y533" t="s">
        <v>33</v>
      </c>
      <c r="Z533">
        <v>36</v>
      </c>
      <c r="AA533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534" spans="1:27" x14ac:dyDescent="0.3">
      <c r="A534" t="s">
        <v>910</v>
      </c>
      <c r="B534">
        <v>3900</v>
      </c>
      <c r="C534">
        <v>372</v>
      </c>
      <c r="D534">
        <f>IFERROR(tinder[[#This Row],[Tinder Opened]]/tinder[[#This Row],[Days on Tinder]],0)</f>
        <v>10.483870967741936</v>
      </c>
      <c r="E534">
        <f>tinder[[#This Row],[Engagement]]/MAX(tinder[Engagement])</f>
        <v>5.2682768682120282E-2</v>
      </c>
      <c r="F53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34">
        <v>235</v>
      </c>
      <c r="H534">
        <f>IFERROR(tinder[[#This Row],[Conversations]]/tinder[[#This Row],[Tinder Opened]],0)</f>
        <v>6.0256410256410257E-2</v>
      </c>
      <c r="I534">
        <f>tinder[[#This Row],[Conversations]]/MAX(tinder[Conversations])</f>
        <v>1.8588830881189684E-2</v>
      </c>
      <c r="J534">
        <f>(tinder[[#This Row],[Norm Engagement]]*2)+(tinder[[#This Row],[Norm Swipes]]*1)+(tinder[[#This Row],[Norm Conversations]]*2)</f>
        <v>0.17434396631291238</v>
      </c>
      <c r="K53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34">
        <v>78</v>
      </c>
      <c r="M534">
        <v>11</v>
      </c>
      <c r="N534">
        <v>323</v>
      </c>
      <c r="O534">
        <v>2154</v>
      </c>
      <c r="P534">
        <v>1958</v>
      </c>
      <c r="Q534">
        <f>tinder[[#This Row],[All Swipes]]/MAX(tinder[All Swipes])</f>
        <v>3.1800767186292433E-2</v>
      </c>
      <c r="R534">
        <f>tinder[[#This Row],[Swipe Right (LIKE)]]+tinder[[#This Row],[Swipe Left (PASS)]]</f>
        <v>26993</v>
      </c>
      <c r="S534">
        <v>3134</v>
      </c>
      <c r="T534">
        <v>23859</v>
      </c>
      <c r="U534" t="s">
        <v>10</v>
      </c>
      <c r="V534" s="1">
        <v>43888</v>
      </c>
      <c r="W534" t="s">
        <v>12</v>
      </c>
      <c r="X534" t="s">
        <v>1295</v>
      </c>
      <c r="Y534" t="s">
        <v>595</v>
      </c>
      <c r="Z534">
        <v>40</v>
      </c>
      <c r="AA534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535" spans="1:27" x14ac:dyDescent="0.3">
      <c r="A535" t="s">
        <v>823</v>
      </c>
      <c r="B535">
        <v>6647</v>
      </c>
      <c r="C535">
        <v>635</v>
      </c>
      <c r="D535">
        <f>IFERROR(tinder[[#This Row],[Tinder Opened]]/tinder[[#This Row],[Days on Tinder]],0)</f>
        <v>10.467716535433071</v>
      </c>
      <c r="E535">
        <f>tinder[[#This Row],[Engagement]]/MAX(tinder[Engagement])</f>
        <v>5.2601590630316941E-2</v>
      </c>
      <c r="F53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35">
        <v>249</v>
      </c>
      <c r="H535">
        <f>IFERROR(tinder[[#This Row],[Conversations]]/tinder[[#This Row],[Tinder Opened]],0)</f>
        <v>3.7460508500075221E-2</v>
      </c>
      <c r="I535">
        <f>tinder[[#This Row],[Conversations]]/MAX(tinder[Conversations])</f>
        <v>1.9696250593260561E-2</v>
      </c>
      <c r="J535">
        <f>(tinder[[#This Row],[Norm Engagement]]*2)+(tinder[[#This Row],[Norm Swipes]]*1)+(tinder[[#This Row],[Norm Conversations]]*2)</f>
        <v>0.19258488151974554</v>
      </c>
      <c r="K53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35">
        <v>53</v>
      </c>
      <c r="M535">
        <v>0</v>
      </c>
      <c r="N535">
        <v>607</v>
      </c>
      <c r="O535">
        <v>2943</v>
      </c>
      <c r="P535">
        <v>2302</v>
      </c>
      <c r="Q535">
        <f>tinder[[#This Row],[All Swipes]]/MAX(tinder[All Swipes])</f>
        <v>4.7989199072590527E-2</v>
      </c>
      <c r="R535">
        <f>tinder[[#This Row],[Swipe Right (LIKE)]]+tinder[[#This Row],[Swipe Left (PASS)]]</f>
        <v>40734</v>
      </c>
      <c r="S535">
        <v>14511</v>
      </c>
      <c r="T535">
        <v>26223</v>
      </c>
      <c r="U535" t="s">
        <v>27</v>
      </c>
      <c r="V535" s="1">
        <v>43130</v>
      </c>
      <c r="W535" t="s">
        <v>7</v>
      </c>
      <c r="X535" t="s">
        <v>1295</v>
      </c>
      <c r="Y535" t="s">
        <v>8</v>
      </c>
      <c r="Z535">
        <v>20</v>
      </c>
      <c r="AA53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36" spans="1:27" x14ac:dyDescent="0.3">
      <c r="A536" t="s">
        <v>708</v>
      </c>
      <c r="B536">
        <v>1203</v>
      </c>
      <c r="C536">
        <v>115</v>
      </c>
      <c r="D536">
        <f>IFERROR(tinder[[#This Row],[Tinder Opened]]/tinder[[#This Row],[Days on Tinder]],0)</f>
        <v>10.460869565217392</v>
      </c>
      <c r="E536">
        <f>tinder[[#This Row],[Engagement]]/MAX(tinder[Engagement])</f>
        <v>5.2567183744811015E-2</v>
      </c>
      <c r="F53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36">
        <v>2</v>
      </c>
      <c r="H536">
        <f>IFERROR(tinder[[#This Row],[Conversations]]/tinder[[#This Row],[Tinder Opened]],0)</f>
        <v>1.6625103906899418E-3</v>
      </c>
      <c r="I536">
        <f>tinder[[#This Row],[Conversations]]/MAX(tinder[Conversations])</f>
        <v>1.5820281601012498E-4</v>
      </c>
      <c r="J536">
        <f>(tinder[[#This Row],[Norm Engagement]]*2)+(tinder[[#This Row],[Norm Swipes]]*1)+(tinder[[#This Row],[Norm Conversations]]*2)</f>
        <v>0.13356051657605408</v>
      </c>
      <c r="K53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36">
        <v>2</v>
      </c>
      <c r="M536">
        <v>0</v>
      </c>
      <c r="N536">
        <v>6</v>
      </c>
      <c r="O536">
        <v>2</v>
      </c>
      <c r="P536">
        <v>1</v>
      </c>
      <c r="Q536">
        <f>tinder[[#This Row],[All Swipes]]/MAX(tinder[All Swipes])</f>
        <v>2.8109743454411792E-2</v>
      </c>
      <c r="R536">
        <f>tinder[[#This Row],[Swipe Right (LIKE)]]+tinder[[#This Row],[Swipe Left (PASS)]]</f>
        <v>23860</v>
      </c>
      <c r="S536">
        <v>1138</v>
      </c>
      <c r="T536">
        <v>22722</v>
      </c>
      <c r="U536" t="s">
        <v>418</v>
      </c>
      <c r="V536" s="1">
        <v>44183</v>
      </c>
      <c r="W536" t="s">
        <v>12</v>
      </c>
      <c r="X536" t="s">
        <v>1295</v>
      </c>
      <c r="Y536" t="s">
        <v>380</v>
      </c>
      <c r="Z536">
        <v>26</v>
      </c>
      <c r="AA53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37" spans="1:27" x14ac:dyDescent="0.3">
      <c r="A537" t="s">
        <v>1062</v>
      </c>
      <c r="B537">
        <v>3377</v>
      </c>
      <c r="C537">
        <v>323</v>
      </c>
      <c r="D537">
        <f>IFERROR(tinder[[#This Row],[Tinder Opened]]/tinder[[#This Row],[Days on Tinder]],0)</f>
        <v>10.455108359133128</v>
      </c>
      <c r="E537">
        <f>tinder[[#This Row],[Engagement]]/MAX(tinder[Engagement])</f>
        <v>5.253823296046798E-2</v>
      </c>
      <c r="F53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37">
        <v>827</v>
      </c>
      <c r="H537">
        <f>IFERROR(tinder[[#This Row],[Conversations]]/tinder[[#This Row],[Tinder Opened]],0)</f>
        <v>0.24489191590168788</v>
      </c>
      <c r="I537">
        <f>tinder[[#This Row],[Conversations]]/MAX(tinder[Conversations])</f>
        <v>6.5416864420186682E-2</v>
      </c>
      <c r="J537">
        <f>(tinder[[#This Row],[Norm Engagement]]*2)+(tinder[[#This Row],[Norm Swipes]]*1)+(tinder[[#This Row],[Norm Conversations]]*2)</f>
        <v>0.40093064677917895</v>
      </c>
      <c r="K53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37">
        <v>150</v>
      </c>
      <c r="M537">
        <v>58</v>
      </c>
      <c r="N537">
        <v>1589</v>
      </c>
      <c r="O537">
        <v>8564</v>
      </c>
      <c r="P537">
        <v>9177</v>
      </c>
      <c r="Q537">
        <f>tinder[[#This Row],[All Swipes]]/MAX(tinder[All Swipes])</f>
        <v>0.16502045201786961</v>
      </c>
      <c r="R537">
        <f>tinder[[#This Row],[Swipe Right (LIKE)]]+tinder[[#This Row],[Swipe Left (PASS)]]</f>
        <v>140072</v>
      </c>
      <c r="S537">
        <v>3392</v>
      </c>
      <c r="T537">
        <v>136680</v>
      </c>
      <c r="U537" t="s">
        <v>293</v>
      </c>
      <c r="V537" s="1">
        <v>43821</v>
      </c>
      <c r="W537" t="s">
        <v>12</v>
      </c>
      <c r="X537" t="s">
        <v>1296</v>
      </c>
      <c r="Y537" t="s">
        <v>1063</v>
      </c>
      <c r="Z537">
        <v>20</v>
      </c>
      <c r="AA53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38" spans="1:27" x14ac:dyDescent="0.3">
      <c r="A538" t="s">
        <v>593</v>
      </c>
      <c r="B538">
        <v>2184</v>
      </c>
      <c r="C538">
        <v>209</v>
      </c>
      <c r="D538">
        <f>IFERROR(tinder[[#This Row],[Tinder Opened]]/tinder[[#This Row],[Days on Tinder]],0)</f>
        <v>10.44976076555024</v>
      </c>
      <c r="E538">
        <f>tinder[[#This Row],[Engagement]]/MAX(tinder[Engagement])</f>
        <v>5.2511360630905723E-2</v>
      </c>
      <c r="F53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38">
        <v>245</v>
      </c>
      <c r="H538">
        <f>IFERROR(tinder[[#This Row],[Conversations]]/tinder[[#This Row],[Tinder Opened]],0)</f>
        <v>0.11217948717948718</v>
      </c>
      <c r="I538">
        <f>tinder[[#This Row],[Conversations]]/MAX(tinder[Conversations])</f>
        <v>1.937984496124031E-2</v>
      </c>
      <c r="J538">
        <f>(tinder[[#This Row],[Norm Engagement]]*2)+(tinder[[#This Row],[Norm Swipes]]*1)+(tinder[[#This Row],[Norm Conversations]]*2)</f>
        <v>0.16672142270151136</v>
      </c>
      <c r="K53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38">
        <v>32</v>
      </c>
      <c r="M538">
        <v>166</v>
      </c>
      <c r="N538">
        <v>800</v>
      </c>
      <c r="O538">
        <v>233</v>
      </c>
      <c r="P538">
        <v>650</v>
      </c>
      <c r="Q538">
        <f>tinder[[#This Row],[All Swipes]]/MAX(tinder[All Swipes])</f>
        <v>2.293901151721928E-2</v>
      </c>
      <c r="R538">
        <f>tinder[[#This Row],[Swipe Right (LIKE)]]+tinder[[#This Row],[Swipe Left (PASS)]]</f>
        <v>19471</v>
      </c>
      <c r="S538">
        <v>1975</v>
      </c>
      <c r="T538">
        <v>17496</v>
      </c>
      <c r="U538" t="s">
        <v>8</v>
      </c>
      <c r="V538" s="1">
        <v>43065</v>
      </c>
      <c r="W538" t="s">
        <v>12</v>
      </c>
      <c r="X538" t="s">
        <v>1296</v>
      </c>
      <c r="Y538" t="s">
        <v>8</v>
      </c>
      <c r="Z538">
        <v>18</v>
      </c>
      <c r="AA53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39" spans="1:27" x14ac:dyDescent="0.3">
      <c r="A539" t="s">
        <v>386</v>
      </c>
      <c r="B539">
        <v>1816</v>
      </c>
      <c r="C539">
        <v>174</v>
      </c>
      <c r="D539">
        <f>IFERROR(tinder[[#This Row],[Tinder Opened]]/tinder[[#This Row],[Days on Tinder]],0)</f>
        <v>10.436781609195402</v>
      </c>
      <c r="E539">
        <f>tinder[[#This Row],[Engagement]]/MAX(tinder[Engagement])</f>
        <v>5.2446138739675387E-2</v>
      </c>
      <c r="F53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39">
        <v>70</v>
      </c>
      <c r="H539">
        <f>IFERROR(tinder[[#This Row],[Conversations]]/tinder[[#This Row],[Tinder Opened]],0)</f>
        <v>3.8546255506607931E-2</v>
      </c>
      <c r="I539">
        <f>tinder[[#This Row],[Conversations]]/MAX(tinder[Conversations])</f>
        <v>5.5370985603543747E-3</v>
      </c>
      <c r="J539">
        <f>(tinder[[#This Row],[Norm Engagement]]*2)+(tinder[[#This Row],[Norm Swipes]]*1)+(tinder[[#This Row],[Norm Conversations]]*2)</f>
        <v>0.12577425390676439</v>
      </c>
      <c r="K53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39">
        <v>22</v>
      </c>
      <c r="M539">
        <v>7</v>
      </c>
      <c r="N539">
        <v>109</v>
      </c>
      <c r="O539">
        <v>566</v>
      </c>
      <c r="P539">
        <v>448</v>
      </c>
      <c r="Q539">
        <f>tinder[[#This Row],[All Swipes]]/MAX(tinder[All Swipes])</f>
        <v>9.8077793067048689E-3</v>
      </c>
      <c r="R539">
        <f>tinder[[#This Row],[Swipe Right (LIKE)]]+tinder[[#This Row],[Swipe Left (PASS)]]</f>
        <v>8325</v>
      </c>
      <c r="S539">
        <v>6393</v>
      </c>
      <c r="T539">
        <v>1932</v>
      </c>
      <c r="U539" t="s">
        <v>8</v>
      </c>
      <c r="V539" s="1">
        <v>43995</v>
      </c>
      <c r="W539" t="s">
        <v>12</v>
      </c>
      <c r="X539" t="s">
        <v>1295</v>
      </c>
      <c r="Y539" t="s">
        <v>8</v>
      </c>
      <c r="Z539">
        <v>21</v>
      </c>
      <c r="AA53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40" spans="1:27" x14ac:dyDescent="0.3">
      <c r="A540" t="s">
        <v>439</v>
      </c>
      <c r="B540">
        <v>1033</v>
      </c>
      <c r="C540">
        <v>99</v>
      </c>
      <c r="D540">
        <f>IFERROR(tinder[[#This Row],[Tinder Opened]]/tinder[[#This Row],[Days on Tinder]],0)</f>
        <v>10.434343434343434</v>
      </c>
      <c r="E540">
        <f>tinder[[#This Row],[Engagement]]/MAX(tinder[Engagement])</f>
        <v>5.2433886604740874E-2</v>
      </c>
      <c r="F54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40">
        <v>5</v>
      </c>
      <c r="H540">
        <f>IFERROR(tinder[[#This Row],[Conversations]]/tinder[[#This Row],[Tinder Opened]],0)</f>
        <v>4.8402710551790898E-3</v>
      </c>
      <c r="I540">
        <f>tinder[[#This Row],[Conversations]]/MAX(tinder[Conversations])</f>
        <v>3.9550704002531246E-4</v>
      </c>
      <c r="J540">
        <f>(tinder[[#This Row],[Norm Engagement]]*2)+(tinder[[#This Row],[Norm Swipes]]*1)+(tinder[[#This Row],[Norm Conversations]]*2)</f>
        <v>0.13044625595176304</v>
      </c>
      <c r="K54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40">
        <v>2</v>
      </c>
      <c r="M540">
        <v>0</v>
      </c>
      <c r="N540">
        <v>26</v>
      </c>
      <c r="O540">
        <v>27</v>
      </c>
      <c r="P540">
        <v>20</v>
      </c>
      <c r="Q540">
        <f>tinder[[#This Row],[All Swipes]]/MAX(tinder[All Swipes])</f>
        <v>2.4787468662230683E-2</v>
      </c>
      <c r="R540">
        <f>tinder[[#This Row],[Swipe Right (LIKE)]]+tinder[[#This Row],[Swipe Left (PASS)]]</f>
        <v>21040</v>
      </c>
      <c r="S540">
        <v>1029</v>
      </c>
      <c r="T540">
        <v>20011</v>
      </c>
      <c r="U540" t="s">
        <v>440</v>
      </c>
      <c r="V540" s="1">
        <v>44010</v>
      </c>
      <c r="W540" t="s">
        <v>12</v>
      </c>
      <c r="X540" t="s">
        <v>1295</v>
      </c>
      <c r="Y540" t="s">
        <v>8</v>
      </c>
      <c r="Z540">
        <v>20</v>
      </c>
      <c r="AA54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41" spans="1:27" x14ac:dyDescent="0.3">
      <c r="A541" t="s">
        <v>973</v>
      </c>
      <c r="B541">
        <v>4757</v>
      </c>
      <c r="C541">
        <v>456</v>
      </c>
      <c r="D541">
        <f>IFERROR(tinder[[#This Row],[Tinder Opened]]/tinder[[#This Row],[Days on Tinder]],0)</f>
        <v>10.432017543859649</v>
      </c>
      <c r="E541">
        <f>tinder[[#This Row],[Engagement]]/MAX(tinder[Engagement])</f>
        <v>5.2422198712862557E-2</v>
      </c>
      <c r="F54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41">
        <v>140</v>
      </c>
      <c r="H541">
        <f>IFERROR(tinder[[#This Row],[Conversations]]/tinder[[#This Row],[Tinder Opened]],0)</f>
        <v>2.9430313222619298E-2</v>
      </c>
      <c r="I541">
        <f>tinder[[#This Row],[Conversations]]/MAX(tinder[Conversations])</f>
        <v>1.1074197120708749E-2</v>
      </c>
      <c r="J541">
        <f>(tinder[[#This Row],[Norm Engagement]]*2)+(tinder[[#This Row],[Norm Swipes]]*1)+(tinder[[#This Row],[Norm Conversations]]*2)</f>
        <v>0.16058782286353851</v>
      </c>
      <c r="K54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41">
        <v>68</v>
      </c>
      <c r="M541">
        <v>0</v>
      </c>
      <c r="N541">
        <v>151</v>
      </c>
      <c r="O541">
        <v>597</v>
      </c>
      <c r="P541">
        <v>439</v>
      </c>
      <c r="Q541">
        <f>tinder[[#This Row],[All Swipes]]/MAX(tinder[All Swipes])</f>
        <v>3.3595031196395918E-2</v>
      </c>
      <c r="R541">
        <f>tinder[[#This Row],[Swipe Right (LIKE)]]+tinder[[#This Row],[Swipe Left (PASS)]]</f>
        <v>28516</v>
      </c>
      <c r="S541">
        <v>6940</v>
      </c>
      <c r="T541">
        <v>21576</v>
      </c>
      <c r="U541" t="s">
        <v>10</v>
      </c>
      <c r="V541" s="1">
        <v>43529</v>
      </c>
      <c r="W541" t="s">
        <v>12</v>
      </c>
      <c r="X541" t="s">
        <v>1295</v>
      </c>
      <c r="Y541" t="s">
        <v>8</v>
      </c>
      <c r="Z541">
        <v>21</v>
      </c>
      <c r="AA54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42" spans="1:27" x14ac:dyDescent="0.3">
      <c r="A542" t="s">
        <v>746</v>
      </c>
      <c r="B542">
        <v>1116</v>
      </c>
      <c r="C542">
        <v>107</v>
      </c>
      <c r="D542">
        <f>IFERROR(tinder[[#This Row],[Tinder Opened]]/tinder[[#This Row],[Days on Tinder]],0)</f>
        <v>10.429906542056075</v>
      </c>
      <c r="E542">
        <f>tinder[[#This Row],[Engagement]]/MAX(tinder[Engagement])</f>
        <v>5.2411590663598372E-2</v>
      </c>
      <c r="F54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42">
        <v>100</v>
      </c>
      <c r="H542">
        <f>IFERROR(tinder[[#This Row],[Conversations]]/tinder[[#This Row],[Tinder Opened]],0)</f>
        <v>8.9605734767025089E-2</v>
      </c>
      <c r="I542">
        <f>tinder[[#This Row],[Conversations]]/MAX(tinder[Conversations])</f>
        <v>7.9101408005062494E-3</v>
      </c>
      <c r="J542">
        <f>(tinder[[#This Row],[Norm Engagement]]*2)+(tinder[[#This Row],[Norm Swipes]]*1)+(tinder[[#This Row],[Norm Conversations]]*2)</f>
        <v>0.14142299583051082</v>
      </c>
      <c r="K54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42">
        <v>56</v>
      </c>
      <c r="M542">
        <v>10</v>
      </c>
      <c r="N542">
        <v>158</v>
      </c>
      <c r="O542">
        <v>342</v>
      </c>
      <c r="P542">
        <v>284</v>
      </c>
      <c r="Q542">
        <f>tinder[[#This Row],[All Swipes]]/MAX(tinder[All Swipes])</f>
        <v>2.077953290230156E-2</v>
      </c>
      <c r="R542">
        <f>tinder[[#This Row],[Swipe Right (LIKE)]]+tinder[[#This Row],[Swipe Left (PASS)]]</f>
        <v>17638</v>
      </c>
      <c r="S542">
        <v>4236</v>
      </c>
      <c r="T542">
        <v>13402</v>
      </c>
      <c r="U542" t="s">
        <v>85</v>
      </c>
      <c r="V542" s="1">
        <v>44169</v>
      </c>
      <c r="W542" t="s">
        <v>12</v>
      </c>
      <c r="X542" t="s">
        <v>1295</v>
      </c>
      <c r="Y542" t="s">
        <v>747</v>
      </c>
      <c r="Z542">
        <v>30</v>
      </c>
      <c r="AA54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43" spans="1:27" x14ac:dyDescent="0.3">
      <c r="A543" t="s">
        <v>287</v>
      </c>
      <c r="B543">
        <v>1206</v>
      </c>
      <c r="C543">
        <v>116</v>
      </c>
      <c r="D543">
        <f>IFERROR(tinder[[#This Row],[Tinder Opened]]/tinder[[#This Row],[Days on Tinder]],0)</f>
        <v>10.396551724137931</v>
      </c>
      <c r="E543">
        <f>tinder[[#This Row],[Engagement]]/MAX(tinder[Engagement])</f>
        <v>5.2243978513255934E-2</v>
      </c>
      <c r="F54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43">
        <v>42</v>
      </c>
      <c r="H543">
        <f>IFERROR(tinder[[#This Row],[Conversations]]/tinder[[#This Row],[Tinder Opened]],0)</f>
        <v>3.482587064676617E-2</v>
      </c>
      <c r="I543">
        <f>tinder[[#This Row],[Conversations]]/MAX(tinder[Conversations])</f>
        <v>3.3222591362126247E-3</v>
      </c>
      <c r="J543">
        <f>(tinder[[#This Row],[Norm Engagement]]*2)+(tinder[[#This Row],[Norm Swipes]]*1)+(tinder[[#This Row],[Norm Conversations]]*2)</f>
        <v>0.13589402550534227</v>
      </c>
      <c r="K54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43">
        <v>13</v>
      </c>
      <c r="M543">
        <v>1</v>
      </c>
      <c r="N543">
        <v>75</v>
      </c>
      <c r="O543">
        <v>633</v>
      </c>
      <c r="P543">
        <v>417</v>
      </c>
      <c r="Q543">
        <f>tinder[[#This Row],[All Swipes]]/MAX(tinder[All Swipes])</f>
        <v>2.4761550206405157E-2</v>
      </c>
      <c r="R543">
        <f>tinder[[#This Row],[Swipe Right (LIKE)]]+tinder[[#This Row],[Swipe Left (PASS)]]</f>
        <v>21018</v>
      </c>
      <c r="S543">
        <v>5190</v>
      </c>
      <c r="T543">
        <v>15828</v>
      </c>
      <c r="U543" t="s">
        <v>8</v>
      </c>
      <c r="V543" s="1">
        <v>43745</v>
      </c>
      <c r="W543" t="s">
        <v>12</v>
      </c>
      <c r="X543" t="s">
        <v>1295</v>
      </c>
      <c r="Y543" t="s">
        <v>288</v>
      </c>
      <c r="Z543">
        <v>23</v>
      </c>
      <c r="AA54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44" spans="1:27" x14ac:dyDescent="0.3">
      <c r="A544" t="s">
        <v>983</v>
      </c>
      <c r="B544">
        <v>1060</v>
      </c>
      <c r="C544">
        <v>102</v>
      </c>
      <c r="D544">
        <f>IFERROR(tinder[[#This Row],[Tinder Opened]]/tinder[[#This Row],[Days on Tinder]],0)</f>
        <v>10.392156862745098</v>
      </c>
      <c r="E544">
        <f>tinder[[#This Row],[Engagement]]/MAX(tinder[Engagement])</f>
        <v>5.2221893782638688E-2</v>
      </c>
      <c r="F54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44">
        <v>237</v>
      </c>
      <c r="H544">
        <f>IFERROR(tinder[[#This Row],[Conversations]]/tinder[[#This Row],[Tinder Opened]],0)</f>
        <v>0.22358490566037736</v>
      </c>
      <c r="I544">
        <f>tinder[[#This Row],[Conversations]]/MAX(tinder[Conversations])</f>
        <v>1.8747033697199812E-2</v>
      </c>
      <c r="J544">
        <f>(tinder[[#This Row],[Norm Engagement]]*2)+(tinder[[#This Row],[Norm Swipes]]*1)+(tinder[[#This Row],[Norm Conversations]]*2)</f>
        <v>0.14681052465487596</v>
      </c>
      <c r="K54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44">
        <v>78</v>
      </c>
      <c r="M544">
        <v>3</v>
      </c>
      <c r="N544">
        <v>145</v>
      </c>
      <c r="O544">
        <v>1564</v>
      </c>
      <c r="P544">
        <v>1337</v>
      </c>
      <c r="Q544">
        <f>tinder[[#This Row],[All Swipes]]/MAX(tinder[All Swipes])</f>
        <v>4.8726696951989596E-3</v>
      </c>
      <c r="R544">
        <f>tinder[[#This Row],[Swipe Right (LIKE)]]+tinder[[#This Row],[Swipe Left (PASS)]]</f>
        <v>4136</v>
      </c>
      <c r="S544">
        <v>1326</v>
      </c>
      <c r="T544">
        <v>2810</v>
      </c>
      <c r="U544" t="s">
        <v>984</v>
      </c>
      <c r="V544" s="1">
        <v>44191</v>
      </c>
      <c r="W544" t="s">
        <v>12</v>
      </c>
      <c r="X544" t="s">
        <v>1295</v>
      </c>
      <c r="Y544" t="s">
        <v>8</v>
      </c>
      <c r="Z544">
        <v>21</v>
      </c>
      <c r="AA54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45" spans="1:27" x14ac:dyDescent="0.3">
      <c r="A545" t="s">
        <v>947</v>
      </c>
      <c r="B545">
        <v>7779</v>
      </c>
      <c r="C545">
        <v>751</v>
      </c>
      <c r="D545">
        <f>IFERROR(tinder[[#This Row],[Tinder Opened]]/tinder[[#This Row],[Days on Tinder]],0)</f>
        <v>10.358189081225033</v>
      </c>
      <c r="E545">
        <f>tinder[[#This Row],[Engagement]]/MAX(tinder[Engagement])</f>
        <v>5.2051201413191119E-2</v>
      </c>
      <c r="F54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45">
        <v>522</v>
      </c>
      <c r="H545">
        <f>IFERROR(tinder[[#This Row],[Conversations]]/tinder[[#This Row],[Tinder Opened]],0)</f>
        <v>6.7103740840725026E-2</v>
      </c>
      <c r="I545">
        <f>tinder[[#This Row],[Conversations]]/MAX(tinder[Conversations])</f>
        <v>4.129093497864262E-2</v>
      </c>
      <c r="J545">
        <f>(tinder[[#This Row],[Norm Engagement]]*2)+(tinder[[#This Row],[Norm Swipes]]*1)+(tinder[[#This Row],[Norm Conversations]]*2)</f>
        <v>0.26812712965724195</v>
      </c>
      <c r="K54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45">
        <v>190</v>
      </c>
      <c r="M545">
        <v>80</v>
      </c>
      <c r="N545">
        <v>2470</v>
      </c>
      <c r="O545">
        <v>1748</v>
      </c>
      <c r="P545">
        <v>2093</v>
      </c>
      <c r="Q545">
        <f>tinder[[#This Row],[All Swipes]]/MAX(tinder[All Swipes])</f>
        <v>8.1442856873574485E-2</v>
      </c>
      <c r="R545">
        <f>tinder[[#This Row],[Swipe Right (LIKE)]]+tinder[[#This Row],[Swipe Left (PASS)]]</f>
        <v>69130</v>
      </c>
      <c r="S545">
        <v>55177</v>
      </c>
      <c r="T545">
        <v>13953</v>
      </c>
      <c r="U545" t="s">
        <v>27</v>
      </c>
      <c r="V545" s="1">
        <v>42938</v>
      </c>
      <c r="W545" t="s">
        <v>7</v>
      </c>
      <c r="X545" t="s">
        <v>1295</v>
      </c>
      <c r="Y545" t="s">
        <v>8</v>
      </c>
      <c r="Z545">
        <v>21</v>
      </c>
      <c r="AA54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46" spans="1:27" x14ac:dyDescent="0.3">
      <c r="A546" t="s">
        <v>114</v>
      </c>
      <c r="B546">
        <v>3260</v>
      </c>
      <c r="C546">
        <v>315</v>
      </c>
      <c r="D546">
        <f>IFERROR(tinder[[#This Row],[Tinder Opened]]/tinder[[#This Row],[Days on Tinder]],0)</f>
        <v>10.34920634920635</v>
      </c>
      <c r="E546">
        <f>tinder[[#This Row],[Engagement]]/MAX(tinder[Engagement])</f>
        <v>5.2006062056313314E-2</v>
      </c>
      <c r="F54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46">
        <v>163</v>
      </c>
      <c r="H546">
        <f>IFERROR(tinder[[#This Row],[Conversations]]/tinder[[#This Row],[Tinder Opened]],0)</f>
        <v>0.05</v>
      </c>
      <c r="I546">
        <f>tinder[[#This Row],[Conversations]]/MAX(tinder[Conversations])</f>
        <v>1.2893529504825186E-2</v>
      </c>
      <c r="J546">
        <f>(tinder[[#This Row],[Norm Engagement]]*2)+(tinder[[#This Row],[Norm Swipes]]*1)+(tinder[[#This Row],[Norm Conversations]]*2)</f>
        <v>0.19805072409228699</v>
      </c>
      <c r="K54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46">
        <v>55</v>
      </c>
      <c r="M546">
        <v>1</v>
      </c>
      <c r="N546">
        <v>242</v>
      </c>
      <c r="O546">
        <v>1169</v>
      </c>
      <c r="P546">
        <v>891</v>
      </c>
      <c r="Q546">
        <f>tinder[[#This Row],[All Swipes]]/MAX(tinder[All Swipes])</f>
        <v>6.8251540970009988E-2</v>
      </c>
      <c r="R546">
        <f>tinder[[#This Row],[Swipe Right (LIKE)]]+tinder[[#This Row],[Swipe Left (PASS)]]</f>
        <v>57933</v>
      </c>
      <c r="S546">
        <v>43047</v>
      </c>
      <c r="T546">
        <v>14886</v>
      </c>
      <c r="U546" t="s">
        <v>75</v>
      </c>
      <c r="V546" s="1">
        <v>43206</v>
      </c>
      <c r="W546" t="s">
        <v>12</v>
      </c>
      <c r="X546" t="s">
        <v>1295</v>
      </c>
      <c r="Y546" t="s">
        <v>8</v>
      </c>
      <c r="Z546">
        <v>25</v>
      </c>
      <c r="AA54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47" spans="1:27" x14ac:dyDescent="0.3">
      <c r="A547" t="s">
        <v>638</v>
      </c>
      <c r="B547">
        <v>6227</v>
      </c>
      <c r="C547">
        <v>603</v>
      </c>
      <c r="D547">
        <f>IFERROR(tinder[[#This Row],[Tinder Opened]]/tinder[[#This Row],[Days on Tinder]],0)</f>
        <v>10.32669983416252</v>
      </c>
      <c r="E547">
        <f>tinder[[#This Row],[Engagement]]/MAX(tinder[Engagement])</f>
        <v>5.1892963990766434E-2</v>
      </c>
      <c r="F54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47">
        <v>245</v>
      </c>
      <c r="H547">
        <f>IFERROR(tinder[[#This Row],[Conversations]]/tinder[[#This Row],[Tinder Opened]],0)</f>
        <v>3.9344788822868154E-2</v>
      </c>
      <c r="I547">
        <f>tinder[[#This Row],[Conversations]]/MAX(tinder[Conversations])</f>
        <v>1.937984496124031E-2</v>
      </c>
      <c r="J547">
        <f>(tinder[[#This Row],[Norm Engagement]]*2)+(tinder[[#This Row],[Norm Swipes]]*1)+(tinder[[#This Row],[Norm Conversations]]*2)</f>
        <v>0.22683950491839588</v>
      </c>
      <c r="K54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47">
        <v>93</v>
      </c>
      <c r="M547">
        <v>6</v>
      </c>
      <c r="N547">
        <v>388</v>
      </c>
      <c r="O547">
        <v>1569</v>
      </c>
      <c r="P547">
        <v>1964</v>
      </c>
      <c r="Q547">
        <f>tinder[[#This Row],[All Swipes]]/MAX(tinder[All Swipes])</f>
        <v>8.4293887014382382E-2</v>
      </c>
      <c r="R547">
        <f>tinder[[#This Row],[Swipe Right (LIKE)]]+tinder[[#This Row],[Swipe Left (PASS)]]</f>
        <v>71550</v>
      </c>
      <c r="S547">
        <v>67825</v>
      </c>
      <c r="T547">
        <v>3725</v>
      </c>
      <c r="U547" t="s">
        <v>18</v>
      </c>
      <c r="V547" s="1">
        <v>42680</v>
      </c>
      <c r="W547" t="s">
        <v>7</v>
      </c>
      <c r="X547" t="s">
        <v>1295</v>
      </c>
      <c r="Y547" t="s">
        <v>8</v>
      </c>
      <c r="Z547">
        <v>25</v>
      </c>
      <c r="AA54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48" spans="1:27" x14ac:dyDescent="0.3">
      <c r="A548" t="s">
        <v>1058</v>
      </c>
      <c r="B548">
        <v>2034</v>
      </c>
      <c r="C548">
        <v>197</v>
      </c>
      <c r="D548">
        <f>IFERROR(tinder[[#This Row],[Tinder Opened]]/tinder[[#This Row],[Days on Tinder]],0)</f>
        <v>10.3248730964467</v>
      </c>
      <c r="E548">
        <f>tinder[[#This Row],[Engagement]]/MAX(tinder[Engagement])</f>
        <v>5.1883784404254771E-2</v>
      </c>
      <c r="F54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48">
        <v>55</v>
      </c>
      <c r="H548">
        <f>IFERROR(tinder[[#This Row],[Conversations]]/tinder[[#This Row],[Tinder Opened]],0)</f>
        <v>2.7040314650934118E-2</v>
      </c>
      <c r="I548">
        <f>tinder[[#This Row],[Conversations]]/MAX(tinder[Conversations])</f>
        <v>4.3505774402784365E-3</v>
      </c>
      <c r="J548">
        <f>(tinder[[#This Row],[Norm Engagement]]*2)+(tinder[[#This Row],[Norm Swipes]]*1)+(tinder[[#This Row],[Norm Conversations]]*2)</f>
        <v>0.13476684248041812</v>
      </c>
      <c r="K54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48">
        <v>7</v>
      </c>
      <c r="M548">
        <v>14</v>
      </c>
      <c r="N548">
        <v>166</v>
      </c>
      <c r="O548">
        <v>663</v>
      </c>
      <c r="P548">
        <v>749</v>
      </c>
      <c r="Q548">
        <f>tinder[[#This Row],[All Swipes]]/MAX(tinder[All Swipes])</f>
        <v>2.2298118791351719E-2</v>
      </c>
      <c r="R548">
        <f>tinder[[#This Row],[Swipe Right (LIKE)]]+tinder[[#This Row],[Swipe Left (PASS)]]</f>
        <v>18927</v>
      </c>
      <c r="S548">
        <v>287</v>
      </c>
      <c r="T548">
        <v>18640</v>
      </c>
      <c r="U548" t="s">
        <v>122</v>
      </c>
      <c r="V548" s="1">
        <v>43630</v>
      </c>
      <c r="W548" t="s">
        <v>12</v>
      </c>
      <c r="X548" t="s">
        <v>1296</v>
      </c>
      <c r="Y548" t="s">
        <v>19</v>
      </c>
      <c r="Z548">
        <v>19</v>
      </c>
      <c r="AA54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49" spans="1:27" x14ac:dyDescent="0.3">
      <c r="A549" t="s">
        <v>294</v>
      </c>
      <c r="B549">
        <v>5420</v>
      </c>
      <c r="C549">
        <v>525</v>
      </c>
      <c r="D549">
        <f>IFERROR(tinder[[#This Row],[Tinder Opened]]/tinder[[#This Row],[Days on Tinder]],0)</f>
        <v>10.323809523809524</v>
      </c>
      <c r="E549">
        <f>tinder[[#This Row],[Engagement]]/MAX(tinder[Engagement])</f>
        <v>5.1878439818138312E-2</v>
      </c>
      <c r="F54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49">
        <v>481</v>
      </c>
      <c r="H549">
        <f>IFERROR(tinder[[#This Row],[Conversations]]/tinder[[#This Row],[Tinder Opened]],0)</f>
        <v>8.8745387453874544E-2</v>
      </c>
      <c r="I549">
        <f>tinder[[#This Row],[Conversations]]/MAX(tinder[Conversations])</f>
        <v>3.8047777250435059E-2</v>
      </c>
      <c r="J549">
        <f>(tinder[[#This Row],[Norm Engagement]]*2)+(tinder[[#This Row],[Norm Swipes]]*1)+(tinder[[#This Row],[Norm Conversations]]*2)</f>
        <v>0.27945823798627306</v>
      </c>
      <c r="K54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49">
        <v>227</v>
      </c>
      <c r="M549">
        <v>103</v>
      </c>
      <c r="N549">
        <v>1667</v>
      </c>
      <c r="O549">
        <v>1555</v>
      </c>
      <c r="P549">
        <v>1296</v>
      </c>
      <c r="Q549">
        <f>tinder[[#This Row],[All Swipes]]/MAX(tinder[All Swipes])</f>
        <v>9.9605803849126318E-2</v>
      </c>
      <c r="R549">
        <f>tinder[[#This Row],[Swipe Right (LIKE)]]+tinder[[#This Row],[Swipe Left (PASS)]]</f>
        <v>84547</v>
      </c>
      <c r="S549">
        <v>78596</v>
      </c>
      <c r="T549">
        <v>5951</v>
      </c>
      <c r="U549" t="s">
        <v>8</v>
      </c>
      <c r="V549" s="1">
        <v>43640</v>
      </c>
      <c r="W549" t="s">
        <v>12</v>
      </c>
      <c r="X549" t="s">
        <v>1295</v>
      </c>
      <c r="Y549" t="s">
        <v>8</v>
      </c>
      <c r="Z549">
        <v>18</v>
      </c>
      <c r="AA54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50" spans="1:27" x14ac:dyDescent="0.3">
      <c r="A550" t="s">
        <v>699</v>
      </c>
      <c r="B550">
        <v>5942</v>
      </c>
      <c r="C550">
        <v>576</v>
      </c>
      <c r="D550">
        <f>IFERROR(tinder[[#This Row],[Tinder Opened]]/tinder[[#This Row],[Days on Tinder]],0)</f>
        <v>10.315972222222221</v>
      </c>
      <c r="E550">
        <f>tinder[[#This Row],[Engagement]]/MAX(tinder[Engagement])</f>
        <v>5.1839056393076489E-2</v>
      </c>
      <c r="F55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50">
        <v>745</v>
      </c>
      <c r="H550">
        <f>IFERROR(tinder[[#This Row],[Conversations]]/tinder[[#This Row],[Tinder Opened]],0)</f>
        <v>0.12537866038370918</v>
      </c>
      <c r="I550">
        <f>tinder[[#This Row],[Conversations]]/MAX(tinder[Conversations])</f>
        <v>5.8930548963771555E-2</v>
      </c>
      <c r="J550">
        <f>(tinder[[#This Row],[Norm Engagement]]*2)+(tinder[[#This Row],[Norm Swipes]]*1)+(tinder[[#This Row],[Norm Conversations]]*2)</f>
        <v>0.27832419120416751</v>
      </c>
      <c r="K55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50">
        <v>157</v>
      </c>
      <c r="M550">
        <v>116</v>
      </c>
      <c r="N550">
        <v>1388</v>
      </c>
      <c r="O550">
        <v>3493</v>
      </c>
      <c r="P550">
        <v>4265</v>
      </c>
      <c r="Q550">
        <f>tinder[[#This Row],[All Swipes]]/MAX(tinder[All Swipes])</f>
        <v>5.6784980490471433E-2</v>
      </c>
      <c r="R550">
        <f>tinder[[#This Row],[Swipe Right (LIKE)]]+tinder[[#This Row],[Swipe Left (PASS)]]</f>
        <v>48200</v>
      </c>
      <c r="S550">
        <v>1937</v>
      </c>
      <c r="T550">
        <v>46263</v>
      </c>
      <c r="U550" t="s">
        <v>8</v>
      </c>
      <c r="V550" s="1">
        <v>42023</v>
      </c>
      <c r="W550" t="s">
        <v>12</v>
      </c>
      <c r="X550" t="s">
        <v>1296</v>
      </c>
      <c r="Y550" t="s">
        <v>8</v>
      </c>
      <c r="Z550">
        <v>19</v>
      </c>
      <c r="AA55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51" spans="1:27" x14ac:dyDescent="0.3">
      <c r="A551" t="s">
        <v>1291</v>
      </c>
      <c r="B551">
        <v>6272</v>
      </c>
      <c r="C551">
        <v>612</v>
      </c>
      <c r="D551">
        <f>IFERROR(tinder[[#This Row],[Tinder Opened]]/tinder[[#This Row],[Days on Tinder]],0)</f>
        <v>10.248366013071895</v>
      </c>
      <c r="E551">
        <f>tinder[[#This Row],[Engagement]]/MAX(tinder[Engagement])</f>
        <v>5.1499326698853744E-2</v>
      </c>
      <c r="F55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51">
        <v>669</v>
      </c>
      <c r="H551">
        <f>IFERROR(tinder[[#This Row],[Conversations]]/tinder[[#This Row],[Tinder Opened]],0)</f>
        <v>0.10666454081632654</v>
      </c>
      <c r="I551">
        <f>tinder[[#This Row],[Conversations]]/MAX(tinder[Conversations])</f>
        <v>5.2918841955386806E-2</v>
      </c>
      <c r="J551">
        <f>(tinder[[#This Row],[Norm Engagement]]*2)+(tinder[[#This Row],[Norm Swipes]]*1)+(tinder[[#This Row],[Norm Conversations]]*2)</f>
        <v>0.368636576700764</v>
      </c>
      <c r="K55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51">
        <v>161</v>
      </c>
      <c r="M551">
        <v>209</v>
      </c>
      <c r="N551">
        <v>1252</v>
      </c>
      <c r="O551">
        <v>4288</v>
      </c>
      <c r="P551">
        <v>5030</v>
      </c>
      <c r="Q551">
        <f>tinder[[#This Row],[All Swipes]]/MAX(tinder[All Swipes])</f>
        <v>0.15980023939228291</v>
      </c>
      <c r="R551">
        <f>tinder[[#This Row],[Swipe Right (LIKE)]]+tinder[[#This Row],[Swipe Left (PASS)]]</f>
        <v>135641</v>
      </c>
      <c r="S551">
        <v>3014</v>
      </c>
      <c r="T551">
        <v>132627</v>
      </c>
      <c r="U551" t="s">
        <v>8</v>
      </c>
      <c r="V551" s="1">
        <v>43514</v>
      </c>
      <c r="W551" t="s">
        <v>12</v>
      </c>
      <c r="X551" t="s">
        <v>1296</v>
      </c>
      <c r="Y551" t="s">
        <v>8</v>
      </c>
      <c r="Z551">
        <v>29</v>
      </c>
      <c r="AA55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52" spans="1:27" x14ac:dyDescent="0.3">
      <c r="A552" t="s">
        <v>1176</v>
      </c>
      <c r="B552">
        <v>1748</v>
      </c>
      <c r="C552">
        <v>171</v>
      </c>
      <c r="D552">
        <f>IFERROR(tinder[[#This Row],[Tinder Opened]]/tinder[[#This Row],[Days on Tinder]],0)</f>
        <v>10.222222222222221</v>
      </c>
      <c r="E552">
        <f>tinder[[#This Row],[Engagement]]/MAX(tinder[Engagement])</f>
        <v>5.13679508654383E-2</v>
      </c>
      <c r="F55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52">
        <v>122</v>
      </c>
      <c r="H552">
        <f>IFERROR(tinder[[#This Row],[Conversations]]/tinder[[#This Row],[Tinder Opened]],0)</f>
        <v>6.9794050343249425E-2</v>
      </c>
      <c r="I552">
        <f>tinder[[#This Row],[Conversations]]/MAX(tinder[Conversations])</f>
        <v>9.650371776617624E-3</v>
      </c>
      <c r="J552">
        <f>(tinder[[#This Row],[Norm Engagement]]*2)+(tinder[[#This Row],[Norm Swipes]]*1)+(tinder[[#This Row],[Norm Conversations]]*2)</f>
        <v>0.12430333205721697</v>
      </c>
      <c r="K55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52">
        <v>40</v>
      </c>
      <c r="M552">
        <v>1</v>
      </c>
      <c r="N552">
        <v>177</v>
      </c>
      <c r="O552">
        <v>684</v>
      </c>
      <c r="P552">
        <v>720</v>
      </c>
      <c r="Q552">
        <f>tinder[[#This Row],[All Swipes]]/MAX(tinder[All Swipes])</f>
        <v>2.2666867731051255E-3</v>
      </c>
      <c r="R552">
        <f>tinder[[#This Row],[Swipe Right (LIKE)]]+tinder[[#This Row],[Swipe Left (PASS)]]</f>
        <v>1924</v>
      </c>
      <c r="S552">
        <v>525</v>
      </c>
      <c r="T552">
        <v>1399</v>
      </c>
      <c r="U552" t="s">
        <v>8</v>
      </c>
      <c r="V552" s="1">
        <v>43836</v>
      </c>
      <c r="W552" t="s">
        <v>12</v>
      </c>
      <c r="X552" t="s">
        <v>1295</v>
      </c>
      <c r="Y552" t="s">
        <v>1177</v>
      </c>
      <c r="Z552">
        <v>25</v>
      </c>
      <c r="AA55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53" spans="1:27" x14ac:dyDescent="0.3">
      <c r="A553" t="s">
        <v>685</v>
      </c>
      <c r="B553">
        <v>92</v>
      </c>
      <c r="C553">
        <v>9</v>
      </c>
      <c r="D553">
        <f>IFERROR(tinder[[#This Row],[Tinder Opened]]/tinder[[#This Row],[Days on Tinder]],0)</f>
        <v>10.222222222222221</v>
      </c>
      <c r="E553">
        <f>tinder[[#This Row],[Engagement]]/MAX(tinder[Engagement])</f>
        <v>5.13679508654383E-2</v>
      </c>
      <c r="F55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53">
        <v>0</v>
      </c>
      <c r="H553">
        <f>IFERROR(tinder[[#This Row],[Conversations]]/tinder[[#This Row],[Tinder Opened]],0)</f>
        <v>0</v>
      </c>
      <c r="I553">
        <f>tinder[[#This Row],[Conversations]]/MAX(tinder[Conversations])</f>
        <v>0</v>
      </c>
      <c r="J553">
        <f>(tinder[[#This Row],[Norm Engagement]]*2)+(tinder[[#This Row],[Norm Swipes]]*1)+(tinder[[#This Row],[Norm Conversations]]*2)</f>
        <v>0.106703781695439</v>
      </c>
      <c r="K55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53">
        <v>0</v>
      </c>
      <c r="M553">
        <v>0</v>
      </c>
      <c r="N553">
        <v>1</v>
      </c>
      <c r="O553">
        <v>1</v>
      </c>
      <c r="P553">
        <v>0</v>
      </c>
      <c r="Q553">
        <f>tinder[[#This Row],[All Swipes]]/MAX(tinder[All Swipes])</f>
        <v>3.9678799645624018E-3</v>
      </c>
      <c r="R553">
        <f>tinder[[#This Row],[Swipe Right (LIKE)]]+tinder[[#This Row],[Swipe Left (PASS)]]</f>
        <v>3368</v>
      </c>
      <c r="S553">
        <v>1026</v>
      </c>
      <c r="T553">
        <v>2342</v>
      </c>
      <c r="U553" t="s">
        <v>10</v>
      </c>
      <c r="V553" s="1">
        <v>44197</v>
      </c>
      <c r="W553" t="s">
        <v>12</v>
      </c>
      <c r="X553" t="s">
        <v>1295</v>
      </c>
      <c r="Y553" t="s">
        <v>58</v>
      </c>
      <c r="Z553">
        <v>23</v>
      </c>
      <c r="AA55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54" spans="1:27" x14ac:dyDescent="0.3">
      <c r="A554" t="s">
        <v>264</v>
      </c>
      <c r="B554">
        <v>2589</v>
      </c>
      <c r="C554">
        <v>255</v>
      </c>
      <c r="D554">
        <f>IFERROR(tinder[[#This Row],[Tinder Opened]]/tinder[[#This Row],[Days on Tinder]],0)</f>
        <v>10.152941176470588</v>
      </c>
      <c r="E554">
        <f>tinder[[#This Row],[Engagement]]/MAX(tinder[Engagement])</f>
        <v>5.1019804906887373E-2</v>
      </c>
      <c r="F55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54">
        <v>104</v>
      </c>
      <c r="H554">
        <f>IFERROR(tinder[[#This Row],[Conversations]]/tinder[[#This Row],[Tinder Opened]],0)</f>
        <v>4.0169949787562768E-2</v>
      </c>
      <c r="I554">
        <f>tinder[[#This Row],[Conversations]]/MAX(tinder[Conversations])</f>
        <v>8.2265464325264985E-3</v>
      </c>
      <c r="J554">
        <f>(tinder[[#This Row],[Norm Engagement]]*2)+(tinder[[#This Row],[Norm Swipes]]*1)+(tinder[[#This Row],[Norm Conversations]]*2)</f>
        <v>0.1798782090783301</v>
      </c>
      <c r="K55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54">
        <v>40</v>
      </c>
      <c r="M554">
        <v>0</v>
      </c>
      <c r="N554">
        <v>132</v>
      </c>
      <c r="O554">
        <v>2947</v>
      </c>
      <c r="P554">
        <v>2570</v>
      </c>
      <c r="Q554">
        <f>tinder[[#This Row],[All Swipes]]/MAX(tinder[All Swipes])</f>
        <v>6.1385506399502368E-2</v>
      </c>
      <c r="R554">
        <f>tinder[[#This Row],[Swipe Right (LIKE)]]+tinder[[#This Row],[Swipe Left (PASS)]]</f>
        <v>52105</v>
      </c>
      <c r="S554">
        <v>5043</v>
      </c>
      <c r="T554">
        <v>47062</v>
      </c>
      <c r="U554" t="s">
        <v>140</v>
      </c>
      <c r="V554" s="1">
        <v>43749</v>
      </c>
      <c r="W554" t="s">
        <v>12</v>
      </c>
      <c r="X554" t="s">
        <v>1295</v>
      </c>
      <c r="Y554" t="s">
        <v>108</v>
      </c>
      <c r="Z554">
        <v>30</v>
      </c>
      <c r="AA55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55" spans="1:27" x14ac:dyDescent="0.3">
      <c r="A555" t="s">
        <v>836</v>
      </c>
      <c r="B555">
        <v>1482</v>
      </c>
      <c r="C555">
        <v>146</v>
      </c>
      <c r="D555">
        <f>IFERROR(tinder[[#This Row],[Tinder Opened]]/tinder[[#This Row],[Days on Tinder]],0)</f>
        <v>10.150684931506849</v>
      </c>
      <c r="E555">
        <f>tinder[[#This Row],[Engagement]]/MAX(tinder[Engagement])</f>
        <v>5.1008466992496726E-2</v>
      </c>
      <c r="F55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55">
        <v>23</v>
      </c>
      <c r="H555">
        <f>IFERROR(tinder[[#This Row],[Conversations]]/tinder[[#This Row],[Tinder Opened]],0)</f>
        <v>1.5519568151147099E-2</v>
      </c>
      <c r="I555">
        <f>tinder[[#This Row],[Conversations]]/MAX(tinder[Conversations])</f>
        <v>1.8193323841164373E-3</v>
      </c>
      <c r="J555">
        <f>(tinder[[#This Row],[Norm Engagement]]*2)+(tinder[[#This Row],[Norm Swipes]]*1)+(tinder[[#This Row],[Norm Conversations]]*2)</f>
        <v>0.11071205386246084</v>
      </c>
      <c r="K55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55">
        <v>8</v>
      </c>
      <c r="M555">
        <v>0</v>
      </c>
      <c r="N555">
        <v>27</v>
      </c>
      <c r="O555">
        <v>294</v>
      </c>
      <c r="P555">
        <v>196</v>
      </c>
      <c r="Q555">
        <f>tinder[[#This Row],[All Swipes]]/MAX(tinder[All Swipes])</f>
        <v>5.05645510923451E-3</v>
      </c>
      <c r="R555">
        <f>tinder[[#This Row],[Swipe Right (LIKE)]]+tinder[[#This Row],[Swipe Left (PASS)]]</f>
        <v>4292</v>
      </c>
      <c r="S555">
        <v>2423</v>
      </c>
      <c r="T555">
        <v>1869</v>
      </c>
      <c r="U555" t="s">
        <v>8</v>
      </c>
      <c r="V555" s="1">
        <v>44134</v>
      </c>
      <c r="W555" t="s">
        <v>12</v>
      </c>
      <c r="X555" t="s">
        <v>1295</v>
      </c>
      <c r="Y555" t="s">
        <v>8</v>
      </c>
      <c r="Z555">
        <v>21</v>
      </c>
      <c r="AA55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56" spans="1:27" x14ac:dyDescent="0.3">
      <c r="A556" t="s">
        <v>608</v>
      </c>
      <c r="B556">
        <v>618</v>
      </c>
      <c r="C556">
        <v>61</v>
      </c>
      <c r="D556">
        <f>IFERROR(tinder[[#This Row],[Tinder Opened]]/tinder[[#This Row],[Days on Tinder]],0)</f>
        <v>10.131147540983607</v>
      </c>
      <c r="E556">
        <f>tinder[[#This Row],[Engagement]]/MAX(tinder[Engagement])</f>
        <v>5.0910289150671389E-2</v>
      </c>
      <c r="F55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56">
        <v>41</v>
      </c>
      <c r="H556">
        <f>IFERROR(tinder[[#This Row],[Conversations]]/tinder[[#This Row],[Tinder Opened]],0)</f>
        <v>6.6343042071197414E-2</v>
      </c>
      <c r="I556">
        <f>tinder[[#This Row],[Conversations]]/MAX(tinder[Conversations])</f>
        <v>3.2431577282075619E-3</v>
      </c>
      <c r="J556">
        <f>(tinder[[#This Row],[Norm Engagement]]*2)+(tinder[[#This Row],[Norm Swipes]]*1)+(tinder[[#This Row],[Norm Conversations]]*2)</f>
        <v>0.13625170158418906</v>
      </c>
      <c r="K55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56">
        <v>3</v>
      </c>
      <c r="M556">
        <v>0</v>
      </c>
      <c r="N556">
        <v>53</v>
      </c>
      <c r="O556">
        <v>696</v>
      </c>
      <c r="P556">
        <v>516</v>
      </c>
      <c r="Q556">
        <f>tinder[[#This Row],[All Swipes]]/MAX(tinder[All Swipes])</f>
        <v>2.7944807826431169E-2</v>
      </c>
      <c r="R556">
        <f>tinder[[#This Row],[Swipe Right (LIKE)]]+tinder[[#This Row],[Swipe Left (PASS)]]</f>
        <v>23720</v>
      </c>
      <c r="S556">
        <v>1678</v>
      </c>
      <c r="T556">
        <v>22042</v>
      </c>
      <c r="U556" t="s">
        <v>69</v>
      </c>
      <c r="V556" s="1">
        <v>44220</v>
      </c>
      <c r="W556" t="s">
        <v>12</v>
      </c>
      <c r="X556" t="s">
        <v>1295</v>
      </c>
      <c r="Y556" t="s">
        <v>8</v>
      </c>
      <c r="Z556">
        <v>21</v>
      </c>
      <c r="AA55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57" spans="1:27" x14ac:dyDescent="0.3">
      <c r="A557" t="s">
        <v>1287</v>
      </c>
      <c r="B557">
        <v>7154</v>
      </c>
      <c r="C557">
        <v>707</v>
      </c>
      <c r="D557">
        <f>IFERROR(tinder[[#This Row],[Tinder Opened]]/tinder[[#This Row],[Days on Tinder]],0)</f>
        <v>10.118811881188119</v>
      </c>
      <c r="E557">
        <f>tinder[[#This Row],[Engagement]]/MAX(tinder[Engagement])</f>
        <v>5.0848300910493062E-2</v>
      </c>
      <c r="F55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57">
        <v>415</v>
      </c>
      <c r="H557">
        <f>IFERROR(tinder[[#This Row],[Conversations]]/tinder[[#This Row],[Tinder Opened]],0)</f>
        <v>5.8009505171931784E-2</v>
      </c>
      <c r="I557">
        <f>tinder[[#This Row],[Conversations]]/MAX(tinder[Conversations])</f>
        <v>3.2827084322100936E-2</v>
      </c>
      <c r="J557">
        <f>(tinder[[#This Row],[Norm Engagement]]*2)+(tinder[[#This Row],[Norm Swipes]]*1)+(tinder[[#This Row],[Norm Conversations]]*2)</f>
        <v>0.19942603766090533</v>
      </c>
      <c r="K55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57">
        <v>139</v>
      </c>
      <c r="M557">
        <v>101</v>
      </c>
      <c r="N557">
        <v>1476</v>
      </c>
      <c r="O557">
        <v>2298</v>
      </c>
      <c r="P557">
        <v>2628</v>
      </c>
      <c r="Q557">
        <f>tinder[[#This Row],[All Swipes]]/MAX(tinder[All Swipes])</f>
        <v>3.2075267195717329E-2</v>
      </c>
      <c r="R557">
        <f>tinder[[#This Row],[Swipe Right (LIKE)]]+tinder[[#This Row],[Swipe Left (PASS)]]</f>
        <v>27226</v>
      </c>
      <c r="S557">
        <v>4164</v>
      </c>
      <c r="T557">
        <v>23062</v>
      </c>
      <c r="U557" t="s">
        <v>61</v>
      </c>
      <c r="V557" s="1">
        <v>43273</v>
      </c>
      <c r="W557" t="s">
        <v>12</v>
      </c>
      <c r="X557" t="s">
        <v>1295</v>
      </c>
      <c r="Y557" t="s">
        <v>8</v>
      </c>
      <c r="Z557">
        <v>20</v>
      </c>
      <c r="AA55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58" spans="1:27" x14ac:dyDescent="0.3">
      <c r="A558" t="s">
        <v>260</v>
      </c>
      <c r="B558">
        <v>6403</v>
      </c>
      <c r="C558">
        <v>639</v>
      </c>
      <c r="D558">
        <f>IFERROR(tinder[[#This Row],[Tinder Opened]]/tinder[[#This Row],[Days on Tinder]],0)</f>
        <v>10.020344287949921</v>
      </c>
      <c r="E558">
        <f>tinder[[#This Row],[Engagement]]/MAX(tinder[Engagement])</f>
        <v>5.0353488884170461E-2</v>
      </c>
      <c r="F55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58">
        <v>33</v>
      </c>
      <c r="H558">
        <f>IFERROR(tinder[[#This Row],[Conversations]]/tinder[[#This Row],[Tinder Opened]],0)</f>
        <v>5.153834140246759E-3</v>
      </c>
      <c r="I558">
        <f>tinder[[#This Row],[Conversations]]/MAX(tinder[Conversations])</f>
        <v>2.6103464641670624E-3</v>
      </c>
      <c r="J558">
        <f>(tinder[[#This Row],[Norm Engagement]]*2)+(tinder[[#This Row],[Norm Swipes]]*1)+(tinder[[#This Row],[Norm Conversations]]*2)</f>
        <v>0.20051236278541984</v>
      </c>
      <c r="K55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58">
        <v>4</v>
      </c>
      <c r="M558">
        <v>12</v>
      </c>
      <c r="N558">
        <v>284</v>
      </c>
      <c r="O558">
        <v>414</v>
      </c>
      <c r="P558">
        <v>370</v>
      </c>
      <c r="Q558">
        <f>tinder[[#This Row],[All Swipes]]/MAX(tinder[All Swipes])</f>
        <v>9.4584692088744787E-2</v>
      </c>
      <c r="R558">
        <f>tinder[[#This Row],[Swipe Right (LIKE)]]+tinder[[#This Row],[Swipe Left (PASS)]]</f>
        <v>80285</v>
      </c>
      <c r="S558">
        <v>16314</v>
      </c>
      <c r="T558">
        <v>63971</v>
      </c>
      <c r="U558" t="s">
        <v>6</v>
      </c>
      <c r="V558" s="1">
        <v>43495</v>
      </c>
      <c r="W558" t="s">
        <v>12</v>
      </c>
      <c r="X558" t="s">
        <v>1295</v>
      </c>
      <c r="Y558" t="s">
        <v>8</v>
      </c>
      <c r="Z558">
        <v>30</v>
      </c>
      <c r="AA55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59" spans="1:27" x14ac:dyDescent="0.3">
      <c r="A559" t="s">
        <v>302</v>
      </c>
      <c r="B559">
        <v>2821</v>
      </c>
      <c r="C559">
        <v>282</v>
      </c>
      <c r="D559">
        <f>IFERROR(tinder[[#This Row],[Tinder Opened]]/tinder[[#This Row],[Days on Tinder]],0)</f>
        <v>10.00354609929078</v>
      </c>
      <c r="E559">
        <f>tinder[[#This Row],[Engagement]]/MAX(tinder[Engagement])</f>
        <v>5.0269075875833069E-2</v>
      </c>
      <c r="F55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59">
        <v>115</v>
      </c>
      <c r="H559">
        <f>IFERROR(tinder[[#This Row],[Conversations]]/tinder[[#This Row],[Tinder Opened]],0)</f>
        <v>4.0765685926976249E-2</v>
      </c>
      <c r="I559">
        <f>tinder[[#This Row],[Conversations]]/MAX(tinder[Conversations])</f>
        <v>9.0966619205821858E-3</v>
      </c>
      <c r="J559">
        <f>(tinder[[#This Row],[Norm Engagement]]*2)+(tinder[[#This Row],[Norm Swipes]]*1)+(tinder[[#This Row],[Norm Conversations]]*2)</f>
        <v>0.14702147012639255</v>
      </c>
      <c r="K55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59">
        <v>52</v>
      </c>
      <c r="M559">
        <v>2</v>
      </c>
      <c r="N559">
        <v>451</v>
      </c>
      <c r="O559">
        <v>565</v>
      </c>
      <c r="P559">
        <v>424</v>
      </c>
      <c r="Q559">
        <f>tinder[[#This Row],[All Swipes]]/MAX(tinder[All Swipes])</f>
        <v>2.8289994533562044E-2</v>
      </c>
      <c r="R559">
        <f>tinder[[#This Row],[Swipe Right (LIKE)]]+tinder[[#This Row],[Swipe Left (PASS)]]</f>
        <v>24013</v>
      </c>
      <c r="S559">
        <v>8521</v>
      </c>
      <c r="T559">
        <v>15492</v>
      </c>
      <c r="U559" t="s">
        <v>10</v>
      </c>
      <c r="V559" s="1">
        <v>43790</v>
      </c>
      <c r="W559" t="s">
        <v>12</v>
      </c>
      <c r="X559" t="s">
        <v>1295</v>
      </c>
      <c r="Y559" t="s">
        <v>303</v>
      </c>
      <c r="Z559">
        <v>21</v>
      </c>
      <c r="AA55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60" spans="1:27" x14ac:dyDescent="0.3">
      <c r="A560" t="s">
        <v>94</v>
      </c>
      <c r="B560">
        <v>2426</v>
      </c>
      <c r="C560">
        <v>243</v>
      </c>
      <c r="D560">
        <f>IFERROR(tinder[[#This Row],[Tinder Opened]]/tinder[[#This Row],[Days on Tinder]],0)</f>
        <v>9.9835390946502063</v>
      </c>
      <c r="E560">
        <f>tinder[[#This Row],[Engagement]]/MAX(tinder[Engagement])</f>
        <v>5.0168538164071387E-2</v>
      </c>
      <c r="F56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60">
        <v>56</v>
      </c>
      <c r="H560">
        <f>IFERROR(tinder[[#This Row],[Conversations]]/tinder[[#This Row],[Tinder Opened]],0)</f>
        <v>2.3083264633140973E-2</v>
      </c>
      <c r="I560">
        <f>tinder[[#This Row],[Conversations]]/MAX(tinder[Conversations])</f>
        <v>4.4296788482834993E-3</v>
      </c>
      <c r="J560">
        <f>(tinder[[#This Row],[Norm Engagement]]*2)+(tinder[[#This Row],[Norm Swipes]]*1)+(tinder[[#This Row],[Norm Conversations]]*2)</f>
        <v>0.17546992557058075</v>
      </c>
      <c r="K56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60">
        <v>25</v>
      </c>
      <c r="M560">
        <v>1</v>
      </c>
      <c r="N560">
        <v>145</v>
      </c>
      <c r="O560">
        <v>306</v>
      </c>
      <c r="P560">
        <v>332</v>
      </c>
      <c r="Q560">
        <f>tinder[[#This Row],[All Swipes]]/MAX(tinder[All Swipes])</f>
        <v>6.6273491545870949E-2</v>
      </c>
      <c r="R560">
        <f>tinder[[#This Row],[Swipe Right (LIKE)]]+tinder[[#This Row],[Swipe Left (PASS)]]</f>
        <v>56254</v>
      </c>
      <c r="S560">
        <v>4048</v>
      </c>
      <c r="T560">
        <v>52206</v>
      </c>
      <c r="U560" t="s">
        <v>8</v>
      </c>
      <c r="V560" s="1">
        <v>43413</v>
      </c>
      <c r="W560" t="s">
        <v>12</v>
      </c>
      <c r="X560" t="s">
        <v>1295</v>
      </c>
      <c r="Y560" t="s">
        <v>16</v>
      </c>
      <c r="Z560">
        <v>18</v>
      </c>
      <c r="AA56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61" spans="1:27" x14ac:dyDescent="0.3">
      <c r="A561" t="s">
        <v>1208</v>
      </c>
      <c r="B561">
        <v>7225</v>
      </c>
      <c r="C561">
        <v>726</v>
      </c>
      <c r="D561">
        <f>IFERROR(tinder[[#This Row],[Tinder Opened]]/tinder[[#This Row],[Days on Tinder]],0)</f>
        <v>9.951790633608816</v>
      </c>
      <c r="E561">
        <f>tinder[[#This Row],[Engagement]]/MAX(tinder[Engagement])</f>
        <v>5.0008998158838268E-2</v>
      </c>
      <c r="F56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61">
        <v>337</v>
      </c>
      <c r="H561">
        <f>IFERROR(tinder[[#This Row],[Conversations]]/tinder[[#This Row],[Tinder Opened]],0)</f>
        <v>4.6643598615916958E-2</v>
      </c>
      <c r="I561">
        <f>tinder[[#This Row],[Conversations]]/MAX(tinder[Conversations])</f>
        <v>2.6657174497706059E-2</v>
      </c>
      <c r="J561">
        <f>(tinder[[#This Row],[Norm Engagement]]*2)+(tinder[[#This Row],[Norm Swipes]]*1)+(tinder[[#This Row],[Norm Conversations]]*2)</f>
        <v>0.30181800062590081</v>
      </c>
      <c r="K56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61">
        <v>177</v>
      </c>
      <c r="M561">
        <v>7</v>
      </c>
      <c r="N561">
        <v>407</v>
      </c>
      <c r="O561">
        <v>1364</v>
      </c>
      <c r="P561">
        <v>1195</v>
      </c>
      <c r="Q561">
        <f>tinder[[#This Row],[All Swipes]]/MAX(tinder[All Swipes])</f>
        <v>0.14848565531281219</v>
      </c>
      <c r="R561">
        <f>tinder[[#This Row],[Swipe Right (LIKE)]]+tinder[[#This Row],[Swipe Left (PASS)]]</f>
        <v>126037</v>
      </c>
      <c r="S561">
        <v>26047</v>
      </c>
      <c r="T561">
        <v>99990</v>
      </c>
      <c r="U561" t="s">
        <v>10</v>
      </c>
      <c r="V561" s="1">
        <v>42281</v>
      </c>
      <c r="W561" t="s">
        <v>7</v>
      </c>
      <c r="X561" t="s">
        <v>1295</v>
      </c>
      <c r="Y561" t="s">
        <v>8</v>
      </c>
      <c r="Z561">
        <v>40</v>
      </c>
      <c r="AA561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562" spans="1:27" x14ac:dyDescent="0.3">
      <c r="A562" t="s">
        <v>259</v>
      </c>
      <c r="B562">
        <v>1840</v>
      </c>
      <c r="C562">
        <v>185</v>
      </c>
      <c r="D562">
        <f>IFERROR(tinder[[#This Row],[Tinder Opened]]/tinder[[#This Row],[Days on Tinder]],0)</f>
        <v>9.9459459459459456</v>
      </c>
      <c r="E562">
        <f>tinder[[#This Row],[Engagement]]/MAX(tinder[Engagement])</f>
        <v>4.9979627869075102E-2</v>
      </c>
      <c r="F56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62">
        <v>55</v>
      </c>
      <c r="H562">
        <f>IFERROR(tinder[[#This Row],[Conversations]]/tinder[[#This Row],[Tinder Opened]],0)</f>
        <v>2.9891304347826088E-2</v>
      </c>
      <c r="I562">
        <f>tinder[[#This Row],[Conversations]]/MAX(tinder[Conversations])</f>
        <v>4.3505774402784365E-3</v>
      </c>
      <c r="J562">
        <f>(tinder[[#This Row],[Norm Engagement]]*2)+(tinder[[#This Row],[Norm Swipes]]*1)+(tinder[[#This Row],[Norm Conversations]]*2)</f>
        <v>0.12694116875710221</v>
      </c>
      <c r="K56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62">
        <v>25</v>
      </c>
      <c r="M562">
        <v>1</v>
      </c>
      <c r="N562">
        <v>85</v>
      </c>
      <c r="O562">
        <v>462</v>
      </c>
      <c r="P562">
        <v>416</v>
      </c>
      <c r="Q562">
        <f>tinder[[#This Row],[All Swipes]]/MAX(tinder[All Swipes])</f>
        <v>1.828075813839513E-2</v>
      </c>
      <c r="R562">
        <f>tinder[[#This Row],[Swipe Right (LIKE)]]+tinder[[#This Row],[Swipe Left (PASS)]]</f>
        <v>15517</v>
      </c>
      <c r="S562">
        <v>10431</v>
      </c>
      <c r="T562">
        <v>5086</v>
      </c>
      <c r="U562" t="s">
        <v>10</v>
      </c>
      <c r="V562" s="1">
        <v>43836</v>
      </c>
      <c r="W562" t="s">
        <v>12</v>
      </c>
      <c r="X562" t="s">
        <v>1295</v>
      </c>
      <c r="Y562" t="s">
        <v>8</v>
      </c>
      <c r="Z562">
        <v>30</v>
      </c>
      <c r="AA56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63" spans="1:27" x14ac:dyDescent="0.3">
      <c r="A563" t="s">
        <v>956</v>
      </c>
      <c r="B563">
        <v>4772</v>
      </c>
      <c r="C563">
        <v>481</v>
      </c>
      <c r="D563">
        <f>IFERROR(tinder[[#This Row],[Tinder Opened]]/tinder[[#This Row],[Days on Tinder]],0)</f>
        <v>9.9209979209979213</v>
      </c>
      <c r="E563">
        <f>tinder[[#This Row],[Engagement]]/MAX(tinder[Engagement])</f>
        <v>4.985426090953729E-2</v>
      </c>
      <c r="F56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63">
        <v>67</v>
      </c>
      <c r="H563">
        <f>IFERROR(tinder[[#This Row],[Conversations]]/tinder[[#This Row],[Tinder Opened]],0)</f>
        <v>1.4040234702430847E-2</v>
      </c>
      <c r="I563">
        <f>tinder[[#This Row],[Conversations]]/MAX(tinder[Conversations])</f>
        <v>5.2997943363391866E-3</v>
      </c>
      <c r="J563">
        <f>(tinder[[#This Row],[Norm Engagement]]*2)+(tinder[[#This Row],[Norm Swipes]]*1)+(tinder[[#This Row],[Norm Conversations]]*2)</f>
        <v>0.15744435674535798</v>
      </c>
      <c r="K56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63">
        <v>27</v>
      </c>
      <c r="M563">
        <v>5</v>
      </c>
      <c r="N563">
        <v>274</v>
      </c>
      <c r="O563">
        <v>304</v>
      </c>
      <c r="P563">
        <v>310</v>
      </c>
      <c r="Q563">
        <f>tinder[[#This Row],[All Swipes]]/MAX(tinder[All Swipes])</f>
        <v>4.7136246253605019E-2</v>
      </c>
      <c r="R563">
        <f>tinder[[#This Row],[Swipe Right (LIKE)]]+tinder[[#This Row],[Swipe Left (PASS)]]</f>
        <v>40010</v>
      </c>
      <c r="S563">
        <v>15775</v>
      </c>
      <c r="T563">
        <v>24235</v>
      </c>
      <c r="U563" t="s">
        <v>10</v>
      </c>
      <c r="V563" s="1">
        <v>43373</v>
      </c>
      <c r="W563" t="s">
        <v>12</v>
      </c>
      <c r="X563" t="s">
        <v>1295</v>
      </c>
      <c r="Y563" t="s">
        <v>19</v>
      </c>
      <c r="Z563">
        <v>20</v>
      </c>
      <c r="AA56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64" spans="1:27" x14ac:dyDescent="0.3">
      <c r="A564" t="s">
        <v>530</v>
      </c>
      <c r="B564">
        <v>297</v>
      </c>
      <c r="C564">
        <v>30</v>
      </c>
      <c r="D564">
        <f>IFERROR(tinder[[#This Row],[Tinder Opened]]/tinder[[#This Row],[Days on Tinder]],0)</f>
        <v>9.9</v>
      </c>
      <c r="E564">
        <f>tinder[[#This Row],[Engagement]]/MAX(tinder[Engagement])</f>
        <v>4.9748743718592968E-2</v>
      </c>
      <c r="F56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64">
        <v>9</v>
      </c>
      <c r="H564">
        <f>IFERROR(tinder[[#This Row],[Conversations]]/tinder[[#This Row],[Tinder Opened]],0)</f>
        <v>3.0303030303030304E-2</v>
      </c>
      <c r="I564">
        <f>tinder[[#This Row],[Conversations]]/MAX(tinder[Conversations])</f>
        <v>7.1191267204556241E-4</v>
      </c>
      <c r="J564">
        <f>(tinder[[#This Row],[Norm Engagement]]*2)+(tinder[[#This Row],[Norm Swipes]]*1)+(tinder[[#This Row],[Norm Conversations]]*2)</f>
        <v>0.10522142022505757</v>
      </c>
      <c r="K56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64">
        <v>4</v>
      </c>
      <c r="M564">
        <v>0</v>
      </c>
      <c r="N564">
        <v>15</v>
      </c>
      <c r="O564">
        <v>48</v>
      </c>
      <c r="P564">
        <v>40</v>
      </c>
      <c r="Q564">
        <f>tinder[[#This Row],[All Swipes]]/MAX(tinder[All Swipes])</f>
        <v>4.3001074437805133E-3</v>
      </c>
      <c r="R564">
        <f>tinder[[#This Row],[Swipe Right (LIKE)]]+tinder[[#This Row],[Swipe Left (PASS)]]</f>
        <v>3650</v>
      </c>
      <c r="S564">
        <v>2780</v>
      </c>
      <c r="T564">
        <v>870</v>
      </c>
      <c r="U564" t="s">
        <v>122</v>
      </c>
      <c r="V564" s="1">
        <v>44248</v>
      </c>
      <c r="W564" t="s">
        <v>12</v>
      </c>
      <c r="X564" t="s">
        <v>1295</v>
      </c>
      <c r="Y564" t="s">
        <v>8</v>
      </c>
      <c r="Z564">
        <v>24</v>
      </c>
      <c r="AA56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65" spans="1:27" x14ac:dyDescent="0.3">
      <c r="A565" t="s">
        <v>318</v>
      </c>
      <c r="B565">
        <v>2838</v>
      </c>
      <c r="C565">
        <v>287</v>
      </c>
      <c r="D565">
        <f>IFERROR(tinder[[#This Row],[Tinder Opened]]/tinder[[#This Row],[Days on Tinder]],0)</f>
        <v>9.8885017421602779</v>
      </c>
      <c r="E565">
        <f>tinder[[#This Row],[Engagement]]/MAX(tinder[Engagement])</f>
        <v>4.9690963528443606E-2</v>
      </c>
      <c r="F56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65">
        <v>22</v>
      </c>
      <c r="H565">
        <f>IFERROR(tinder[[#This Row],[Conversations]]/tinder[[#This Row],[Tinder Opened]],0)</f>
        <v>7.7519379844961239E-3</v>
      </c>
      <c r="I565">
        <f>tinder[[#This Row],[Conversations]]/MAX(tinder[Conversations])</f>
        <v>1.7402309761113748E-3</v>
      </c>
      <c r="J565">
        <f>(tinder[[#This Row],[Norm Engagement]]*2)+(tinder[[#This Row],[Norm Swipes]]*1)+(tinder[[#This Row],[Norm Conversations]]*2)</f>
        <v>0.15108249796087336</v>
      </c>
      <c r="K56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65">
        <v>4</v>
      </c>
      <c r="M565">
        <v>8</v>
      </c>
      <c r="N565">
        <v>115</v>
      </c>
      <c r="O565">
        <v>123</v>
      </c>
      <c r="P565">
        <v>115</v>
      </c>
      <c r="Q565">
        <f>tinder[[#This Row],[All Swipes]]/MAX(tinder[All Swipes])</f>
        <v>4.8220108951763395E-2</v>
      </c>
      <c r="R565">
        <f>tinder[[#This Row],[Swipe Right (LIKE)]]+tinder[[#This Row],[Swipe Left (PASS)]]</f>
        <v>40930</v>
      </c>
      <c r="S565">
        <v>5038</v>
      </c>
      <c r="T565">
        <v>35892</v>
      </c>
      <c r="U565" t="s">
        <v>61</v>
      </c>
      <c r="V565" s="1">
        <v>43870</v>
      </c>
      <c r="W565" t="s">
        <v>12</v>
      </c>
      <c r="X565" t="s">
        <v>1295</v>
      </c>
      <c r="Y565" t="s">
        <v>319</v>
      </c>
      <c r="Z565">
        <v>20</v>
      </c>
      <c r="AA56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66" spans="1:27" x14ac:dyDescent="0.3">
      <c r="A566" t="s">
        <v>1014</v>
      </c>
      <c r="B566">
        <v>3163</v>
      </c>
      <c r="C566">
        <v>320</v>
      </c>
      <c r="D566">
        <f>IFERROR(tinder[[#This Row],[Tinder Opened]]/tinder[[#This Row],[Days on Tinder]],0)</f>
        <v>9.8843750000000004</v>
      </c>
      <c r="E566">
        <f>tinder[[#This Row],[Engagement]]/MAX(tinder[Engagement])</f>
        <v>4.9670226130653271E-2</v>
      </c>
      <c r="F56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66">
        <v>158</v>
      </c>
      <c r="H566">
        <f>IFERROR(tinder[[#This Row],[Conversations]]/tinder[[#This Row],[Tinder Opened]],0)</f>
        <v>4.9952576667720516E-2</v>
      </c>
      <c r="I566">
        <f>tinder[[#This Row],[Conversations]]/MAX(tinder[Conversations])</f>
        <v>1.2498022464799873E-2</v>
      </c>
      <c r="J566">
        <f>(tinder[[#This Row],[Norm Engagement]]*2)+(tinder[[#This Row],[Norm Swipes]]*1)+(tinder[[#This Row],[Norm Conversations]]*2)</f>
        <v>0.14001951918860661</v>
      </c>
      <c r="K56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66">
        <v>58</v>
      </c>
      <c r="M566">
        <v>9</v>
      </c>
      <c r="N566">
        <v>617</v>
      </c>
      <c r="O566">
        <v>887</v>
      </c>
      <c r="P566">
        <v>1131</v>
      </c>
      <c r="Q566">
        <f>tinder[[#This Row],[All Swipes]]/MAX(tinder[All Swipes])</f>
        <v>1.5683021997700327E-2</v>
      </c>
      <c r="R566">
        <f>tinder[[#This Row],[Swipe Right (LIKE)]]+tinder[[#This Row],[Swipe Left (PASS)]]</f>
        <v>13312</v>
      </c>
      <c r="S566">
        <v>8710</v>
      </c>
      <c r="T566">
        <v>4602</v>
      </c>
      <c r="U566" t="s">
        <v>311</v>
      </c>
      <c r="V566" s="1">
        <v>43876</v>
      </c>
      <c r="W566" t="s">
        <v>12</v>
      </c>
      <c r="X566" t="s">
        <v>1295</v>
      </c>
      <c r="Y566" t="s">
        <v>241</v>
      </c>
      <c r="Z566">
        <v>28</v>
      </c>
      <c r="AA56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67" spans="1:27" x14ac:dyDescent="0.3">
      <c r="A567" t="s">
        <v>925</v>
      </c>
      <c r="B567">
        <v>11978</v>
      </c>
      <c r="C567">
        <v>1216</v>
      </c>
      <c r="D567">
        <f>IFERROR(tinder[[#This Row],[Tinder Opened]]/tinder[[#This Row],[Days on Tinder]],0)</f>
        <v>9.8503289473684212</v>
      </c>
      <c r="E567">
        <f>tinder[[#This Row],[Engagement]]/MAX(tinder[Engagement])</f>
        <v>4.949914043903729E-2</v>
      </c>
      <c r="F56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67">
        <v>397</v>
      </c>
      <c r="H567">
        <f>IFERROR(tinder[[#This Row],[Conversations]]/tinder[[#This Row],[Tinder Opened]],0)</f>
        <v>3.3144097512105529E-2</v>
      </c>
      <c r="I567">
        <f>tinder[[#This Row],[Conversations]]/MAX(tinder[Conversations])</f>
        <v>3.1403258978009808E-2</v>
      </c>
      <c r="J567">
        <f>(tinder[[#This Row],[Norm Engagement]]*2)+(tinder[[#This Row],[Norm Swipes]]*1)+(tinder[[#This Row],[Norm Conversations]]*2)</f>
        <v>0.21150108165628417</v>
      </c>
      <c r="K56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67">
        <v>122</v>
      </c>
      <c r="M567">
        <v>11</v>
      </c>
      <c r="N567">
        <v>1138</v>
      </c>
      <c r="O567">
        <v>4074</v>
      </c>
      <c r="P567">
        <v>4281</v>
      </c>
      <c r="Q567">
        <f>tinder[[#This Row],[All Swipes]]/MAX(tinder[All Swipes])</f>
        <v>4.969628282218997E-2</v>
      </c>
      <c r="R567">
        <f>tinder[[#This Row],[Swipe Right (LIKE)]]+tinder[[#This Row],[Swipe Left (PASS)]]</f>
        <v>42183</v>
      </c>
      <c r="S567">
        <v>16245</v>
      </c>
      <c r="T567">
        <v>25938</v>
      </c>
      <c r="U567" t="s">
        <v>88</v>
      </c>
      <c r="V567" s="1">
        <v>42481</v>
      </c>
      <c r="W567" t="s">
        <v>7</v>
      </c>
      <c r="X567" t="s">
        <v>1295</v>
      </c>
      <c r="Y567" t="s">
        <v>926</v>
      </c>
      <c r="Z567">
        <v>21</v>
      </c>
      <c r="AA56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68" spans="1:27" x14ac:dyDescent="0.3">
      <c r="A568" t="s">
        <v>723</v>
      </c>
      <c r="B568">
        <v>18781</v>
      </c>
      <c r="C568">
        <v>1912</v>
      </c>
      <c r="D568">
        <f>IFERROR(tinder[[#This Row],[Tinder Opened]]/tinder[[#This Row],[Days on Tinder]],0)</f>
        <v>9.822698744769875</v>
      </c>
      <c r="E568">
        <f>tinder[[#This Row],[Engagement]]/MAX(tinder[Engagement])</f>
        <v>4.9360295199848615E-2</v>
      </c>
      <c r="F56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68">
        <v>1460</v>
      </c>
      <c r="H568">
        <f>IFERROR(tinder[[#This Row],[Conversations]]/tinder[[#This Row],[Tinder Opened]],0)</f>
        <v>7.7738139609179496E-2</v>
      </c>
      <c r="I568">
        <f>tinder[[#This Row],[Conversations]]/MAX(tinder[Conversations])</f>
        <v>0.11548805568739123</v>
      </c>
      <c r="J568">
        <f>(tinder[[#This Row],[Norm Engagement]]*2)+(tinder[[#This Row],[Norm Swipes]]*1)+(tinder[[#This Row],[Norm Conversations]]*2)</f>
        <v>0.51213553421873148</v>
      </c>
      <c r="K56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68">
        <v>550</v>
      </c>
      <c r="M568">
        <v>271</v>
      </c>
      <c r="N568">
        <v>4114</v>
      </c>
      <c r="O568">
        <v>3689</v>
      </c>
      <c r="P568">
        <v>3975</v>
      </c>
      <c r="Q568">
        <f>tinder[[#This Row],[All Swipes]]/MAX(tinder[All Swipes])</f>
        <v>0.18243883244425177</v>
      </c>
      <c r="R568">
        <f>tinder[[#This Row],[Swipe Right (LIKE)]]+tinder[[#This Row],[Swipe Left (PASS)]]</f>
        <v>154857</v>
      </c>
      <c r="S568">
        <v>113065</v>
      </c>
      <c r="T568">
        <v>41792</v>
      </c>
      <c r="U568" t="s">
        <v>197</v>
      </c>
      <c r="V568" s="1">
        <v>41414</v>
      </c>
      <c r="W568" t="s">
        <v>7</v>
      </c>
      <c r="X568" t="s">
        <v>1295</v>
      </c>
      <c r="Y568" t="s">
        <v>724</v>
      </c>
      <c r="Z568">
        <v>19</v>
      </c>
      <c r="AA56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69" spans="1:27" x14ac:dyDescent="0.3">
      <c r="A569" t="s">
        <v>837</v>
      </c>
      <c r="B569">
        <v>11707</v>
      </c>
      <c r="C569">
        <v>1193</v>
      </c>
      <c r="D569">
        <f>IFERROR(tinder[[#This Row],[Tinder Opened]]/tinder[[#This Row],[Days on Tinder]],0)</f>
        <v>9.8130762782900245</v>
      </c>
      <c r="E569">
        <f>tinder[[#This Row],[Engagement]]/MAX(tinder[Engagement])</f>
        <v>4.9311941096934798E-2</v>
      </c>
      <c r="F56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69">
        <v>282</v>
      </c>
      <c r="H569">
        <f>IFERROR(tinder[[#This Row],[Conversations]]/tinder[[#This Row],[Tinder Opened]],0)</f>
        <v>2.4088152387460492E-2</v>
      </c>
      <c r="I569">
        <f>tinder[[#This Row],[Conversations]]/MAX(tinder[Conversations])</f>
        <v>2.2306597057427623E-2</v>
      </c>
      <c r="J569">
        <f>(tinder[[#This Row],[Norm Engagement]]*2)+(tinder[[#This Row],[Norm Swipes]]*1)+(tinder[[#This Row],[Norm Conversations]]*2)</f>
        <v>0.26809099046679913</v>
      </c>
      <c r="K56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69">
        <v>112</v>
      </c>
      <c r="M569">
        <v>13</v>
      </c>
      <c r="N569">
        <v>1679</v>
      </c>
      <c r="O569">
        <v>6288</v>
      </c>
      <c r="P569">
        <v>4654</v>
      </c>
      <c r="Q569">
        <f>tinder[[#This Row],[All Swipes]]/MAX(tinder[All Swipes])</f>
        <v>0.1248539141580743</v>
      </c>
      <c r="R569">
        <f>tinder[[#This Row],[Swipe Right (LIKE)]]+tinder[[#This Row],[Swipe Left (PASS)]]</f>
        <v>105978</v>
      </c>
      <c r="S569">
        <v>41886</v>
      </c>
      <c r="T569">
        <v>64092</v>
      </c>
      <c r="U569" t="s">
        <v>8</v>
      </c>
      <c r="V569" s="1">
        <v>41969</v>
      </c>
      <c r="W569" t="s">
        <v>12</v>
      </c>
      <c r="X569" t="s">
        <v>1295</v>
      </c>
      <c r="Y569" t="s">
        <v>838</v>
      </c>
      <c r="Z569">
        <v>19</v>
      </c>
      <c r="AA56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70" spans="1:27" x14ac:dyDescent="0.3">
      <c r="A570" t="s">
        <v>707</v>
      </c>
      <c r="B570">
        <v>950</v>
      </c>
      <c r="C570">
        <v>97</v>
      </c>
      <c r="D570">
        <f>IFERROR(tinder[[#This Row],[Tinder Opened]]/tinder[[#This Row],[Days on Tinder]],0)</f>
        <v>9.7938144329896915</v>
      </c>
      <c r="E570">
        <f>tinder[[#This Row],[Engagement]]/MAX(tinder[Engagement])</f>
        <v>4.9215147904470812E-2</v>
      </c>
      <c r="F57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70">
        <v>45</v>
      </c>
      <c r="H570">
        <f>IFERROR(tinder[[#This Row],[Conversations]]/tinder[[#This Row],[Tinder Opened]],0)</f>
        <v>4.736842105263158E-2</v>
      </c>
      <c r="I570">
        <f>tinder[[#This Row],[Conversations]]/MAX(tinder[Conversations])</f>
        <v>3.559563360227812E-3</v>
      </c>
      <c r="J570">
        <f>(tinder[[#This Row],[Norm Engagement]]*2)+(tinder[[#This Row],[Norm Swipes]]*1)+(tinder[[#This Row],[Norm Conversations]]*2)</f>
        <v>0.11711376627409575</v>
      </c>
      <c r="K57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70">
        <v>5</v>
      </c>
      <c r="M570">
        <v>7</v>
      </c>
      <c r="N570">
        <v>118</v>
      </c>
      <c r="O570">
        <v>880</v>
      </c>
      <c r="P570">
        <v>1236</v>
      </c>
      <c r="Q570">
        <f>tinder[[#This Row],[All Swipes]]/MAX(tinder[All Swipes])</f>
        <v>1.1564343744698497E-2</v>
      </c>
      <c r="R570">
        <f>tinder[[#This Row],[Swipe Right (LIKE)]]+tinder[[#This Row],[Swipe Left (PASS)]]</f>
        <v>9816</v>
      </c>
      <c r="S570">
        <v>358</v>
      </c>
      <c r="T570">
        <v>9458</v>
      </c>
      <c r="U570" t="s">
        <v>65</v>
      </c>
      <c r="V570" s="1">
        <v>44139</v>
      </c>
      <c r="W570" t="s">
        <v>12</v>
      </c>
      <c r="X570" t="s">
        <v>1296</v>
      </c>
      <c r="Y570" t="s">
        <v>8</v>
      </c>
      <c r="Z570">
        <v>32</v>
      </c>
      <c r="AA57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571" spans="1:27" x14ac:dyDescent="0.3">
      <c r="A571" t="s">
        <v>741</v>
      </c>
      <c r="B571">
        <v>39</v>
      </c>
      <c r="C571">
        <v>4</v>
      </c>
      <c r="D571">
        <f>IFERROR(tinder[[#This Row],[Tinder Opened]]/tinder[[#This Row],[Days on Tinder]],0)</f>
        <v>9.75</v>
      </c>
      <c r="E571">
        <f>tinder[[#This Row],[Engagement]]/MAX(tinder[Engagement])</f>
        <v>4.8994974874371856E-2</v>
      </c>
      <c r="F57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71">
        <v>23</v>
      </c>
      <c r="H571">
        <f>IFERROR(tinder[[#This Row],[Conversations]]/tinder[[#This Row],[Tinder Opened]],0)</f>
        <v>0.58974358974358976</v>
      </c>
      <c r="I571">
        <f>tinder[[#This Row],[Conversations]]/MAX(tinder[Conversations])</f>
        <v>1.8193323841164373E-3</v>
      </c>
      <c r="J571">
        <f>(tinder[[#This Row],[Norm Engagement]]*2)+(tinder[[#This Row],[Norm Swipes]]*1)+(tinder[[#This Row],[Norm Conversations]]*2)</f>
        <v>0.10206333770786838</v>
      </c>
      <c r="K57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71">
        <v>9</v>
      </c>
      <c r="M571">
        <v>1</v>
      </c>
      <c r="N571">
        <v>3</v>
      </c>
      <c r="O571">
        <v>199</v>
      </c>
      <c r="P571">
        <v>234</v>
      </c>
      <c r="Q571">
        <f>tinder[[#This Row],[All Swipes]]/MAX(tinder[All Swipes])</f>
        <v>4.3472319089178337E-4</v>
      </c>
      <c r="R571">
        <f>tinder[[#This Row],[Swipe Right (LIKE)]]+tinder[[#This Row],[Swipe Left (PASS)]]</f>
        <v>369</v>
      </c>
      <c r="S571">
        <v>340</v>
      </c>
      <c r="T571">
        <v>29</v>
      </c>
      <c r="U571" t="s">
        <v>8</v>
      </c>
      <c r="V571" s="1">
        <v>44297</v>
      </c>
      <c r="W571" t="s">
        <v>12</v>
      </c>
      <c r="X571" t="s">
        <v>1295</v>
      </c>
      <c r="Y571" t="s">
        <v>742</v>
      </c>
      <c r="Z571">
        <v>23</v>
      </c>
      <c r="AA57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72" spans="1:27" x14ac:dyDescent="0.3">
      <c r="A572" t="s">
        <v>869</v>
      </c>
      <c r="B572">
        <v>4139</v>
      </c>
      <c r="C572">
        <v>425</v>
      </c>
      <c r="D572">
        <f>IFERROR(tinder[[#This Row],[Tinder Opened]]/tinder[[#This Row],[Days on Tinder]],0)</f>
        <v>9.7388235294117642</v>
      </c>
      <c r="E572">
        <f>tinder[[#This Row],[Engagement]]/MAX(tinder[Engagement])</f>
        <v>4.8938811705586754E-2</v>
      </c>
      <c r="F57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72">
        <v>226</v>
      </c>
      <c r="H572">
        <f>IFERROR(tinder[[#This Row],[Conversations]]/tinder[[#This Row],[Tinder Opened]],0)</f>
        <v>5.4602561005073692E-2</v>
      </c>
      <c r="I572">
        <f>tinder[[#This Row],[Conversations]]/MAX(tinder[Conversations])</f>
        <v>1.7876918209144124E-2</v>
      </c>
      <c r="J572">
        <f>(tinder[[#This Row],[Norm Engagement]]*2)+(tinder[[#This Row],[Norm Swipes]]*1)+(tinder[[#This Row],[Norm Conversations]]*2)</f>
        <v>0.18149106662292466</v>
      </c>
      <c r="K57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72">
        <v>86</v>
      </c>
      <c r="M572">
        <v>5</v>
      </c>
      <c r="N572">
        <v>431</v>
      </c>
      <c r="O572">
        <v>1715</v>
      </c>
      <c r="P572">
        <v>1278</v>
      </c>
      <c r="Q572">
        <f>tinder[[#This Row],[All Swipes]]/MAX(tinder[All Swipes])</f>
        <v>4.7859606793462892E-2</v>
      </c>
      <c r="R572">
        <f>tinder[[#This Row],[Swipe Right (LIKE)]]+tinder[[#This Row],[Swipe Left (PASS)]]</f>
        <v>40624</v>
      </c>
      <c r="S572">
        <v>14928</v>
      </c>
      <c r="T572">
        <v>25696</v>
      </c>
      <c r="U572" t="s">
        <v>10</v>
      </c>
      <c r="V572" s="1">
        <v>43602</v>
      </c>
      <c r="W572" t="s">
        <v>12</v>
      </c>
      <c r="X572" t="s">
        <v>1295</v>
      </c>
      <c r="Y572" t="s">
        <v>870</v>
      </c>
      <c r="Z572">
        <v>20</v>
      </c>
      <c r="AA57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73" spans="1:27" x14ac:dyDescent="0.3">
      <c r="A573" t="s">
        <v>1068</v>
      </c>
      <c r="B573">
        <v>603</v>
      </c>
      <c r="C573">
        <v>62</v>
      </c>
      <c r="D573">
        <f>IFERROR(tinder[[#This Row],[Tinder Opened]]/tinder[[#This Row],[Days on Tinder]],0)</f>
        <v>9.7258064516129039</v>
      </c>
      <c r="E573">
        <f>tinder[[#This Row],[Engagement]]/MAX(tinder[Engagement])</f>
        <v>4.8873399254336203E-2</v>
      </c>
      <c r="F57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73">
        <v>5</v>
      </c>
      <c r="H573">
        <f>IFERROR(tinder[[#This Row],[Conversations]]/tinder[[#This Row],[Tinder Opened]],0)</f>
        <v>8.291873963515755E-3</v>
      </c>
      <c r="I573">
        <f>tinder[[#This Row],[Conversations]]/MAX(tinder[Conversations])</f>
        <v>3.9550704002531246E-4</v>
      </c>
      <c r="J573">
        <f>(tinder[[#This Row],[Norm Engagement]]*2)+(tinder[[#This Row],[Norm Swipes]]*1)+(tinder[[#This Row],[Norm Conversations]]*2)</f>
        <v>0.10952252541223248</v>
      </c>
      <c r="K57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73">
        <v>3</v>
      </c>
      <c r="M573">
        <v>1</v>
      </c>
      <c r="N573">
        <v>6</v>
      </c>
      <c r="O573">
        <v>8</v>
      </c>
      <c r="P573">
        <v>6</v>
      </c>
      <c r="Q573">
        <f>tinder[[#This Row],[All Swipes]]/MAX(tinder[All Swipes])</f>
        <v>1.0984712823509454E-2</v>
      </c>
      <c r="R573">
        <f>tinder[[#This Row],[Swipe Right (LIKE)]]+tinder[[#This Row],[Swipe Left (PASS)]]</f>
        <v>9324</v>
      </c>
      <c r="S573">
        <v>1660</v>
      </c>
      <c r="T573">
        <v>7664</v>
      </c>
      <c r="U573" t="s">
        <v>140</v>
      </c>
      <c r="V573" s="1">
        <v>44117</v>
      </c>
      <c r="W573" t="s">
        <v>12</v>
      </c>
      <c r="X573" t="s">
        <v>1295</v>
      </c>
      <c r="Y573" t="s">
        <v>8</v>
      </c>
      <c r="Z573">
        <v>21</v>
      </c>
      <c r="AA57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74" spans="1:27" x14ac:dyDescent="0.3">
      <c r="A574" t="s">
        <v>406</v>
      </c>
      <c r="B574">
        <v>1400</v>
      </c>
      <c r="C574">
        <v>144</v>
      </c>
      <c r="D574">
        <f>IFERROR(tinder[[#This Row],[Tinder Opened]]/tinder[[#This Row],[Days on Tinder]],0)</f>
        <v>9.7222222222222214</v>
      </c>
      <c r="E574">
        <f>tinder[[#This Row],[Engagement]]/MAX(tinder[Engagement])</f>
        <v>4.8855388051367944E-2</v>
      </c>
      <c r="F57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74">
        <v>22</v>
      </c>
      <c r="H574">
        <f>IFERROR(tinder[[#This Row],[Conversations]]/tinder[[#This Row],[Tinder Opened]],0)</f>
        <v>1.5714285714285715E-2</v>
      </c>
      <c r="I574">
        <f>tinder[[#This Row],[Conversations]]/MAX(tinder[Conversations])</f>
        <v>1.7402309761113748E-3</v>
      </c>
      <c r="J574">
        <f>(tinder[[#This Row],[Norm Engagement]]*2)+(tinder[[#This Row],[Norm Swipes]]*1)+(tinder[[#This Row],[Norm Conversations]]*2)</f>
        <v>0.11245751955766359</v>
      </c>
      <c r="K57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74">
        <v>6</v>
      </c>
      <c r="M574">
        <v>0</v>
      </c>
      <c r="N574">
        <v>32</v>
      </c>
      <c r="O574">
        <v>435</v>
      </c>
      <c r="P574">
        <v>388</v>
      </c>
      <c r="Q574">
        <f>tinder[[#This Row],[All Swipes]]/MAX(tinder[All Swipes])</f>
        <v>1.1266281502704945E-2</v>
      </c>
      <c r="R574">
        <f>tinder[[#This Row],[Swipe Right (LIKE)]]+tinder[[#This Row],[Swipe Left (PASS)]]</f>
        <v>9563</v>
      </c>
      <c r="S574">
        <v>4171</v>
      </c>
      <c r="T574">
        <v>5392</v>
      </c>
      <c r="U574" t="s">
        <v>238</v>
      </c>
      <c r="V574" s="1">
        <v>43984</v>
      </c>
      <c r="W574" t="s">
        <v>12</v>
      </c>
      <c r="X574" t="s">
        <v>1295</v>
      </c>
      <c r="Y574" t="s">
        <v>407</v>
      </c>
      <c r="Z574">
        <v>36</v>
      </c>
      <c r="AA574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575" spans="1:27" x14ac:dyDescent="0.3">
      <c r="A575" t="s">
        <v>678</v>
      </c>
      <c r="B575">
        <v>233</v>
      </c>
      <c r="C575">
        <v>24</v>
      </c>
      <c r="D575">
        <f>IFERROR(tinder[[#This Row],[Tinder Opened]]/tinder[[#This Row],[Days on Tinder]],0)</f>
        <v>9.7083333333333339</v>
      </c>
      <c r="E575">
        <f>tinder[[#This Row],[Engagement]]/MAX(tinder[Engagement])</f>
        <v>4.8785594639866002E-2</v>
      </c>
      <c r="F57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75">
        <v>26</v>
      </c>
      <c r="H575">
        <f>IFERROR(tinder[[#This Row],[Conversations]]/tinder[[#This Row],[Tinder Opened]],0)</f>
        <v>0.11158798283261803</v>
      </c>
      <c r="I575">
        <f>tinder[[#This Row],[Conversations]]/MAX(tinder[Conversations])</f>
        <v>2.0566366081316246E-3</v>
      </c>
      <c r="J575">
        <f>(tinder[[#This Row],[Norm Engagement]]*2)+(tinder[[#This Row],[Norm Swipes]]*1)+(tinder[[#This Row],[Norm Conversations]]*2)</f>
        <v>0.10261634879408577</v>
      </c>
      <c r="K57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75">
        <v>14</v>
      </c>
      <c r="M575">
        <v>0</v>
      </c>
      <c r="N575">
        <v>23</v>
      </c>
      <c r="O575">
        <v>73</v>
      </c>
      <c r="P575">
        <v>54</v>
      </c>
      <c r="Q575">
        <f>tinder[[#This Row],[All Swipes]]/MAX(tinder[All Swipes])</f>
        <v>9.3188629809051672E-4</v>
      </c>
      <c r="R575">
        <f>tinder[[#This Row],[Swipe Right (LIKE)]]+tinder[[#This Row],[Swipe Left (PASS)]]</f>
        <v>791</v>
      </c>
      <c r="S575">
        <v>276</v>
      </c>
      <c r="T575">
        <v>515</v>
      </c>
      <c r="U575" t="s">
        <v>679</v>
      </c>
      <c r="V575" s="1">
        <v>44127</v>
      </c>
      <c r="W575" t="s">
        <v>12</v>
      </c>
      <c r="X575" t="s">
        <v>1295</v>
      </c>
      <c r="Y575" t="s">
        <v>680</v>
      </c>
      <c r="Z575">
        <v>22</v>
      </c>
      <c r="AA57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76" spans="1:27" x14ac:dyDescent="0.3">
      <c r="A576" t="s">
        <v>473</v>
      </c>
      <c r="B576">
        <v>970</v>
      </c>
      <c r="C576">
        <v>100</v>
      </c>
      <c r="D576">
        <f>IFERROR(tinder[[#This Row],[Tinder Opened]]/tinder[[#This Row],[Days on Tinder]],0)</f>
        <v>9.6999999999999993</v>
      </c>
      <c r="E576">
        <f>tinder[[#This Row],[Engagement]]/MAX(tinder[Engagement])</f>
        <v>4.8743718592964821E-2</v>
      </c>
      <c r="F57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76">
        <v>17</v>
      </c>
      <c r="H576">
        <f>IFERROR(tinder[[#This Row],[Conversations]]/tinder[[#This Row],[Tinder Opened]],0)</f>
        <v>1.7525773195876289E-2</v>
      </c>
      <c r="I576">
        <f>tinder[[#This Row],[Conversations]]/MAX(tinder[Conversations])</f>
        <v>1.3447239360860623E-3</v>
      </c>
      <c r="J576">
        <f>(tinder[[#This Row],[Norm Engagement]]*2)+(tinder[[#This Row],[Norm Swipes]]*1)+(tinder[[#This Row],[Norm Conversations]]*2)</f>
        <v>0.11162341763995696</v>
      </c>
      <c r="K57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76">
        <v>4</v>
      </c>
      <c r="M576">
        <v>1</v>
      </c>
      <c r="N576">
        <v>75</v>
      </c>
      <c r="O576">
        <v>78</v>
      </c>
      <c r="P576">
        <v>49</v>
      </c>
      <c r="Q576">
        <f>tinder[[#This Row],[All Swipes]]/MAX(tinder[All Swipes])</f>
        <v>1.1446532581855197E-2</v>
      </c>
      <c r="R576">
        <f>tinder[[#This Row],[Swipe Right (LIKE)]]+tinder[[#This Row],[Swipe Left (PASS)]]</f>
        <v>9716</v>
      </c>
      <c r="S576">
        <v>1093</v>
      </c>
      <c r="T576">
        <v>8623</v>
      </c>
      <c r="U576" t="s">
        <v>8</v>
      </c>
      <c r="V576" s="1">
        <v>44163</v>
      </c>
      <c r="W576" t="s">
        <v>12</v>
      </c>
      <c r="X576" t="s">
        <v>1295</v>
      </c>
      <c r="Y576" t="s">
        <v>474</v>
      </c>
      <c r="Z576">
        <v>20</v>
      </c>
      <c r="AA57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77" spans="1:27" x14ac:dyDescent="0.3">
      <c r="A577" t="s">
        <v>177</v>
      </c>
      <c r="B577">
        <v>5785</v>
      </c>
      <c r="C577">
        <v>601</v>
      </c>
      <c r="D577">
        <f>IFERROR(tinder[[#This Row],[Tinder Opened]]/tinder[[#This Row],[Days on Tinder]],0)</f>
        <v>9.6256239600665552</v>
      </c>
      <c r="E577">
        <f>tinder[[#This Row],[Engagement]]/MAX(tinder[Engagement])</f>
        <v>4.8369969648575657E-2</v>
      </c>
      <c r="F57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77">
        <v>480</v>
      </c>
      <c r="H577">
        <f>IFERROR(tinder[[#This Row],[Conversations]]/tinder[[#This Row],[Tinder Opened]],0)</f>
        <v>8.2973206568712182E-2</v>
      </c>
      <c r="I577">
        <f>tinder[[#This Row],[Conversations]]/MAX(tinder[Conversations])</f>
        <v>3.7968675842429994E-2</v>
      </c>
      <c r="J577">
        <f>(tinder[[#This Row],[Norm Engagement]]*2)+(tinder[[#This Row],[Norm Swipes]]*1)+(tinder[[#This Row],[Norm Conversations]]*2)</f>
        <v>0.18493907681074215</v>
      </c>
      <c r="K57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77">
        <v>123</v>
      </c>
      <c r="M577">
        <v>36</v>
      </c>
      <c r="N577">
        <v>774</v>
      </c>
      <c r="O577">
        <v>5610</v>
      </c>
      <c r="P577">
        <v>6691</v>
      </c>
      <c r="Q577">
        <f>tinder[[#This Row],[All Swipes]]/MAX(tinder[All Swipes])</f>
        <v>1.2261785828730843E-2</v>
      </c>
      <c r="R577">
        <f>tinder[[#This Row],[Swipe Right (LIKE)]]+tinder[[#This Row],[Swipe Left (PASS)]]</f>
        <v>10408</v>
      </c>
      <c r="S577">
        <v>1678</v>
      </c>
      <c r="T577">
        <v>8730</v>
      </c>
      <c r="U577" t="s">
        <v>8</v>
      </c>
      <c r="V577" s="1">
        <v>42761</v>
      </c>
      <c r="W577" t="s">
        <v>7</v>
      </c>
      <c r="X577" t="s">
        <v>1296</v>
      </c>
      <c r="Y577" t="s">
        <v>8</v>
      </c>
      <c r="Z577">
        <v>34</v>
      </c>
      <c r="AA577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578" spans="1:27" x14ac:dyDescent="0.3">
      <c r="A578" t="s">
        <v>693</v>
      </c>
      <c r="B578">
        <v>2536</v>
      </c>
      <c r="C578">
        <v>264</v>
      </c>
      <c r="D578">
        <f>IFERROR(tinder[[#This Row],[Tinder Opened]]/tinder[[#This Row],[Days on Tinder]],0)</f>
        <v>9.6060606060606055</v>
      </c>
      <c r="E578">
        <f>tinder[[#This Row],[Engagement]]/MAX(tinder[Engagement])</f>
        <v>4.8271661336987966E-2</v>
      </c>
      <c r="F57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78">
        <v>19</v>
      </c>
      <c r="H578">
        <f>IFERROR(tinder[[#This Row],[Conversations]]/tinder[[#This Row],[Tinder Opened]],0)</f>
        <v>7.49211356466877E-3</v>
      </c>
      <c r="I578">
        <f>tinder[[#This Row],[Conversations]]/MAX(tinder[Conversations])</f>
        <v>1.5029267520961873E-3</v>
      </c>
      <c r="J578">
        <f>(tinder[[#This Row],[Norm Engagement]]*2)+(tinder[[#This Row],[Norm Swipes]]*1)+(tinder[[#This Row],[Norm Conversations]]*2)</f>
        <v>0.13283672023954321</v>
      </c>
      <c r="K57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78">
        <v>7</v>
      </c>
      <c r="M578">
        <v>2</v>
      </c>
      <c r="N578">
        <v>23</v>
      </c>
      <c r="O578">
        <v>81</v>
      </c>
      <c r="P578">
        <v>57</v>
      </c>
      <c r="Q578">
        <f>tinder[[#This Row],[All Swipes]]/MAX(tinder[All Swipes])</f>
        <v>3.32875440613749E-2</v>
      </c>
      <c r="R578">
        <f>tinder[[#This Row],[Swipe Right (LIKE)]]+tinder[[#This Row],[Swipe Left (PASS)]]</f>
        <v>28255</v>
      </c>
      <c r="S578">
        <v>5512</v>
      </c>
      <c r="T578">
        <v>22743</v>
      </c>
      <c r="U578" t="s">
        <v>10</v>
      </c>
      <c r="V578" s="1">
        <v>43851</v>
      </c>
      <c r="W578" t="s">
        <v>12</v>
      </c>
      <c r="X578" t="s">
        <v>1295</v>
      </c>
      <c r="Y578" t="s">
        <v>8</v>
      </c>
      <c r="Z578">
        <v>21</v>
      </c>
      <c r="AA57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79" spans="1:27" x14ac:dyDescent="0.3">
      <c r="A579" t="s">
        <v>625</v>
      </c>
      <c r="B579">
        <v>3821</v>
      </c>
      <c r="C579">
        <v>398</v>
      </c>
      <c r="D579">
        <f>IFERROR(tinder[[#This Row],[Tinder Opened]]/tinder[[#This Row],[Days on Tinder]],0)</f>
        <v>9.6005025125628141</v>
      </c>
      <c r="E579">
        <f>tinder[[#This Row],[Engagement]]/MAX(tinder[Engagement])</f>
        <v>4.8243731218908611E-2</v>
      </c>
      <c r="F57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79">
        <v>27</v>
      </c>
      <c r="H579">
        <f>IFERROR(tinder[[#This Row],[Conversations]]/tinder[[#This Row],[Tinder Opened]],0)</f>
        <v>7.0662130332373721E-3</v>
      </c>
      <c r="I579">
        <f>tinder[[#This Row],[Conversations]]/MAX(tinder[Conversations])</f>
        <v>2.1357380161366873E-3</v>
      </c>
      <c r="J579">
        <f>(tinder[[#This Row],[Norm Engagement]]*2)+(tinder[[#This Row],[Norm Swipes]]*1)+(tinder[[#This Row],[Norm Conversations]]*2)</f>
        <v>0.16603221324342191</v>
      </c>
      <c r="K57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79">
        <v>7</v>
      </c>
      <c r="M579">
        <v>6</v>
      </c>
      <c r="N579">
        <v>177</v>
      </c>
      <c r="O579">
        <v>139</v>
      </c>
      <c r="P579">
        <v>128</v>
      </c>
      <c r="Q579">
        <f>tinder[[#This Row],[All Swipes]]/MAX(tinder[All Swipes])</f>
        <v>6.5273274773331322E-2</v>
      </c>
      <c r="R579">
        <f>tinder[[#This Row],[Swipe Right (LIKE)]]+tinder[[#This Row],[Swipe Left (PASS)]]</f>
        <v>55405</v>
      </c>
      <c r="S579">
        <v>7609</v>
      </c>
      <c r="T579">
        <v>47796</v>
      </c>
      <c r="U579" t="s">
        <v>61</v>
      </c>
      <c r="V579" s="1">
        <v>43870</v>
      </c>
      <c r="W579" t="s">
        <v>12</v>
      </c>
      <c r="X579" t="s">
        <v>1295</v>
      </c>
      <c r="Y579" t="s">
        <v>8</v>
      </c>
      <c r="Z579">
        <v>20</v>
      </c>
      <c r="AA57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80" spans="1:27" x14ac:dyDescent="0.3">
      <c r="A580" t="s">
        <v>1060</v>
      </c>
      <c r="B580">
        <v>1842</v>
      </c>
      <c r="C580">
        <v>192</v>
      </c>
      <c r="D580">
        <f>IFERROR(tinder[[#This Row],[Tinder Opened]]/tinder[[#This Row],[Days on Tinder]],0)</f>
        <v>9.59375</v>
      </c>
      <c r="E580">
        <f>tinder[[#This Row],[Engagement]]/MAX(tinder[Engagement])</f>
        <v>4.8209798994974871E-2</v>
      </c>
      <c r="F58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80">
        <v>51</v>
      </c>
      <c r="H580">
        <f>IFERROR(tinder[[#This Row],[Conversations]]/tinder[[#This Row],[Tinder Opened]],0)</f>
        <v>2.7687296416938109E-2</v>
      </c>
      <c r="I580">
        <f>tinder[[#This Row],[Conversations]]/MAX(tinder[Conversations])</f>
        <v>4.0341718082581874E-3</v>
      </c>
      <c r="J580">
        <f>(tinder[[#This Row],[Norm Engagement]]*2)+(tinder[[#This Row],[Norm Swipes]]*1)+(tinder[[#This Row],[Norm Conversations]]*2)</f>
        <v>0.13233143183285204</v>
      </c>
      <c r="K58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80">
        <v>17</v>
      </c>
      <c r="M580">
        <v>0</v>
      </c>
      <c r="N580">
        <v>57</v>
      </c>
      <c r="O580">
        <v>1570</v>
      </c>
      <c r="P580">
        <v>1296</v>
      </c>
      <c r="Q580">
        <f>tinder[[#This Row],[All Swipes]]/MAX(tinder[All Swipes])</f>
        <v>2.7843490226385929E-2</v>
      </c>
      <c r="R580">
        <f>tinder[[#This Row],[Swipe Right (LIKE)]]+tinder[[#This Row],[Swipe Left (PASS)]]</f>
        <v>23634</v>
      </c>
      <c r="S580">
        <v>5225</v>
      </c>
      <c r="T580">
        <v>18409</v>
      </c>
      <c r="U580" t="s">
        <v>1061</v>
      </c>
      <c r="V580" s="1">
        <v>44078</v>
      </c>
      <c r="W580" t="s">
        <v>12</v>
      </c>
      <c r="X580" t="s">
        <v>1295</v>
      </c>
      <c r="Y580" t="s">
        <v>77</v>
      </c>
      <c r="Z580">
        <v>19</v>
      </c>
      <c r="AA58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81" spans="1:27" x14ac:dyDescent="0.3">
      <c r="A581" t="s">
        <v>136</v>
      </c>
      <c r="B581">
        <v>1957</v>
      </c>
      <c r="C581">
        <v>204</v>
      </c>
      <c r="D581">
        <f>IFERROR(tinder[[#This Row],[Tinder Opened]]/tinder[[#This Row],[Days on Tinder]],0)</f>
        <v>9.5931372549019613</v>
      </c>
      <c r="E581">
        <f>tinder[[#This Row],[Engagement]]/MAX(tinder[Engagement])</f>
        <v>4.82067198738792E-2</v>
      </c>
      <c r="F58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81">
        <v>17</v>
      </c>
      <c r="H581">
        <f>IFERROR(tinder[[#This Row],[Conversations]]/tinder[[#This Row],[Tinder Opened]],0)</f>
        <v>8.6867654573326517E-3</v>
      </c>
      <c r="I581">
        <f>tinder[[#This Row],[Conversations]]/MAX(tinder[Conversations])</f>
        <v>1.3447239360860623E-3</v>
      </c>
      <c r="J581">
        <f>(tinder[[#This Row],[Norm Engagement]]*2)+(tinder[[#This Row],[Norm Swipes]]*1)+(tinder[[#This Row],[Norm Conversations]]*2)</f>
        <v>0.11144125070450951</v>
      </c>
      <c r="K58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81">
        <v>4</v>
      </c>
      <c r="M581">
        <v>1</v>
      </c>
      <c r="N581">
        <v>43</v>
      </c>
      <c r="O581">
        <v>1793</v>
      </c>
      <c r="P581">
        <v>2180</v>
      </c>
      <c r="Q581">
        <f>tinder[[#This Row],[All Swipes]]/MAX(tinder[All Swipes])</f>
        <v>1.2338363084578989E-2</v>
      </c>
      <c r="R581">
        <f>tinder[[#This Row],[Swipe Right (LIKE)]]+tinder[[#This Row],[Swipe Left (PASS)]]</f>
        <v>10473</v>
      </c>
      <c r="S581">
        <v>3579</v>
      </c>
      <c r="T581">
        <v>6894</v>
      </c>
      <c r="U581" t="s">
        <v>8</v>
      </c>
      <c r="V581" s="1">
        <v>43798</v>
      </c>
      <c r="W581" t="s">
        <v>12</v>
      </c>
      <c r="X581" t="s">
        <v>1295</v>
      </c>
      <c r="Y581" t="s">
        <v>8</v>
      </c>
      <c r="Z581">
        <v>22</v>
      </c>
      <c r="AA58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82" spans="1:27" x14ac:dyDescent="0.3">
      <c r="A582" t="s">
        <v>1219</v>
      </c>
      <c r="B582">
        <v>18563</v>
      </c>
      <c r="C582">
        <v>1937</v>
      </c>
      <c r="D582">
        <f>IFERROR(tinder[[#This Row],[Tinder Opened]]/tinder[[#This Row],[Days on Tinder]],0)</f>
        <v>9.5833763551884363</v>
      </c>
      <c r="E582">
        <f>tinder[[#This Row],[Engagement]]/MAX(tinder[Engagement])</f>
        <v>4.8157670126575056E-2</v>
      </c>
      <c r="F58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82">
        <v>563</v>
      </c>
      <c r="H582">
        <f>IFERROR(tinder[[#This Row],[Conversations]]/tinder[[#This Row],[Tinder Opened]],0)</f>
        <v>3.0329149383181597E-2</v>
      </c>
      <c r="I582">
        <f>tinder[[#This Row],[Conversations]]/MAX(tinder[Conversations])</f>
        <v>4.453409270685018E-2</v>
      </c>
      <c r="J582">
        <f>(tinder[[#This Row],[Norm Engagement]]*2)+(tinder[[#This Row],[Norm Swipes]]*1)+(tinder[[#This Row],[Norm Conversations]]*2)</f>
        <v>0.35380518595600624</v>
      </c>
      <c r="K58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82">
        <v>225</v>
      </c>
      <c r="M582">
        <v>25</v>
      </c>
      <c r="N582">
        <v>3390</v>
      </c>
      <c r="O582">
        <v>5309</v>
      </c>
      <c r="P582">
        <v>4771</v>
      </c>
      <c r="Q582">
        <f>tinder[[#This Row],[All Swipes]]/MAX(tinder[All Swipes])</f>
        <v>0.16842166028915573</v>
      </c>
      <c r="R582">
        <f>tinder[[#This Row],[Swipe Right (LIKE)]]+tinder[[#This Row],[Swipe Left (PASS)]]</f>
        <v>142959</v>
      </c>
      <c r="S582">
        <v>70945</v>
      </c>
      <c r="T582">
        <v>72014</v>
      </c>
      <c r="U582" t="s">
        <v>8</v>
      </c>
      <c r="V582" s="1">
        <v>41703</v>
      </c>
      <c r="W582" t="s">
        <v>7</v>
      </c>
      <c r="X582" t="s">
        <v>1295</v>
      </c>
      <c r="Y582" t="s">
        <v>8</v>
      </c>
      <c r="Z582">
        <v>18</v>
      </c>
      <c r="AA58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83" spans="1:27" x14ac:dyDescent="0.3">
      <c r="A583" t="s">
        <v>297</v>
      </c>
      <c r="B583">
        <v>15734</v>
      </c>
      <c r="C583">
        <v>1656</v>
      </c>
      <c r="D583">
        <f>IFERROR(tinder[[#This Row],[Tinder Opened]]/tinder[[#This Row],[Days on Tinder]],0)</f>
        <v>9.5012077294685984</v>
      </c>
      <c r="E583">
        <f>tinder[[#This Row],[Engagement]]/MAX(tinder[Engagement])</f>
        <v>4.7744762459641196E-2</v>
      </c>
      <c r="F58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83">
        <v>102</v>
      </c>
      <c r="H583">
        <f>IFERROR(tinder[[#This Row],[Conversations]]/tinder[[#This Row],[Tinder Opened]],0)</f>
        <v>6.4827761535528154E-3</v>
      </c>
      <c r="I583">
        <f>tinder[[#This Row],[Conversations]]/MAX(tinder[Conversations])</f>
        <v>8.0683436165163748E-3</v>
      </c>
      <c r="J583">
        <f>(tinder[[#This Row],[Norm Engagement]]*2)+(tinder[[#This Row],[Norm Swipes]]*1)+(tinder[[#This Row],[Norm Conversations]]*2)</f>
        <v>0.50302434790847428</v>
      </c>
      <c r="K58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83">
        <v>9</v>
      </c>
      <c r="M583">
        <v>68</v>
      </c>
      <c r="N583">
        <v>2293</v>
      </c>
      <c r="O583">
        <v>104</v>
      </c>
      <c r="P583">
        <v>204</v>
      </c>
      <c r="Q583">
        <f>tinder[[#This Row],[All Swipes]]/MAX(tinder[All Swipes])</f>
        <v>0.39139813575615917</v>
      </c>
      <c r="R583">
        <f>tinder[[#This Row],[Swipe Right (LIKE)]]+tinder[[#This Row],[Swipe Left (PASS)]]</f>
        <v>332225</v>
      </c>
      <c r="S583">
        <v>66815</v>
      </c>
      <c r="T583">
        <v>265410</v>
      </c>
      <c r="U583" t="s">
        <v>75</v>
      </c>
      <c r="V583" s="1">
        <v>41676</v>
      </c>
      <c r="W583" t="s">
        <v>12</v>
      </c>
      <c r="X583" t="s">
        <v>1295</v>
      </c>
      <c r="Y583" t="s">
        <v>298</v>
      </c>
      <c r="Z583">
        <v>19</v>
      </c>
      <c r="AA58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84" spans="1:27" x14ac:dyDescent="0.3">
      <c r="A584" t="s">
        <v>633</v>
      </c>
      <c r="B584">
        <v>750</v>
      </c>
      <c r="C584">
        <v>79</v>
      </c>
      <c r="D584">
        <f>IFERROR(tinder[[#This Row],[Tinder Opened]]/tinder[[#This Row],[Days on Tinder]],0)</f>
        <v>9.4936708860759502</v>
      </c>
      <c r="E584">
        <f>tinder[[#This Row],[Engagement]]/MAX(tinder[Engagement])</f>
        <v>4.7706888874753516E-2</v>
      </c>
      <c r="F58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84">
        <v>79</v>
      </c>
      <c r="H584">
        <f>IFERROR(tinder[[#This Row],[Conversations]]/tinder[[#This Row],[Tinder Opened]],0)</f>
        <v>0.10533333333333333</v>
      </c>
      <c r="I584">
        <f>tinder[[#This Row],[Conversations]]/MAX(tinder[Conversations])</f>
        <v>6.2490112323999366E-3</v>
      </c>
      <c r="J584">
        <f>(tinder[[#This Row],[Norm Engagement]]*2)+(tinder[[#This Row],[Norm Swipes]]*1)+(tinder[[#This Row],[Norm Conversations]]*2)</f>
        <v>0.11872804307495044</v>
      </c>
      <c r="K58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84">
        <v>31</v>
      </c>
      <c r="M584">
        <v>8</v>
      </c>
      <c r="N584">
        <v>243</v>
      </c>
      <c r="O584">
        <v>516</v>
      </c>
      <c r="P584">
        <v>614</v>
      </c>
      <c r="Q584">
        <f>tinder[[#This Row],[All Swipes]]/MAX(tinder[All Swipes])</f>
        <v>1.0816242860643532E-2</v>
      </c>
      <c r="R584">
        <f>tinder[[#This Row],[Swipe Right (LIKE)]]+tinder[[#This Row],[Swipe Left (PASS)]]</f>
        <v>9181</v>
      </c>
      <c r="S584">
        <v>718</v>
      </c>
      <c r="T584">
        <v>8463</v>
      </c>
      <c r="U584" t="s">
        <v>27</v>
      </c>
      <c r="V584" s="1">
        <v>44107</v>
      </c>
      <c r="W584" t="s">
        <v>12</v>
      </c>
      <c r="X584" t="s">
        <v>1296</v>
      </c>
      <c r="Y584" t="s">
        <v>8</v>
      </c>
      <c r="Z584">
        <v>18</v>
      </c>
      <c r="AA58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85" spans="1:27" x14ac:dyDescent="0.3">
      <c r="A585" t="s">
        <v>1216</v>
      </c>
      <c r="B585">
        <v>8986</v>
      </c>
      <c r="C585">
        <v>948</v>
      </c>
      <c r="D585">
        <f>IFERROR(tinder[[#This Row],[Tinder Opened]]/tinder[[#This Row],[Days on Tinder]],0)</f>
        <v>9.4789029535864984</v>
      </c>
      <c r="E585">
        <f>tinder[[#This Row],[Engagement]]/MAX(tinder[Engagement])</f>
        <v>4.763267815872612E-2</v>
      </c>
      <c r="F58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85">
        <v>106</v>
      </c>
      <c r="H585">
        <f>IFERROR(tinder[[#This Row],[Conversations]]/tinder[[#This Row],[Tinder Opened]],0)</f>
        <v>1.1796127309147563E-2</v>
      </c>
      <c r="I585">
        <f>tinder[[#This Row],[Conversations]]/MAX(tinder[Conversations])</f>
        <v>8.3847492485366239E-3</v>
      </c>
      <c r="J585">
        <f>(tinder[[#This Row],[Norm Engagement]]*2)+(tinder[[#This Row],[Norm Swipes]]*1)+(tinder[[#This Row],[Norm Conversations]]*2)</f>
        <v>0.26010699294575773</v>
      </c>
      <c r="K58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85">
        <v>62</v>
      </c>
      <c r="M585">
        <v>12</v>
      </c>
      <c r="N585">
        <v>776</v>
      </c>
      <c r="O585">
        <v>157</v>
      </c>
      <c r="P585">
        <v>116</v>
      </c>
      <c r="Q585">
        <f>tinder[[#This Row],[All Swipes]]/MAX(tinder[All Swipes])</f>
        <v>0.14807213813123221</v>
      </c>
      <c r="R585">
        <f>tinder[[#This Row],[Swipe Right (LIKE)]]+tinder[[#This Row],[Swipe Left (PASS)]]</f>
        <v>125686</v>
      </c>
      <c r="S585">
        <v>34592</v>
      </c>
      <c r="T585">
        <v>91094</v>
      </c>
      <c r="U585" t="s">
        <v>61</v>
      </c>
      <c r="V585" s="1">
        <v>41774</v>
      </c>
      <c r="W585" t="s">
        <v>7</v>
      </c>
      <c r="X585" t="s">
        <v>1295</v>
      </c>
      <c r="Y585" t="s">
        <v>1217</v>
      </c>
      <c r="Z585">
        <v>15</v>
      </c>
      <c r="AA58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86" spans="1:27" x14ac:dyDescent="0.3">
      <c r="A586" t="s">
        <v>754</v>
      </c>
      <c r="B586">
        <v>8111</v>
      </c>
      <c r="C586">
        <v>856</v>
      </c>
      <c r="D586">
        <f>IFERROR(tinder[[#This Row],[Tinder Opened]]/tinder[[#This Row],[Days on Tinder]],0)</f>
        <v>9.4754672897196262</v>
      </c>
      <c r="E586">
        <f>tinder[[#This Row],[Engagement]]/MAX(tinder[Engagement])</f>
        <v>4.7615413516179025E-2</v>
      </c>
      <c r="F58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86">
        <v>14</v>
      </c>
      <c r="H586">
        <f>IFERROR(tinder[[#This Row],[Conversations]]/tinder[[#This Row],[Tinder Opened]],0)</f>
        <v>1.7260510417950931E-3</v>
      </c>
      <c r="I586">
        <f>tinder[[#This Row],[Conversations]]/MAX(tinder[Conversations])</f>
        <v>1.1074197120708748E-3</v>
      </c>
      <c r="J586">
        <f>(tinder[[#This Row],[Norm Engagement]]*2)+(tinder[[#This Row],[Norm Swipes]]*1)+(tinder[[#This Row],[Norm Conversations]]*2)</f>
        <v>0.20468209932298675</v>
      </c>
      <c r="K58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86">
        <v>5</v>
      </c>
      <c r="M586">
        <v>5</v>
      </c>
      <c r="N586">
        <v>163</v>
      </c>
      <c r="O586">
        <v>55</v>
      </c>
      <c r="P586">
        <v>60</v>
      </c>
      <c r="Q586">
        <f>tinder[[#This Row],[All Swipes]]/MAX(tinder[All Swipes])</f>
        <v>0.10723643286648697</v>
      </c>
      <c r="R586">
        <f>tinder[[#This Row],[Swipe Right (LIKE)]]+tinder[[#This Row],[Swipe Left (PASS)]]</f>
        <v>91024</v>
      </c>
      <c r="S586">
        <v>22326</v>
      </c>
      <c r="T586">
        <v>68698</v>
      </c>
      <c r="U586" t="s">
        <v>6</v>
      </c>
      <c r="V586" s="1">
        <v>43330</v>
      </c>
      <c r="W586" t="s">
        <v>12</v>
      </c>
      <c r="X586" t="s">
        <v>1295</v>
      </c>
      <c r="Y586" t="s">
        <v>8</v>
      </c>
      <c r="Z586">
        <v>19</v>
      </c>
      <c r="AA58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87" spans="1:27" x14ac:dyDescent="0.3">
      <c r="A587" t="s">
        <v>536</v>
      </c>
      <c r="B587">
        <v>8841</v>
      </c>
      <c r="C587">
        <v>936</v>
      </c>
      <c r="D587">
        <f>IFERROR(tinder[[#This Row],[Tinder Opened]]/tinder[[#This Row],[Days on Tinder]],0)</f>
        <v>9.4455128205128212</v>
      </c>
      <c r="E587">
        <f>tinder[[#This Row],[Engagement]]/MAX(tinder[Engagement])</f>
        <v>4.7464888545290559E-2</v>
      </c>
      <c r="F58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87">
        <v>457</v>
      </c>
      <c r="H587">
        <f>IFERROR(tinder[[#This Row],[Conversations]]/tinder[[#This Row],[Tinder Opened]],0)</f>
        <v>5.1690985182671643E-2</v>
      </c>
      <c r="I587">
        <f>tinder[[#This Row],[Conversations]]/MAX(tinder[Conversations])</f>
        <v>3.6149343458313561E-2</v>
      </c>
      <c r="J587">
        <f>(tinder[[#This Row],[Norm Engagement]]*2)+(tinder[[#This Row],[Norm Swipes]]*1)+(tinder[[#This Row],[Norm Conversations]]*2)</f>
        <v>0.17453629043837826</v>
      </c>
      <c r="K58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87">
        <v>193</v>
      </c>
      <c r="M587">
        <v>36</v>
      </c>
      <c r="N587">
        <v>950</v>
      </c>
      <c r="O587">
        <v>1782</v>
      </c>
      <c r="P587">
        <v>1394</v>
      </c>
      <c r="Q587">
        <f>tinder[[#This Row],[All Swipes]]/MAX(tinder[All Swipes])</f>
        <v>7.3078264311700059E-3</v>
      </c>
      <c r="R587">
        <f>tinder[[#This Row],[Swipe Right (LIKE)]]+tinder[[#This Row],[Swipe Left (PASS)]]</f>
        <v>6203</v>
      </c>
      <c r="S587">
        <v>2126</v>
      </c>
      <c r="T587">
        <v>4077</v>
      </c>
      <c r="U587" t="s">
        <v>10</v>
      </c>
      <c r="V587" s="1">
        <v>42937</v>
      </c>
      <c r="W587" t="s">
        <v>7</v>
      </c>
      <c r="X587" t="s">
        <v>1295</v>
      </c>
      <c r="Y587" t="s">
        <v>8</v>
      </c>
      <c r="Z587">
        <v>31</v>
      </c>
      <c r="AA587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588" spans="1:27" x14ac:dyDescent="0.3">
      <c r="A588" t="s">
        <v>1195</v>
      </c>
      <c r="B588">
        <v>3122</v>
      </c>
      <c r="C588">
        <v>331</v>
      </c>
      <c r="D588">
        <f>IFERROR(tinder[[#This Row],[Tinder Opened]]/tinder[[#This Row],[Days on Tinder]],0)</f>
        <v>9.4320241691842899</v>
      </c>
      <c r="E588">
        <f>tinder[[#This Row],[Engagement]]/MAX(tinder[Engagement])</f>
        <v>4.73971063778105E-2</v>
      </c>
      <c r="F58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88">
        <v>124</v>
      </c>
      <c r="H588">
        <f>IFERROR(tinder[[#This Row],[Conversations]]/tinder[[#This Row],[Tinder Opened]],0)</f>
        <v>3.9718129404228059E-2</v>
      </c>
      <c r="I588">
        <f>tinder[[#This Row],[Conversations]]/MAX(tinder[Conversations])</f>
        <v>9.8085745926277494E-3</v>
      </c>
      <c r="J588">
        <f>(tinder[[#This Row],[Norm Engagement]]*2)+(tinder[[#This Row],[Norm Swipes]]*1)+(tinder[[#This Row],[Norm Conversations]]*2)</f>
        <v>0.14479603894979245</v>
      </c>
      <c r="K58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88">
        <v>47</v>
      </c>
      <c r="M588">
        <v>9</v>
      </c>
      <c r="N588">
        <v>194</v>
      </c>
      <c r="O588">
        <v>921</v>
      </c>
      <c r="P588">
        <v>789</v>
      </c>
      <c r="Q588">
        <f>tinder[[#This Row],[All Swipes]]/MAX(tinder[All Swipes])</f>
        <v>3.038467700891595E-2</v>
      </c>
      <c r="R588">
        <f>tinder[[#This Row],[Swipe Right (LIKE)]]+tinder[[#This Row],[Swipe Left (PASS)]]</f>
        <v>25791</v>
      </c>
      <c r="S588">
        <v>11058</v>
      </c>
      <c r="T588">
        <v>14733</v>
      </c>
      <c r="U588" t="s">
        <v>10</v>
      </c>
      <c r="V588" s="1">
        <v>41912</v>
      </c>
      <c r="W588" t="s">
        <v>7</v>
      </c>
      <c r="X588" t="s">
        <v>1295</v>
      </c>
      <c r="Y588" t="s">
        <v>1196</v>
      </c>
      <c r="Z588">
        <v>17</v>
      </c>
      <c r="AA58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89" spans="1:27" x14ac:dyDescent="0.3">
      <c r="A589" t="s">
        <v>529</v>
      </c>
      <c r="B589">
        <v>15060</v>
      </c>
      <c r="C589">
        <v>1599</v>
      </c>
      <c r="D589">
        <f>IFERROR(tinder[[#This Row],[Tinder Opened]]/tinder[[#This Row],[Days on Tinder]],0)</f>
        <v>9.4183864915572233</v>
      </c>
      <c r="E589">
        <f>tinder[[#This Row],[Engagement]]/MAX(tinder[Engagement])</f>
        <v>4.732857533445841E-2</v>
      </c>
      <c r="F58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89">
        <v>193</v>
      </c>
      <c r="H589">
        <f>IFERROR(tinder[[#This Row],[Conversations]]/tinder[[#This Row],[Tinder Opened]],0)</f>
        <v>1.2815405046480743E-2</v>
      </c>
      <c r="I589">
        <f>tinder[[#This Row],[Conversations]]/MAX(tinder[Conversations])</f>
        <v>1.5266571744977061E-2</v>
      </c>
      <c r="J589">
        <f>(tinder[[#This Row],[Norm Engagement]]*2)+(tinder[[#This Row],[Norm Swipes]]*1)+(tinder[[#This Row],[Norm Conversations]]*2)</f>
        <v>0.24565338627777539</v>
      </c>
      <c r="K58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89">
        <v>36</v>
      </c>
      <c r="M589">
        <v>6</v>
      </c>
      <c r="N589">
        <v>364</v>
      </c>
      <c r="O589">
        <v>11970</v>
      </c>
      <c r="P589">
        <v>9640</v>
      </c>
      <c r="Q589">
        <f>tinder[[#This Row],[All Swipes]]/MAX(tinder[All Swipes])</f>
        <v>0.12046309211890445</v>
      </c>
      <c r="R589">
        <f>tinder[[#This Row],[Swipe Right (LIKE)]]+tinder[[#This Row],[Swipe Left (PASS)]]</f>
        <v>102251</v>
      </c>
      <c r="S589">
        <v>86745</v>
      </c>
      <c r="T589">
        <v>15506</v>
      </c>
      <c r="U589" t="s">
        <v>8</v>
      </c>
      <c r="V589" s="1">
        <v>42071</v>
      </c>
      <c r="W589" t="s">
        <v>7</v>
      </c>
      <c r="X589" t="s">
        <v>1295</v>
      </c>
      <c r="Y589" t="s">
        <v>8</v>
      </c>
      <c r="Z589">
        <v>22</v>
      </c>
      <c r="AA58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90" spans="1:27" x14ac:dyDescent="0.3">
      <c r="A590" t="s">
        <v>126</v>
      </c>
      <c r="B590">
        <v>706</v>
      </c>
      <c r="C590">
        <v>75</v>
      </c>
      <c r="D590">
        <f>IFERROR(tinder[[#This Row],[Tinder Opened]]/tinder[[#This Row],[Days on Tinder]],0)</f>
        <v>9.413333333333334</v>
      </c>
      <c r="E590">
        <f>tinder[[#This Row],[Engagement]]/MAX(tinder[Engagement])</f>
        <v>4.7303182579564493E-2</v>
      </c>
      <c r="F59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90">
        <v>59</v>
      </c>
      <c r="H590">
        <f>IFERROR(tinder[[#This Row],[Conversations]]/tinder[[#This Row],[Tinder Opened]],0)</f>
        <v>8.3569405099150146E-2</v>
      </c>
      <c r="I590">
        <f>tinder[[#This Row],[Conversations]]/MAX(tinder[Conversations])</f>
        <v>4.6669830722986866E-3</v>
      </c>
      <c r="J590">
        <f>(tinder[[#This Row],[Norm Engagement]]*2)+(tinder[[#This Row],[Norm Swipes]]*1)+(tinder[[#This Row],[Norm Conversations]]*2)</f>
        <v>0.12011933829699699</v>
      </c>
      <c r="K59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90">
        <v>14</v>
      </c>
      <c r="M590">
        <v>4</v>
      </c>
      <c r="N590">
        <v>109</v>
      </c>
      <c r="O590">
        <v>525</v>
      </c>
      <c r="P590">
        <v>688</v>
      </c>
      <c r="Q590">
        <f>tinder[[#This Row],[All Swipes]]/MAX(tinder[All Swipes])</f>
        <v>1.6179006993270625E-2</v>
      </c>
      <c r="R590">
        <f>tinder[[#This Row],[Swipe Right (LIKE)]]+tinder[[#This Row],[Swipe Left (PASS)]]</f>
        <v>13733</v>
      </c>
      <c r="S590">
        <v>202</v>
      </c>
      <c r="T590">
        <v>13531</v>
      </c>
      <c r="U590" t="s">
        <v>14</v>
      </c>
      <c r="V590" s="1">
        <v>43837</v>
      </c>
      <c r="W590" t="s">
        <v>12</v>
      </c>
      <c r="X590" t="s">
        <v>1296</v>
      </c>
      <c r="Y590" t="s">
        <v>127</v>
      </c>
      <c r="Z590">
        <v>23</v>
      </c>
      <c r="AA59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91" spans="1:27" x14ac:dyDescent="0.3">
      <c r="A591" t="s">
        <v>955</v>
      </c>
      <c r="B591">
        <v>12246</v>
      </c>
      <c r="C591">
        <v>1306</v>
      </c>
      <c r="D591">
        <f>IFERROR(tinder[[#This Row],[Tinder Opened]]/tinder[[#This Row],[Days on Tinder]],0)</f>
        <v>9.3767228177641648</v>
      </c>
      <c r="E591">
        <f>tinder[[#This Row],[Engagement]]/MAX(tinder[Engagement])</f>
        <v>4.7119210139518419E-2</v>
      </c>
      <c r="F59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91">
        <v>347</v>
      </c>
      <c r="H591">
        <f>IFERROR(tinder[[#This Row],[Conversations]]/tinder[[#This Row],[Tinder Opened]],0)</f>
        <v>2.8335783112853178E-2</v>
      </c>
      <c r="I591">
        <f>tinder[[#This Row],[Conversations]]/MAX(tinder[Conversations])</f>
        <v>2.7448188577756685E-2</v>
      </c>
      <c r="J591">
        <f>(tinder[[#This Row],[Norm Engagement]]*2)+(tinder[[#This Row],[Norm Swipes]]*1)+(tinder[[#This Row],[Norm Conversations]]*2)</f>
        <v>0.30651519554203172</v>
      </c>
      <c r="K59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91">
        <v>121</v>
      </c>
      <c r="M591">
        <v>41</v>
      </c>
      <c r="N591">
        <v>589</v>
      </c>
      <c r="O591">
        <v>3469</v>
      </c>
      <c r="P591">
        <v>3317</v>
      </c>
      <c r="Q591">
        <f>tinder[[#This Row],[All Swipes]]/MAX(tinder[All Swipes])</f>
        <v>0.15738039810748147</v>
      </c>
      <c r="R591">
        <f>tinder[[#This Row],[Swipe Right (LIKE)]]+tinder[[#This Row],[Swipe Left (PASS)]]</f>
        <v>133587</v>
      </c>
      <c r="S591">
        <v>34622</v>
      </c>
      <c r="T591">
        <v>98965</v>
      </c>
      <c r="U591" t="s">
        <v>8</v>
      </c>
      <c r="V591" s="1">
        <v>42882</v>
      </c>
      <c r="W591" t="s">
        <v>7</v>
      </c>
      <c r="X591" t="s">
        <v>1295</v>
      </c>
      <c r="Y591" t="s">
        <v>19</v>
      </c>
      <c r="Z591">
        <v>39</v>
      </c>
      <c r="AA591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592" spans="1:27" x14ac:dyDescent="0.3">
      <c r="A592" t="s">
        <v>42</v>
      </c>
      <c r="B592">
        <v>10899</v>
      </c>
      <c r="C592">
        <v>1163</v>
      </c>
      <c r="D592">
        <f>IFERROR(tinder[[#This Row],[Tinder Opened]]/tinder[[#This Row],[Days on Tinder]],0)</f>
        <v>9.371453138435081</v>
      </c>
      <c r="E592">
        <f>tinder[[#This Row],[Engagement]]/MAX(tinder[Engagement])</f>
        <v>4.7092729338869752E-2</v>
      </c>
      <c r="F59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92">
        <v>273</v>
      </c>
      <c r="H592">
        <f>IFERROR(tinder[[#This Row],[Conversations]]/tinder[[#This Row],[Tinder Opened]],0)</f>
        <v>2.5048169556840076E-2</v>
      </c>
      <c r="I592">
        <f>tinder[[#This Row],[Conversations]]/MAX(tinder[Conversations])</f>
        <v>2.1594684385382059E-2</v>
      </c>
      <c r="J592">
        <f>(tinder[[#This Row],[Norm Engagement]]*2)+(tinder[[#This Row],[Norm Swipes]]*1)+(tinder[[#This Row],[Norm Conversations]]*2)</f>
        <v>0.2562592499853078</v>
      </c>
      <c r="K59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92">
        <v>94</v>
      </c>
      <c r="M592">
        <v>2</v>
      </c>
      <c r="N592">
        <v>1121</v>
      </c>
      <c r="O592">
        <v>1258</v>
      </c>
      <c r="P592">
        <v>996</v>
      </c>
      <c r="Q592">
        <f>tinder[[#This Row],[All Swipes]]/MAX(tinder[All Swipes])</f>
        <v>0.1188844225368042</v>
      </c>
      <c r="R592">
        <f>tinder[[#This Row],[Swipe Right (LIKE)]]+tinder[[#This Row],[Swipe Left (PASS)]]</f>
        <v>100911</v>
      </c>
      <c r="S592">
        <v>32205</v>
      </c>
      <c r="T592">
        <v>68706</v>
      </c>
      <c r="U592" t="s">
        <v>8</v>
      </c>
      <c r="V592" s="1">
        <v>42415</v>
      </c>
      <c r="W592" t="s">
        <v>12</v>
      </c>
      <c r="X592" t="s">
        <v>1295</v>
      </c>
      <c r="Y592" t="s">
        <v>8</v>
      </c>
      <c r="Z592">
        <v>20</v>
      </c>
      <c r="AA59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93" spans="1:27" x14ac:dyDescent="0.3">
      <c r="A593" t="s">
        <v>181</v>
      </c>
      <c r="B593">
        <v>3677</v>
      </c>
      <c r="C593">
        <v>393</v>
      </c>
      <c r="D593">
        <f>IFERROR(tinder[[#This Row],[Tinder Opened]]/tinder[[#This Row],[Days on Tinder]],0)</f>
        <v>9.3562340966921127</v>
      </c>
      <c r="E593">
        <f>tinder[[#This Row],[Engagement]]/MAX(tinder[Engagement])</f>
        <v>4.7016251742171423E-2</v>
      </c>
      <c r="F59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93">
        <v>386</v>
      </c>
      <c r="H593">
        <f>IFERROR(tinder[[#This Row],[Conversations]]/tinder[[#This Row],[Tinder Opened]],0)</f>
        <v>0.10497688332880065</v>
      </c>
      <c r="I593">
        <f>tinder[[#This Row],[Conversations]]/MAX(tinder[Conversations])</f>
        <v>3.0533143489954121E-2</v>
      </c>
      <c r="J593">
        <f>(tinder[[#This Row],[Norm Engagement]]*2)+(tinder[[#This Row],[Norm Swipes]]*1)+(tinder[[#This Row],[Norm Conversations]]*2)</f>
        <v>0.19029369725205902</v>
      </c>
      <c r="K59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93">
        <v>102</v>
      </c>
      <c r="M593">
        <v>78</v>
      </c>
      <c r="N593">
        <v>1367</v>
      </c>
      <c r="O593">
        <v>2281</v>
      </c>
      <c r="P593">
        <v>2759</v>
      </c>
      <c r="Q593">
        <f>tinder[[#This Row],[All Swipes]]/MAX(tinder[All Swipes])</f>
        <v>3.5194906787807956E-2</v>
      </c>
      <c r="R593">
        <f>tinder[[#This Row],[Swipe Right (LIKE)]]+tinder[[#This Row],[Swipe Left (PASS)]]</f>
        <v>29874</v>
      </c>
      <c r="S593">
        <v>3091</v>
      </c>
      <c r="T593">
        <v>26783</v>
      </c>
      <c r="U593" t="s">
        <v>14</v>
      </c>
      <c r="V593" s="1">
        <v>43706</v>
      </c>
      <c r="W593" t="s">
        <v>12</v>
      </c>
      <c r="X593" t="s">
        <v>1296</v>
      </c>
      <c r="Y593" t="s">
        <v>182</v>
      </c>
      <c r="Z593">
        <v>29</v>
      </c>
      <c r="AA59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94" spans="1:27" x14ac:dyDescent="0.3">
      <c r="A594" t="s">
        <v>908</v>
      </c>
      <c r="B594">
        <v>2775</v>
      </c>
      <c r="C594">
        <v>297</v>
      </c>
      <c r="D594">
        <f>IFERROR(tinder[[#This Row],[Tinder Opened]]/tinder[[#This Row],[Days on Tinder]],0)</f>
        <v>9.3434343434343443</v>
      </c>
      <c r="E594">
        <f>tinder[[#This Row],[Engagement]]/MAX(tinder[Engagement])</f>
        <v>4.6951931374041932E-2</v>
      </c>
      <c r="F59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94">
        <v>46</v>
      </c>
      <c r="H594">
        <f>IFERROR(tinder[[#This Row],[Conversations]]/tinder[[#This Row],[Tinder Opened]],0)</f>
        <v>1.6576576576576577E-2</v>
      </c>
      <c r="I594">
        <f>tinder[[#This Row],[Conversations]]/MAX(tinder[Conversations])</f>
        <v>3.6386647682328747E-3</v>
      </c>
      <c r="J594">
        <f>(tinder[[#This Row],[Norm Engagement]]*2)+(tinder[[#This Row],[Norm Swipes]]*1)+(tinder[[#This Row],[Norm Conversations]]*2)</f>
        <v>0.16107992180896952</v>
      </c>
      <c r="K59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94">
        <v>29</v>
      </c>
      <c r="M594">
        <v>3</v>
      </c>
      <c r="N594">
        <v>43</v>
      </c>
      <c r="O594">
        <v>346</v>
      </c>
      <c r="P594">
        <v>314</v>
      </c>
      <c r="Q594">
        <f>tinder[[#This Row],[All Swipes]]/MAX(tinder[All Swipes])</f>
        <v>5.9898729524419901E-2</v>
      </c>
      <c r="R594">
        <f>tinder[[#This Row],[Swipe Right (LIKE)]]+tinder[[#This Row],[Swipe Left (PASS)]]</f>
        <v>50843</v>
      </c>
      <c r="S594">
        <v>8680</v>
      </c>
      <c r="T594">
        <v>42163</v>
      </c>
      <c r="U594" t="s">
        <v>8</v>
      </c>
      <c r="V594" s="1">
        <v>43780</v>
      </c>
      <c r="W594" t="s">
        <v>12</v>
      </c>
      <c r="X594" t="s">
        <v>1295</v>
      </c>
      <c r="Y594" t="s">
        <v>8</v>
      </c>
      <c r="Z594">
        <v>25</v>
      </c>
      <c r="AA59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95" spans="1:27" x14ac:dyDescent="0.3">
      <c r="A595" t="s">
        <v>1073</v>
      </c>
      <c r="B595">
        <v>812</v>
      </c>
      <c r="C595">
        <v>87</v>
      </c>
      <c r="D595">
        <f>IFERROR(tinder[[#This Row],[Tinder Opened]]/tinder[[#This Row],[Days on Tinder]],0)</f>
        <v>9.3333333333333339</v>
      </c>
      <c r="E595">
        <f>tinder[[#This Row],[Engagement]]/MAX(tinder[Engagement])</f>
        <v>4.6901172529313237E-2</v>
      </c>
      <c r="F59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95">
        <v>274</v>
      </c>
      <c r="H595">
        <f>IFERROR(tinder[[#This Row],[Conversations]]/tinder[[#This Row],[Tinder Opened]],0)</f>
        <v>0.33743842364532017</v>
      </c>
      <c r="I595">
        <f>tinder[[#This Row],[Conversations]]/MAX(tinder[Conversations])</f>
        <v>2.1673785793387121E-2</v>
      </c>
      <c r="J595">
        <f>(tinder[[#This Row],[Norm Engagement]]*2)+(tinder[[#This Row],[Norm Swipes]]*1)+(tinder[[#This Row],[Norm Conversations]]*2)</f>
        <v>0.1479037195897373</v>
      </c>
      <c r="K59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95">
        <v>94</v>
      </c>
      <c r="M595">
        <v>3</v>
      </c>
      <c r="N595">
        <v>23</v>
      </c>
      <c r="O595">
        <v>3604</v>
      </c>
      <c r="P595">
        <v>2801</v>
      </c>
      <c r="Q595">
        <f>tinder[[#This Row],[All Swipes]]/MAX(tinder[All Swipes])</f>
        <v>1.0753802944336581E-2</v>
      </c>
      <c r="R595">
        <f>tinder[[#This Row],[Swipe Right (LIKE)]]+tinder[[#This Row],[Swipe Left (PASS)]]</f>
        <v>9128</v>
      </c>
      <c r="S595">
        <v>8319</v>
      </c>
      <c r="T595">
        <v>809</v>
      </c>
      <c r="U595" t="s">
        <v>45</v>
      </c>
      <c r="V595" s="1">
        <v>43283</v>
      </c>
      <c r="W595" t="s">
        <v>12</v>
      </c>
      <c r="X595" t="s">
        <v>1295</v>
      </c>
      <c r="Y595" t="s">
        <v>108</v>
      </c>
      <c r="Z595">
        <v>21</v>
      </c>
      <c r="AA59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596" spans="1:27" x14ac:dyDescent="0.3">
      <c r="A596" t="s">
        <v>398</v>
      </c>
      <c r="B596">
        <v>791</v>
      </c>
      <c r="C596">
        <v>85</v>
      </c>
      <c r="D596">
        <f>IFERROR(tinder[[#This Row],[Tinder Opened]]/tinder[[#This Row],[Days on Tinder]],0)</f>
        <v>9.3058823529411772</v>
      </c>
      <c r="E596">
        <f>tinder[[#This Row],[Engagement]]/MAX(tinder[Engagement])</f>
        <v>4.6763227904227024E-2</v>
      </c>
      <c r="F59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96">
        <v>26</v>
      </c>
      <c r="H596">
        <f>IFERROR(tinder[[#This Row],[Conversations]]/tinder[[#This Row],[Tinder Opened]],0)</f>
        <v>3.286978508217446E-2</v>
      </c>
      <c r="I596">
        <f>tinder[[#This Row],[Conversations]]/MAX(tinder[Conversations])</f>
        <v>2.0566366081316246E-3</v>
      </c>
      <c r="J596">
        <f>(tinder[[#This Row],[Norm Engagement]]*2)+(tinder[[#This Row],[Norm Swipes]]*1)+(tinder[[#This Row],[Norm Conversations]]*2)</f>
        <v>0.10816262208988101</v>
      </c>
      <c r="K59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96">
        <v>10</v>
      </c>
      <c r="M596">
        <v>3</v>
      </c>
      <c r="N596">
        <v>57</v>
      </c>
      <c r="O596">
        <v>168</v>
      </c>
      <c r="P596">
        <v>166</v>
      </c>
      <c r="Q596">
        <f>tinder[[#This Row],[All Swipes]]/MAX(tinder[All Swipes])</f>
        <v>1.052289306516371E-2</v>
      </c>
      <c r="R596">
        <f>tinder[[#This Row],[Swipe Right (LIKE)]]+tinder[[#This Row],[Swipe Left (PASS)]]</f>
        <v>8932</v>
      </c>
      <c r="S596">
        <v>3559</v>
      </c>
      <c r="T596">
        <v>5373</v>
      </c>
      <c r="U596" t="s">
        <v>10</v>
      </c>
      <c r="V596" s="1">
        <v>44075</v>
      </c>
      <c r="W596" t="s">
        <v>12</v>
      </c>
      <c r="X596" t="s">
        <v>1295</v>
      </c>
      <c r="Y596" t="s">
        <v>8</v>
      </c>
      <c r="Z596">
        <v>20</v>
      </c>
      <c r="AA59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97" spans="1:27" x14ac:dyDescent="0.3">
      <c r="A597" t="s">
        <v>399</v>
      </c>
      <c r="B597">
        <v>1027</v>
      </c>
      <c r="C597">
        <v>111</v>
      </c>
      <c r="D597">
        <f>IFERROR(tinder[[#This Row],[Tinder Opened]]/tinder[[#This Row],[Days on Tinder]],0)</f>
        <v>9.2522522522522515</v>
      </c>
      <c r="E597">
        <f>tinder[[#This Row],[Engagement]]/MAX(tinder[Engagement])</f>
        <v>4.6493729910815337E-2</v>
      </c>
      <c r="F59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97">
        <v>39</v>
      </c>
      <c r="H597">
        <f>IFERROR(tinder[[#This Row],[Conversations]]/tinder[[#This Row],[Tinder Opened]],0)</f>
        <v>3.7974683544303799E-2</v>
      </c>
      <c r="I597">
        <f>tinder[[#This Row],[Conversations]]/MAX(tinder[Conversations])</f>
        <v>3.0849549121974369E-3</v>
      </c>
      <c r="J597">
        <f>(tinder[[#This Row],[Norm Engagement]]*2)+(tinder[[#This Row],[Norm Swipes]]*1)+(tinder[[#This Row],[Norm Conversations]]*2)</f>
        <v>0.12101251846508645</v>
      </c>
      <c r="K59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97">
        <v>9</v>
      </c>
      <c r="M597">
        <v>12</v>
      </c>
      <c r="N597">
        <v>137</v>
      </c>
      <c r="O597">
        <v>569</v>
      </c>
      <c r="P597">
        <v>796</v>
      </c>
      <c r="Q597">
        <f>tinder[[#This Row],[All Swipes]]/MAX(tinder[All Swipes])</f>
        <v>2.1855148819060904E-2</v>
      </c>
      <c r="R597">
        <f>tinder[[#This Row],[Swipe Right (LIKE)]]+tinder[[#This Row],[Swipe Left (PASS)]]</f>
        <v>18551</v>
      </c>
      <c r="S597">
        <v>177</v>
      </c>
      <c r="T597">
        <v>18374</v>
      </c>
      <c r="U597" t="s">
        <v>8</v>
      </c>
      <c r="V597" s="1">
        <v>42325</v>
      </c>
      <c r="W597" t="s">
        <v>7</v>
      </c>
      <c r="X597" t="s">
        <v>1296</v>
      </c>
      <c r="Y597" t="s">
        <v>8</v>
      </c>
      <c r="Z597">
        <v>18</v>
      </c>
      <c r="AA59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598" spans="1:27" x14ac:dyDescent="0.3">
      <c r="A598" t="s">
        <v>785</v>
      </c>
      <c r="B598">
        <v>397</v>
      </c>
      <c r="C598">
        <v>43</v>
      </c>
      <c r="D598">
        <f>IFERROR(tinder[[#This Row],[Tinder Opened]]/tinder[[#This Row],[Days on Tinder]],0)</f>
        <v>9.2325581395348841</v>
      </c>
      <c r="E598">
        <f>tinder[[#This Row],[Engagement]]/MAX(tinder[Engagement])</f>
        <v>4.63947645202758E-2</v>
      </c>
      <c r="F59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98">
        <v>72</v>
      </c>
      <c r="H598">
        <f>IFERROR(tinder[[#This Row],[Conversations]]/tinder[[#This Row],[Tinder Opened]],0)</f>
        <v>0.181360201511335</v>
      </c>
      <c r="I598">
        <f>tinder[[#This Row],[Conversations]]/MAX(tinder[Conversations])</f>
        <v>5.6953013763644993E-3</v>
      </c>
      <c r="J598">
        <f>(tinder[[#This Row],[Norm Engagement]]*2)+(tinder[[#This Row],[Norm Swipes]]*1)+(tinder[[#This Row],[Norm Conversations]]*2)</f>
        <v>0.10908578861407568</v>
      </c>
      <c r="K59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598">
        <v>23</v>
      </c>
      <c r="M598">
        <v>1</v>
      </c>
      <c r="N598">
        <v>45</v>
      </c>
      <c r="O598">
        <v>689</v>
      </c>
      <c r="P598">
        <v>700</v>
      </c>
      <c r="Q598">
        <f>tinder[[#This Row],[All Swipes]]/MAX(tinder[All Swipes])</f>
        <v>4.9056568207950842E-3</v>
      </c>
      <c r="R598">
        <f>tinder[[#This Row],[Swipe Right (LIKE)]]+tinder[[#This Row],[Swipe Left (PASS)]]</f>
        <v>4164</v>
      </c>
      <c r="S598">
        <v>3048</v>
      </c>
      <c r="T598">
        <v>1116</v>
      </c>
      <c r="U598" t="s">
        <v>497</v>
      </c>
      <c r="V598" s="1">
        <v>44235</v>
      </c>
      <c r="W598" t="s">
        <v>12</v>
      </c>
      <c r="X598" t="s">
        <v>1295</v>
      </c>
      <c r="Y598" t="s">
        <v>8</v>
      </c>
      <c r="Z598">
        <v>31</v>
      </c>
      <c r="AA59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599" spans="1:27" x14ac:dyDescent="0.3">
      <c r="A599" t="s">
        <v>233</v>
      </c>
      <c r="B599">
        <v>3054</v>
      </c>
      <c r="C599">
        <v>331</v>
      </c>
      <c r="D599">
        <f>IFERROR(tinder[[#This Row],[Tinder Opened]]/tinder[[#This Row],[Days on Tinder]],0)</f>
        <v>9.2265861027190326</v>
      </c>
      <c r="E599">
        <f>tinder[[#This Row],[Engagement]]/MAX(tinder[Engagement])</f>
        <v>4.6364754285020265E-2</v>
      </c>
      <c r="F59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599">
        <v>375</v>
      </c>
      <c r="H599">
        <f>IFERROR(tinder[[#This Row],[Conversations]]/tinder[[#This Row],[Tinder Opened]],0)</f>
        <v>0.12278978388998035</v>
      </c>
      <c r="I599">
        <f>tinder[[#This Row],[Conversations]]/MAX(tinder[Conversations])</f>
        <v>2.9663028001898434E-2</v>
      </c>
      <c r="J599">
        <f>(tinder[[#This Row],[Norm Engagement]]*2)+(tinder[[#This Row],[Norm Swipes]]*1)+(tinder[[#This Row],[Norm Conversations]]*2)</f>
        <v>0.20285927232675441</v>
      </c>
      <c r="K59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599">
        <v>82</v>
      </c>
      <c r="M599">
        <v>205</v>
      </c>
      <c r="N599">
        <v>1272</v>
      </c>
      <c r="O599">
        <v>716</v>
      </c>
      <c r="P599">
        <v>1262</v>
      </c>
      <c r="Q599">
        <f>tinder[[#This Row],[All Swipes]]/MAX(tinder[All Swipes])</f>
        <v>5.0803707752917003E-2</v>
      </c>
      <c r="R599">
        <f>tinder[[#This Row],[Swipe Right (LIKE)]]+tinder[[#This Row],[Swipe Left (PASS)]]</f>
        <v>43123</v>
      </c>
      <c r="S599">
        <v>3019</v>
      </c>
      <c r="T599">
        <v>40104</v>
      </c>
      <c r="U599" t="s">
        <v>8</v>
      </c>
      <c r="V599" s="1">
        <v>42851</v>
      </c>
      <c r="W599" t="s">
        <v>7</v>
      </c>
      <c r="X599" t="s">
        <v>1296</v>
      </c>
      <c r="Y599" t="s">
        <v>8</v>
      </c>
      <c r="Z599">
        <v>18</v>
      </c>
      <c r="AA59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00" spans="1:27" x14ac:dyDescent="0.3">
      <c r="A600" t="s">
        <v>771</v>
      </c>
      <c r="B600">
        <v>2343</v>
      </c>
      <c r="C600">
        <v>254</v>
      </c>
      <c r="D600">
        <f>IFERROR(tinder[[#This Row],[Tinder Opened]]/tinder[[#This Row],[Days on Tinder]],0)</f>
        <v>9.2244094488188981</v>
      </c>
      <c r="E600">
        <f>tinder[[#This Row],[Engagement]]/MAX(tinder[Engagement])</f>
        <v>4.6353816325723107E-2</v>
      </c>
      <c r="F60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00">
        <v>818</v>
      </c>
      <c r="H600">
        <f>IFERROR(tinder[[#This Row],[Conversations]]/tinder[[#This Row],[Tinder Opened]],0)</f>
        <v>0.34912505335040545</v>
      </c>
      <c r="I600">
        <f>tinder[[#This Row],[Conversations]]/MAX(tinder[Conversations])</f>
        <v>6.4704951748141115E-2</v>
      </c>
      <c r="J600">
        <f>(tinder[[#This Row],[Norm Engagement]]*2)+(tinder[[#This Row],[Norm Swipes]]*1)+(tinder[[#This Row],[Norm Conversations]]*2)</f>
        <v>0.25971343443428291</v>
      </c>
      <c r="K60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00">
        <v>229</v>
      </c>
      <c r="M600">
        <v>319</v>
      </c>
      <c r="N600">
        <v>1107</v>
      </c>
      <c r="O600">
        <v>1849</v>
      </c>
      <c r="P600">
        <v>3011</v>
      </c>
      <c r="Q600">
        <f>tinder[[#This Row],[All Swipes]]/MAX(tinder[All Swipes])</f>
        <v>3.7595898286554449E-2</v>
      </c>
      <c r="R600">
        <f>tinder[[#This Row],[Swipe Right (LIKE)]]+tinder[[#This Row],[Swipe Left (PASS)]]</f>
        <v>31912</v>
      </c>
      <c r="S600">
        <v>2325</v>
      </c>
      <c r="T600">
        <v>29587</v>
      </c>
      <c r="U600" t="s">
        <v>8</v>
      </c>
      <c r="V600" s="1">
        <v>43889</v>
      </c>
      <c r="W600" t="s">
        <v>12</v>
      </c>
      <c r="X600" t="s">
        <v>1296</v>
      </c>
      <c r="Y600" t="s">
        <v>8</v>
      </c>
      <c r="Z600">
        <v>18</v>
      </c>
      <c r="AA60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01" spans="1:27" x14ac:dyDescent="0.3">
      <c r="A601" t="s">
        <v>1203</v>
      </c>
      <c r="B601">
        <v>856</v>
      </c>
      <c r="C601">
        <v>93</v>
      </c>
      <c r="D601">
        <f>IFERROR(tinder[[#This Row],[Tinder Opened]]/tinder[[#This Row],[Days on Tinder]],0)</f>
        <v>9.2043010752688179</v>
      </c>
      <c r="E601">
        <f>tinder[[#This Row],[Engagement]]/MAX(tinder[Engagement])</f>
        <v>4.6252769222456372E-2</v>
      </c>
      <c r="F60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01">
        <v>49</v>
      </c>
      <c r="H601">
        <f>IFERROR(tinder[[#This Row],[Conversations]]/tinder[[#This Row],[Tinder Opened]],0)</f>
        <v>5.7242990654205607E-2</v>
      </c>
      <c r="I601">
        <f>tinder[[#This Row],[Conversations]]/MAX(tinder[Conversations])</f>
        <v>3.875968992248062E-3</v>
      </c>
      <c r="J601">
        <f>(tinder[[#This Row],[Norm Engagement]]*2)+(tinder[[#This Row],[Norm Swipes]]*1)+(tinder[[#This Row],[Norm Conversations]]*2)</f>
        <v>0.10865623422850784</v>
      </c>
      <c r="K60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01">
        <v>19</v>
      </c>
      <c r="M601">
        <v>0</v>
      </c>
      <c r="N601">
        <v>75</v>
      </c>
      <c r="O601">
        <v>315</v>
      </c>
      <c r="P601">
        <v>297</v>
      </c>
      <c r="Q601">
        <f>tinder[[#This Row],[All Swipes]]/MAX(tinder[All Swipes])</f>
        <v>8.3987577990989794E-3</v>
      </c>
      <c r="R601">
        <f>tinder[[#This Row],[Swipe Right (LIKE)]]+tinder[[#This Row],[Swipe Left (PASS)]]</f>
        <v>7129</v>
      </c>
      <c r="S601">
        <v>1921</v>
      </c>
      <c r="T601">
        <v>5208</v>
      </c>
      <c r="U601" t="s">
        <v>8</v>
      </c>
      <c r="V601" s="1">
        <v>43237</v>
      </c>
      <c r="W601" t="s">
        <v>12</v>
      </c>
      <c r="X601" t="s">
        <v>1295</v>
      </c>
      <c r="Y601" t="s">
        <v>1204</v>
      </c>
      <c r="Z601">
        <v>29</v>
      </c>
      <c r="AA60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02" spans="1:27" x14ac:dyDescent="0.3">
      <c r="A602" t="s">
        <v>417</v>
      </c>
      <c r="B602">
        <v>276</v>
      </c>
      <c r="C602">
        <v>30</v>
      </c>
      <c r="D602">
        <f>IFERROR(tinder[[#This Row],[Tinder Opened]]/tinder[[#This Row],[Days on Tinder]],0)</f>
        <v>9.1999999999999993</v>
      </c>
      <c r="E602">
        <f>tinder[[#This Row],[Engagement]]/MAX(tinder[Engagement])</f>
        <v>4.6231155778894466E-2</v>
      </c>
      <c r="F60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02">
        <v>2</v>
      </c>
      <c r="H602">
        <f>IFERROR(tinder[[#This Row],[Conversations]]/tinder[[#This Row],[Tinder Opened]],0)</f>
        <v>7.246376811594203E-3</v>
      </c>
      <c r="I602">
        <f>tinder[[#This Row],[Conversations]]/MAX(tinder[Conversations])</f>
        <v>1.5820281601012498E-4</v>
      </c>
      <c r="J602">
        <f>(tinder[[#This Row],[Norm Engagement]]*2)+(tinder[[#This Row],[Norm Swipes]]*1)+(tinder[[#This Row],[Norm Conversations]]*2)</f>
        <v>0.1007792732584978</v>
      </c>
      <c r="K60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02">
        <v>0</v>
      </c>
      <c r="M602">
        <v>0</v>
      </c>
      <c r="N602">
        <v>3</v>
      </c>
      <c r="O602">
        <v>53</v>
      </c>
      <c r="P602">
        <v>67</v>
      </c>
      <c r="Q602">
        <f>tinder[[#This Row],[All Swipes]]/MAX(tinder[All Swipes])</f>
        <v>8.0005560686886197E-3</v>
      </c>
      <c r="R602">
        <f>tinder[[#This Row],[Swipe Right (LIKE)]]+tinder[[#This Row],[Swipe Left (PASS)]]</f>
        <v>6791</v>
      </c>
      <c r="S602">
        <v>47</v>
      </c>
      <c r="T602">
        <v>6744</v>
      </c>
      <c r="U602" t="s">
        <v>418</v>
      </c>
      <c r="V602" s="1">
        <v>44208</v>
      </c>
      <c r="W602" t="s">
        <v>12</v>
      </c>
      <c r="X602" t="s">
        <v>1295</v>
      </c>
      <c r="Y602" t="s">
        <v>8</v>
      </c>
      <c r="Z602">
        <v>29</v>
      </c>
      <c r="AA60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03" spans="1:27" x14ac:dyDescent="0.3">
      <c r="A603" t="s">
        <v>658</v>
      </c>
      <c r="B603">
        <v>183</v>
      </c>
      <c r="C603">
        <v>20</v>
      </c>
      <c r="D603">
        <f>IFERROR(tinder[[#This Row],[Tinder Opened]]/tinder[[#This Row],[Days on Tinder]],0)</f>
        <v>9.15</v>
      </c>
      <c r="E603">
        <f>tinder[[#This Row],[Engagement]]/MAX(tinder[Engagement])</f>
        <v>4.5979899497487438E-2</v>
      </c>
      <c r="F60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03">
        <v>16</v>
      </c>
      <c r="H603">
        <f>IFERROR(tinder[[#This Row],[Conversations]]/tinder[[#This Row],[Tinder Opened]],0)</f>
        <v>8.7431693989071038E-2</v>
      </c>
      <c r="I603">
        <f>tinder[[#This Row],[Conversations]]/MAX(tinder[Conversations])</f>
        <v>1.2656225280809998E-3</v>
      </c>
      <c r="J603">
        <f>(tinder[[#This Row],[Norm Engagement]]*2)+(tinder[[#This Row],[Norm Swipes]]*1)+(tinder[[#This Row],[Norm Conversations]]*2)</f>
        <v>9.7166535559308251E-2</v>
      </c>
      <c r="K60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03">
        <v>2</v>
      </c>
      <c r="M603">
        <v>0</v>
      </c>
      <c r="N603">
        <v>15</v>
      </c>
      <c r="O603">
        <v>457</v>
      </c>
      <c r="P603">
        <v>444</v>
      </c>
      <c r="Q603">
        <f>tinder[[#This Row],[All Swipes]]/MAX(tinder[All Swipes])</f>
        <v>2.675491508171382E-3</v>
      </c>
      <c r="R603">
        <f>tinder[[#This Row],[Swipe Right (LIKE)]]+tinder[[#This Row],[Swipe Left (PASS)]]</f>
        <v>2271</v>
      </c>
      <c r="S603">
        <v>1467</v>
      </c>
      <c r="T603">
        <v>804</v>
      </c>
      <c r="U603" t="s">
        <v>8</v>
      </c>
      <c r="V603" s="1">
        <v>44280</v>
      </c>
      <c r="W603" t="s">
        <v>12</v>
      </c>
      <c r="X603" t="s">
        <v>1295</v>
      </c>
      <c r="Y603" t="s">
        <v>8</v>
      </c>
      <c r="Z603">
        <v>28</v>
      </c>
      <c r="AA60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04" spans="1:27" x14ac:dyDescent="0.3">
      <c r="A604" t="s">
        <v>568</v>
      </c>
      <c r="B604">
        <v>9541</v>
      </c>
      <c r="C604">
        <v>1044</v>
      </c>
      <c r="D604">
        <f>IFERROR(tinder[[#This Row],[Tinder Opened]]/tinder[[#This Row],[Days on Tinder]],0)</f>
        <v>9.1388888888888893</v>
      </c>
      <c r="E604">
        <f>tinder[[#This Row],[Engagement]]/MAX(tinder[Engagement])</f>
        <v>4.5924064768285873E-2</v>
      </c>
      <c r="F60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04">
        <v>606</v>
      </c>
      <c r="H604">
        <f>IFERROR(tinder[[#This Row],[Conversations]]/tinder[[#This Row],[Tinder Opened]],0)</f>
        <v>6.3515354784613773E-2</v>
      </c>
      <c r="I604">
        <f>tinder[[#This Row],[Conversations]]/MAX(tinder[Conversations])</f>
        <v>4.7935453251067871E-2</v>
      </c>
      <c r="J604">
        <f>(tinder[[#This Row],[Norm Engagement]]*2)+(tinder[[#This Row],[Norm Swipes]]*1)+(tinder[[#This Row],[Norm Conversations]]*2)</f>
        <v>0.44940590339276304</v>
      </c>
      <c r="K60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04">
        <v>129</v>
      </c>
      <c r="M604">
        <v>69</v>
      </c>
      <c r="N604">
        <v>2011</v>
      </c>
      <c r="O604">
        <v>9782</v>
      </c>
      <c r="P604">
        <v>9863</v>
      </c>
      <c r="Q604">
        <f>tinder[[#This Row],[All Swipes]]/MAX(tinder[All Swipes])</f>
        <v>0.26168686735405555</v>
      </c>
      <c r="R604">
        <f>tinder[[#This Row],[Swipe Right (LIKE)]]+tinder[[#This Row],[Swipe Left (PASS)]]</f>
        <v>222124</v>
      </c>
      <c r="S604">
        <v>3015</v>
      </c>
      <c r="T604">
        <v>219109</v>
      </c>
      <c r="U604" t="s">
        <v>8</v>
      </c>
      <c r="V604" s="1">
        <v>42524</v>
      </c>
      <c r="W604" t="s">
        <v>7</v>
      </c>
      <c r="X604" t="s">
        <v>1296</v>
      </c>
      <c r="Y604" t="s">
        <v>8</v>
      </c>
      <c r="Z604">
        <v>19</v>
      </c>
      <c r="AA60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05" spans="1:27" x14ac:dyDescent="0.3">
      <c r="A605" t="s">
        <v>750</v>
      </c>
      <c r="B605">
        <v>11082</v>
      </c>
      <c r="C605">
        <v>1213</v>
      </c>
      <c r="D605">
        <f>IFERROR(tinder[[#This Row],[Tinder Opened]]/tinder[[#This Row],[Days on Tinder]],0)</f>
        <v>9.1360263808738669</v>
      </c>
      <c r="E605">
        <f>tinder[[#This Row],[Engagement]]/MAX(tinder[Engagement])</f>
        <v>4.5909680305898828E-2</v>
      </c>
      <c r="F60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05">
        <v>501</v>
      </c>
      <c r="H605">
        <f>IFERROR(tinder[[#This Row],[Conversations]]/tinder[[#This Row],[Tinder Opened]],0)</f>
        <v>4.5208446128857604E-2</v>
      </c>
      <c r="I605">
        <f>tinder[[#This Row],[Conversations]]/MAX(tinder[Conversations])</f>
        <v>3.962980541053631E-2</v>
      </c>
      <c r="J605">
        <f>(tinder[[#This Row],[Norm Engagement]]*2)+(tinder[[#This Row],[Norm Swipes]]*1)+(tinder[[#This Row],[Norm Conversations]]*2)</f>
        <v>0.28818680163399751</v>
      </c>
      <c r="K60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05">
        <v>187</v>
      </c>
      <c r="M605">
        <v>25</v>
      </c>
      <c r="N605">
        <v>834</v>
      </c>
      <c r="O605">
        <v>2463</v>
      </c>
      <c r="P605">
        <v>2360</v>
      </c>
      <c r="Q605">
        <f>tinder[[#This Row],[All Swipes]]/MAX(tinder[All Swipes])</f>
        <v>0.11710783020112722</v>
      </c>
      <c r="R605">
        <f>tinder[[#This Row],[Swipe Right (LIKE)]]+tinder[[#This Row],[Swipe Left (PASS)]]</f>
        <v>99403</v>
      </c>
      <c r="S605">
        <v>76451</v>
      </c>
      <c r="T605">
        <v>22952</v>
      </c>
      <c r="U605" t="s">
        <v>8</v>
      </c>
      <c r="V605" s="1">
        <v>41634</v>
      </c>
      <c r="W605" t="s">
        <v>7</v>
      </c>
      <c r="X605" t="s">
        <v>1295</v>
      </c>
      <c r="Y605" t="s">
        <v>751</v>
      </c>
      <c r="Z605">
        <v>18</v>
      </c>
      <c r="AA60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06" spans="1:27" x14ac:dyDescent="0.3">
      <c r="A606" t="s">
        <v>1113</v>
      </c>
      <c r="B606">
        <v>409</v>
      </c>
      <c r="C606">
        <v>45</v>
      </c>
      <c r="D606">
        <f>IFERROR(tinder[[#This Row],[Tinder Opened]]/tinder[[#This Row],[Days on Tinder]],0)</f>
        <v>9.0888888888888886</v>
      </c>
      <c r="E606">
        <f>tinder[[#This Row],[Engagement]]/MAX(tinder[Engagement])</f>
        <v>4.5672808486878838E-2</v>
      </c>
      <c r="F60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06">
        <v>21</v>
      </c>
      <c r="H606">
        <f>IFERROR(tinder[[#This Row],[Conversations]]/tinder[[#This Row],[Tinder Opened]],0)</f>
        <v>5.1344743276283619E-2</v>
      </c>
      <c r="I606">
        <f>tinder[[#This Row],[Conversations]]/MAX(tinder[Conversations])</f>
        <v>1.6611295681063123E-3</v>
      </c>
      <c r="J606">
        <f>(tinder[[#This Row],[Norm Engagement]]*2)+(tinder[[#This Row],[Norm Swipes]]*1)+(tinder[[#This Row],[Norm Conversations]]*2)</f>
        <v>9.7766309692749132E-2</v>
      </c>
      <c r="K60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06">
        <v>9</v>
      </c>
      <c r="M606">
        <v>0</v>
      </c>
      <c r="N606">
        <v>37</v>
      </c>
      <c r="O606">
        <v>385</v>
      </c>
      <c r="P606">
        <v>459</v>
      </c>
      <c r="Q606">
        <f>tinder[[#This Row],[All Swipes]]/MAX(tinder[All Swipes])</f>
        <v>3.0984335827788354E-3</v>
      </c>
      <c r="R606">
        <f>tinder[[#This Row],[Swipe Right (LIKE)]]+tinder[[#This Row],[Swipe Left (PASS)]]</f>
        <v>2630</v>
      </c>
      <c r="S606">
        <v>1419</v>
      </c>
      <c r="T606">
        <v>1211</v>
      </c>
      <c r="U606" t="s">
        <v>8</v>
      </c>
      <c r="V606" s="1">
        <v>44204</v>
      </c>
      <c r="W606" t="s">
        <v>12</v>
      </c>
      <c r="X606" t="s">
        <v>1295</v>
      </c>
      <c r="Y606" t="s">
        <v>1114</v>
      </c>
      <c r="Z606">
        <v>24</v>
      </c>
      <c r="AA60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07" spans="1:27" x14ac:dyDescent="0.3">
      <c r="A607" t="s">
        <v>602</v>
      </c>
      <c r="B607">
        <v>7064</v>
      </c>
      <c r="C607">
        <v>778</v>
      </c>
      <c r="D607">
        <f>IFERROR(tinder[[#This Row],[Tinder Opened]]/tinder[[#This Row],[Days on Tinder]],0)</f>
        <v>9.0796915167095111</v>
      </c>
      <c r="E607">
        <f>tinder[[#This Row],[Engagement]]/MAX(tinder[Engagement])</f>
        <v>4.5626590536228702E-2</v>
      </c>
      <c r="F60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07">
        <v>36</v>
      </c>
      <c r="H607">
        <f>IFERROR(tinder[[#This Row],[Conversations]]/tinder[[#This Row],[Tinder Opened]],0)</f>
        <v>5.0962627406568517E-3</v>
      </c>
      <c r="I607">
        <f>tinder[[#This Row],[Conversations]]/MAX(tinder[Conversations])</f>
        <v>2.8476506881822496E-3</v>
      </c>
      <c r="J607">
        <f>(tinder[[#This Row],[Norm Engagement]]*2)+(tinder[[#This Row],[Norm Swipes]]*1)+(tinder[[#This Row],[Norm Conversations]]*2)</f>
        <v>0.16288032162244728</v>
      </c>
      <c r="K60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07">
        <v>11</v>
      </c>
      <c r="M607">
        <v>1</v>
      </c>
      <c r="N607">
        <v>76</v>
      </c>
      <c r="O607">
        <v>550</v>
      </c>
      <c r="P607">
        <v>541</v>
      </c>
      <c r="Q607">
        <f>tinder[[#This Row],[All Swipes]]/MAX(tinder[All Swipes])</f>
        <v>6.5931839173625384E-2</v>
      </c>
      <c r="R607">
        <f>tinder[[#This Row],[Swipe Right (LIKE)]]+tinder[[#This Row],[Swipe Left (PASS)]]</f>
        <v>55964</v>
      </c>
      <c r="S607">
        <v>13009</v>
      </c>
      <c r="T607">
        <v>42955</v>
      </c>
      <c r="U607" t="s">
        <v>8</v>
      </c>
      <c r="V607" s="1">
        <v>42706</v>
      </c>
      <c r="W607" t="s">
        <v>7</v>
      </c>
      <c r="X607" t="s">
        <v>1295</v>
      </c>
      <c r="Y607" t="s">
        <v>8</v>
      </c>
      <c r="Z607">
        <v>19</v>
      </c>
      <c r="AA60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08" spans="1:27" x14ac:dyDescent="0.3">
      <c r="A608" t="s">
        <v>600</v>
      </c>
      <c r="B608">
        <v>7706</v>
      </c>
      <c r="C608">
        <v>854</v>
      </c>
      <c r="D608">
        <f>IFERROR(tinder[[#This Row],[Tinder Opened]]/tinder[[#This Row],[Days on Tinder]],0)</f>
        <v>9.0234192037470731</v>
      </c>
      <c r="E608">
        <f>tinder[[#This Row],[Engagement]]/MAX(tinder[Engagement])</f>
        <v>4.5343815094206395E-2</v>
      </c>
      <c r="F60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08">
        <v>870</v>
      </c>
      <c r="H608">
        <f>IFERROR(tinder[[#This Row],[Conversations]]/tinder[[#This Row],[Tinder Opened]],0)</f>
        <v>0.11289903970931742</v>
      </c>
      <c r="I608">
        <f>tinder[[#This Row],[Conversations]]/MAX(tinder[Conversations])</f>
        <v>6.8818224964404373E-2</v>
      </c>
      <c r="J608">
        <f>(tinder[[#This Row],[Norm Engagement]]*2)+(tinder[[#This Row],[Norm Swipes]]*1)+(tinder[[#This Row],[Norm Conversations]]*2)</f>
        <v>0.29435723689089216</v>
      </c>
      <c r="K60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08">
        <v>190</v>
      </c>
      <c r="M608">
        <v>217</v>
      </c>
      <c r="N608">
        <v>2128</v>
      </c>
      <c r="O608">
        <v>3924</v>
      </c>
      <c r="P608">
        <v>5625</v>
      </c>
      <c r="Q608">
        <f>tinder[[#This Row],[All Swipes]]/MAX(tinder[All Swipes])</f>
        <v>6.6033156773670623E-2</v>
      </c>
      <c r="R608">
        <f>tinder[[#This Row],[Swipe Right (LIKE)]]+tinder[[#This Row],[Swipe Left (PASS)]]</f>
        <v>56050</v>
      </c>
      <c r="S608">
        <v>3041</v>
      </c>
      <c r="T608">
        <v>53009</v>
      </c>
      <c r="U608" t="s">
        <v>8</v>
      </c>
      <c r="V608" s="1">
        <v>41711</v>
      </c>
      <c r="W608" t="s">
        <v>7</v>
      </c>
      <c r="X608" t="s">
        <v>1296</v>
      </c>
      <c r="Y608" t="s">
        <v>601</v>
      </c>
      <c r="Z608">
        <v>19</v>
      </c>
      <c r="AA60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09" spans="1:27" x14ac:dyDescent="0.3">
      <c r="A609" t="s">
        <v>171</v>
      </c>
      <c r="B609">
        <v>13668</v>
      </c>
      <c r="C609">
        <v>1515</v>
      </c>
      <c r="D609">
        <f>IFERROR(tinder[[#This Row],[Tinder Opened]]/tinder[[#This Row],[Days on Tinder]],0)</f>
        <v>9.0217821782178209</v>
      </c>
      <c r="E609">
        <f>tinder[[#This Row],[Engagement]]/MAX(tinder[Engagement])</f>
        <v>4.5335588835265429E-2</v>
      </c>
      <c r="F60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09">
        <v>664</v>
      </c>
      <c r="H609">
        <f>IFERROR(tinder[[#This Row],[Conversations]]/tinder[[#This Row],[Tinder Opened]],0)</f>
        <v>4.8580626280362894E-2</v>
      </c>
      <c r="I609">
        <f>tinder[[#This Row],[Conversations]]/MAX(tinder[Conversations])</f>
        <v>5.2523334915361493E-2</v>
      </c>
      <c r="J609">
        <f>(tinder[[#This Row],[Norm Engagement]]*2)+(tinder[[#This Row],[Norm Swipes]]*1)+(tinder[[#This Row],[Norm Conversations]]*2)</f>
        <v>0.28223483115848935</v>
      </c>
      <c r="K60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09">
        <v>309</v>
      </c>
      <c r="M609">
        <v>8</v>
      </c>
      <c r="N609">
        <v>1702</v>
      </c>
      <c r="O609">
        <v>4406</v>
      </c>
      <c r="P609">
        <v>4283</v>
      </c>
      <c r="Q609">
        <f>tinder[[#This Row],[All Swipes]]/MAX(tinder[All Swipes])</f>
        <v>8.6516983657235494E-2</v>
      </c>
      <c r="R609">
        <f>tinder[[#This Row],[Swipe Right (LIKE)]]+tinder[[#This Row],[Swipe Left (PASS)]]</f>
        <v>73437</v>
      </c>
      <c r="S609">
        <v>46038</v>
      </c>
      <c r="T609">
        <v>27399</v>
      </c>
      <c r="U609" t="s">
        <v>14</v>
      </c>
      <c r="V609" s="1">
        <v>42190</v>
      </c>
      <c r="W609" t="s">
        <v>12</v>
      </c>
      <c r="X609" t="s">
        <v>1295</v>
      </c>
      <c r="Y609" t="s">
        <v>108</v>
      </c>
      <c r="Z609">
        <v>26</v>
      </c>
      <c r="AA60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10" spans="1:27" x14ac:dyDescent="0.3">
      <c r="A610" t="s">
        <v>948</v>
      </c>
      <c r="B610">
        <v>5114</v>
      </c>
      <c r="C610">
        <v>567</v>
      </c>
      <c r="D610">
        <f>IFERROR(tinder[[#This Row],[Tinder Opened]]/tinder[[#This Row],[Days on Tinder]],0)</f>
        <v>9.0194003527336868</v>
      </c>
      <c r="E610">
        <f>tinder[[#This Row],[Engagement]]/MAX(tinder[Engagement])</f>
        <v>4.5323619862983354E-2</v>
      </c>
      <c r="F61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10">
        <v>152</v>
      </c>
      <c r="H610">
        <f>IFERROR(tinder[[#This Row],[Conversations]]/tinder[[#This Row],[Tinder Opened]],0)</f>
        <v>2.9722330856472429E-2</v>
      </c>
      <c r="I610">
        <f>tinder[[#This Row],[Conversations]]/MAX(tinder[Conversations])</f>
        <v>1.2023414016769499E-2</v>
      </c>
      <c r="J610">
        <f>(tinder[[#This Row],[Norm Engagement]]*2)+(tinder[[#This Row],[Norm Swipes]]*1)+(tinder[[#This Row],[Norm Conversations]]*2)</f>
        <v>0.15297444890217973</v>
      </c>
      <c r="K61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10">
        <v>17</v>
      </c>
      <c r="M610">
        <v>0</v>
      </c>
      <c r="N610">
        <v>170</v>
      </c>
      <c r="O610">
        <v>3437</v>
      </c>
      <c r="P610">
        <v>3190</v>
      </c>
      <c r="Q610">
        <f>tinder[[#This Row],[All Swipes]]/MAX(tinder[All Swipes])</f>
        <v>3.8280381142674028E-2</v>
      </c>
      <c r="R610">
        <f>tinder[[#This Row],[Swipe Right (LIKE)]]+tinder[[#This Row],[Swipe Left (PASS)]]</f>
        <v>32493</v>
      </c>
      <c r="S610">
        <v>3821</v>
      </c>
      <c r="T610">
        <v>28672</v>
      </c>
      <c r="U610" t="s">
        <v>197</v>
      </c>
      <c r="V610" s="1">
        <v>43693</v>
      </c>
      <c r="W610" t="s">
        <v>12</v>
      </c>
      <c r="X610" t="s">
        <v>1295</v>
      </c>
      <c r="Y610" t="s">
        <v>949</v>
      </c>
      <c r="Z610">
        <v>29</v>
      </c>
      <c r="AA61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11" spans="1:27" x14ac:dyDescent="0.3">
      <c r="A611" t="s">
        <v>952</v>
      </c>
      <c r="B611">
        <v>421</v>
      </c>
      <c r="C611">
        <v>47</v>
      </c>
      <c r="D611">
        <f>IFERROR(tinder[[#This Row],[Tinder Opened]]/tinder[[#This Row],[Days on Tinder]],0)</f>
        <v>8.9574468085106389</v>
      </c>
      <c r="E611">
        <f>tinder[[#This Row],[Engagement]]/MAX(tinder[Engagement])</f>
        <v>4.5012295520153962E-2</v>
      </c>
      <c r="F61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11">
        <v>4</v>
      </c>
      <c r="H611">
        <f>IFERROR(tinder[[#This Row],[Conversations]]/tinder[[#This Row],[Tinder Opened]],0)</f>
        <v>9.5011876484560574E-3</v>
      </c>
      <c r="I611">
        <f>tinder[[#This Row],[Conversations]]/MAX(tinder[Conversations])</f>
        <v>3.1640563202024995E-4</v>
      </c>
      <c r="J611">
        <f>(tinder[[#This Row],[Norm Engagement]]*2)+(tinder[[#This Row],[Norm Swipes]]*1)+(tinder[[#This Row],[Norm Conversations]]*2)</f>
        <v>9.8465926177602456E-2</v>
      </c>
      <c r="K61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11">
        <v>1</v>
      </c>
      <c r="M611">
        <v>0</v>
      </c>
      <c r="N611">
        <v>4</v>
      </c>
      <c r="O611">
        <v>78</v>
      </c>
      <c r="P611">
        <v>137</v>
      </c>
      <c r="Q611">
        <f>tinder[[#This Row],[All Swipes]]/MAX(tinder[All Swipes])</f>
        <v>7.8085238732540389E-3</v>
      </c>
      <c r="R611">
        <f>tinder[[#This Row],[Swipe Right (LIKE)]]+tinder[[#This Row],[Swipe Left (PASS)]]</f>
        <v>6628</v>
      </c>
      <c r="S611">
        <v>2010</v>
      </c>
      <c r="T611">
        <v>4618</v>
      </c>
      <c r="U611" t="s">
        <v>25</v>
      </c>
      <c r="V611" s="1">
        <v>44133</v>
      </c>
      <c r="W611" t="s">
        <v>12</v>
      </c>
      <c r="X611" t="s">
        <v>1295</v>
      </c>
      <c r="Y611" t="s">
        <v>8</v>
      </c>
      <c r="Z611">
        <v>23</v>
      </c>
      <c r="AA61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12" spans="1:27" x14ac:dyDescent="0.3">
      <c r="A612" t="s">
        <v>974</v>
      </c>
      <c r="B612">
        <v>3103</v>
      </c>
      <c r="C612">
        <v>347</v>
      </c>
      <c r="D612">
        <f>IFERROR(tinder[[#This Row],[Tinder Opened]]/tinder[[#This Row],[Days on Tinder]],0)</f>
        <v>8.9423631123919307</v>
      </c>
      <c r="E612">
        <f>tinder[[#This Row],[Engagement]]/MAX(tinder[Engagement])</f>
        <v>4.4936498052220761E-2</v>
      </c>
      <c r="F61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12">
        <v>82</v>
      </c>
      <c r="H612">
        <f>IFERROR(tinder[[#This Row],[Conversations]]/tinder[[#This Row],[Tinder Opened]],0)</f>
        <v>2.6426039316790204E-2</v>
      </c>
      <c r="I612">
        <f>tinder[[#This Row],[Conversations]]/MAX(tinder[Conversations])</f>
        <v>6.4863154564151239E-3</v>
      </c>
      <c r="J612">
        <f>(tinder[[#This Row],[Norm Engagement]]*2)+(tinder[[#This Row],[Norm Swipes]]*1)+(tinder[[#This Row],[Norm Conversations]]*2)</f>
        <v>0.12892548413589347</v>
      </c>
      <c r="K61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12">
        <v>17</v>
      </c>
      <c r="M612">
        <v>1</v>
      </c>
      <c r="N612">
        <v>108</v>
      </c>
      <c r="O612">
        <v>1440</v>
      </c>
      <c r="P612">
        <v>1055</v>
      </c>
      <c r="Q612">
        <f>tinder[[#This Row],[All Swipes]]/MAX(tinder[All Swipes])</f>
        <v>2.6079857118621704E-2</v>
      </c>
      <c r="R612">
        <f>tinder[[#This Row],[Swipe Right (LIKE)]]+tinder[[#This Row],[Swipe Left (PASS)]]</f>
        <v>22137</v>
      </c>
      <c r="S612">
        <v>3072</v>
      </c>
      <c r="T612">
        <v>19065</v>
      </c>
      <c r="U612" t="s">
        <v>262</v>
      </c>
      <c r="V612" s="1">
        <v>43723</v>
      </c>
      <c r="W612" t="s">
        <v>12</v>
      </c>
      <c r="X612" t="s">
        <v>1295</v>
      </c>
      <c r="Y612" t="s">
        <v>108</v>
      </c>
      <c r="Z612">
        <v>23</v>
      </c>
      <c r="AA61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13" spans="1:27" x14ac:dyDescent="0.3">
      <c r="A613" t="s">
        <v>328</v>
      </c>
      <c r="B613">
        <v>4775</v>
      </c>
      <c r="C613">
        <v>535</v>
      </c>
      <c r="D613">
        <f>IFERROR(tinder[[#This Row],[Tinder Opened]]/tinder[[#This Row],[Days on Tinder]],0)</f>
        <v>8.925233644859814</v>
      </c>
      <c r="E613">
        <f>tinder[[#This Row],[Engagement]]/MAX(tinder[Engagement])</f>
        <v>4.4850420325928717E-2</v>
      </c>
      <c r="F61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13">
        <v>493</v>
      </c>
      <c r="H613">
        <f>IFERROR(tinder[[#This Row],[Conversations]]/tinder[[#This Row],[Tinder Opened]],0)</f>
        <v>0.10324607329842932</v>
      </c>
      <c r="I613">
        <f>tinder[[#This Row],[Conversations]]/MAX(tinder[Conversations])</f>
        <v>3.8996994146495809E-2</v>
      </c>
      <c r="J613">
        <f>(tinder[[#This Row],[Norm Engagement]]*2)+(tinder[[#This Row],[Norm Swipes]]*1)+(tinder[[#This Row],[Norm Conversations]]*2)</f>
        <v>0.2010660189318427</v>
      </c>
      <c r="K61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13">
        <v>59</v>
      </c>
      <c r="M613">
        <v>10</v>
      </c>
      <c r="N613">
        <v>1150</v>
      </c>
      <c r="O613">
        <v>7916</v>
      </c>
      <c r="P613">
        <v>8640</v>
      </c>
      <c r="Q613">
        <f>tinder[[#This Row],[All Swipes]]/MAX(tinder[All Swipes])</f>
        <v>3.3371189986993649E-2</v>
      </c>
      <c r="R613">
        <f>tinder[[#This Row],[Swipe Right (LIKE)]]+tinder[[#This Row],[Swipe Left (PASS)]]</f>
        <v>28326</v>
      </c>
      <c r="S613">
        <v>3574</v>
      </c>
      <c r="T613">
        <v>24752</v>
      </c>
      <c r="U613" t="s">
        <v>8</v>
      </c>
      <c r="V613" s="1">
        <v>43530</v>
      </c>
      <c r="W613" t="s">
        <v>12</v>
      </c>
      <c r="X613" t="s">
        <v>1296</v>
      </c>
      <c r="Y613" t="s">
        <v>329</v>
      </c>
      <c r="Z613">
        <v>18</v>
      </c>
      <c r="AA61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14" spans="1:27" x14ac:dyDescent="0.3">
      <c r="A614" t="s">
        <v>1049</v>
      </c>
      <c r="B614">
        <v>1481</v>
      </c>
      <c r="C614">
        <v>166</v>
      </c>
      <c r="D614">
        <f>IFERROR(tinder[[#This Row],[Tinder Opened]]/tinder[[#This Row],[Days on Tinder]],0)</f>
        <v>8.9216867469879517</v>
      </c>
      <c r="E614">
        <f>tinder[[#This Row],[Engagement]]/MAX(tinder[Engagement])</f>
        <v>4.4832596718532423E-2</v>
      </c>
      <c r="F61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14">
        <v>218</v>
      </c>
      <c r="H614">
        <f>IFERROR(tinder[[#This Row],[Conversations]]/tinder[[#This Row],[Tinder Opened]],0)</f>
        <v>0.14719783929777178</v>
      </c>
      <c r="I614">
        <f>tinder[[#This Row],[Conversations]]/MAX(tinder[Conversations])</f>
        <v>1.7244106945103622E-2</v>
      </c>
      <c r="J614">
        <f>(tinder[[#This Row],[Norm Engagement]]*2)+(tinder[[#This Row],[Norm Swipes]]*1)+(tinder[[#This Row],[Norm Conversations]]*2)</f>
        <v>0.14331421485210669</v>
      </c>
      <c r="K61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14">
        <v>76</v>
      </c>
      <c r="M614">
        <v>2</v>
      </c>
      <c r="N614">
        <v>99</v>
      </c>
      <c r="O614">
        <v>1243</v>
      </c>
      <c r="P614">
        <v>1019</v>
      </c>
      <c r="Q614">
        <f>tinder[[#This Row],[All Swipes]]/MAX(tinder[All Swipes])</f>
        <v>1.9160807524834594E-2</v>
      </c>
      <c r="R614">
        <f>tinder[[#This Row],[Swipe Right (LIKE)]]+tinder[[#This Row],[Swipe Left (PASS)]]</f>
        <v>16264</v>
      </c>
      <c r="S614">
        <v>9447</v>
      </c>
      <c r="T614">
        <v>6817</v>
      </c>
      <c r="U614" t="s">
        <v>85</v>
      </c>
      <c r="V614" s="1">
        <v>44081</v>
      </c>
      <c r="W614" t="s">
        <v>12</v>
      </c>
      <c r="X614" t="s">
        <v>1295</v>
      </c>
      <c r="Y614" t="s">
        <v>1050</v>
      </c>
      <c r="Z614">
        <v>18</v>
      </c>
      <c r="AA61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15" spans="1:27" x14ac:dyDescent="0.3">
      <c r="A615" t="s">
        <v>322</v>
      </c>
      <c r="B615">
        <v>5232</v>
      </c>
      <c r="C615">
        <v>587</v>
      </c>
      <c r="D615">
        <f>IFERROR(tinder[[#This Row],[Tinder Opened]]/tinder[[#This Row],[Days on Tinder]],0)</f>
        <v>8.9131175468483814</v>
      </c>
      <c r="E615">
        <f>tinder[[#This Row],[Engagement]]/MAX(tinder[Engagement])</f>
        <v>4.4789535411298396E-2</v>
      </c>
      <c r="F61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15">
        <v>249</v>
      </c>
      <c r="H615">
        <f>IFERROR(tinder[[#This Row],[Conversations]]/tinder[[#This Row],[Tinder Opened]],0)</f>
        <v>4.7591743119266054E-2</v>
      </c>
      <c r="I615">
        <f>tinder[[#This Row],[Conversations]]/MAX(tinder[Conversations])</f>
        <v>1.9696250593260561E-2</v>
      </c>
      <c r="J615">
        <f>(tinder[[#This Row],[Norm Engagement]]*2)+(tinder[[#This Row],[Norm Swipes]]*1)+(tinder[[#This Row],[Norm Conversations]]*2)</f>
        <v>0.21075843747819487</v>
      </c>
      <c r="K61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15">
        <v>50</v>
      </c>
      <c r="M615">
        <v>25</v>
      </c>
      <c r="N615">
        <v>1565</v>
      </c>
      <c r="O615">
        <v>1902</v>
      </c>
      <c r="P615">
        <v>2377</v>
      </c>
      <c r="Q615">
        <f>tinder[[#This Row],[All Swipes]]/MAX(tinder[All Swipes])</f>
        <v>8.178686546907693E-2</v>
      </c>
      <c r="R615">
        <f>tinder[[#This Row],[Swipe Right (LIKE)]]+tinder[[#This Row],[Swipe Left (PASS)]]</f>
        <v>69422</v>
      </c>
      <c r="S615">
        <v>5016</v>
      </c>
      <c r="T615">
        <v>64406</v>
      </c>
      <c r="U615" t="s">
        <v>8</v>
      </c>
      <c r="V615" s="1">
        <v>43200</v>
      </c>
      <c r="W615" t="s">
        <v>12</v>
      </c>
      <c r="X615" t="s">
        <v>1296</v>
      </c>
      <c r="Y615" t="s">
        <v>8</v>
      </c>
      <c r="Z615">
        <v>18</v>
      </c>
      <c r="AA61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16" spans="1:27" x14ac:dyDescent="0.3">
      <c r="A616" t="s">
        <v>314</v>
      </c>
      <c r="B616">
        <v>606</v>
      </c>
      <c r="C616">
        <v>68</v>
      </c>
      <c r="D616">
        <f>IFERROR(tinder[[#This Row],[Tinder Opened]]/tinder[[#This Row],[Days on Tinder]],0)</f>
        <v>8.9117647058823533</v>
      </c>
      <c r="E616">
        <f>tinder[[#This Row],[Engagement]]/MAX(tinder[Engagement])</f>
        <v>4.4782737215489213E-2</v>
      </c>
      <c r="F61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16">
        <v>0</v>
      </c>
      <c r="H616">
        <f>IFERROR(tinder[[#This Row],[Conversations]]/tinder[[#This Row],[Tinder Opened]],0)</f>
        <v>0</v>
      </c>
      <c r="I616">
        <f>tinder[[#This Row],[Conversations]]/MAX(tinder[Conversations])</f>
        <v>0</v>
      </c>
      <c r="J616">
        <f>(tinder[[#This Row],[Norm Engagement]]*2)+(tinder[[#This Row],[Norm Swipes]]*1)+(tinder[[#This Row],[Norm Conversations]]*2)</f>
        <v>9.3895034665469765E-2</v>
      </c>
      <c r="K61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16">
        <v>0</v>
      </c>
      <c r="M616">
        <v>0</v>
      </c>
      <c r="N616">
        <v>0</v>
      </c>
      <c r="O616">
        <v>0</v>
      </c>
      <c r="P616">
        <v>0</v>
      </c>
      <c r="Q616">
        <f>tinder[[#This Row],[All Swipes]]/MAX(tinder[All Swipes])</f>
        <v>4.3295602344913383E-3</v>
      </c>
      <c r="R616">
        <f>tinder[[#This Row],[Swipe Right (LIKE)]]+tinder[[#This Row],[Swipe Left (PASS)]]</f>
        <v>3675</v>
      </c>
      <c r="S616">
        <v>127</v>
      </c>
      <c r="T616">
        <v>3548</v>
      </c>
      <c r="U616" t="s">
        <v>315</v>
      </c>
      <c r="V616" s="1">
        <v>44122</v>
      </c>
      <c r="W616" t="s">
        <v>12</v>
      </c>
      <c r="X616" t="s">
        <v>1295</v>
      </c>
      <c r="Y616" t="s">
        <v>8</v>
      </c>
      <c r="Z616">
        <v>20</v>
      </c>
      <c r="AA61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17" spans="1:27" x14ac:dyDescent="0.3">
      <c r="A617" t="s">
        <v>670</v>
      </c>
      <c r="B617">
        <v>196</v>
      </c>
      <c r="C617">
        <v>22</v>
      </c>
      <c r="D617">
        <f>IFERROR(tinder[[#This Row],[Tinder Opened]]/tinder[[#This Row],[Days on Tinder]],0)</f>
        <v>8.9090909090909083</v>
      </c>
      <c r="E617">
        <f>tinder[[#This Row],[Engagement]]/MAX(tinder[Engagement])</f>
        <v>4.4769301050708081E-2</v>
      </c>
      <c r="F61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17">
        <v>20</v>
      </c>
      <c r="H617">
        <f>IFERROR(tinder[[#This Row],[Conversations]]/tinder[[#This Row],[Tinder Opened]],0)</f>
        <v>0.10204081632653061</v>
      </c>
      <c r="I617">
        <f>tinder[[#This Row],[Conversations]]/MAX(tinder[Conversations])</f>
        <v>1.5820281601012498E-3</v>
      </c>
      <c r="J617">
        <f>(tinder[[#This Row],[Norm Engagement]]*2)+(tinder[[#This Row],[Norm Swipes]]*1)+(tinder[[#This Row],[Norm Conversations]]*2)</f>
        <v>9.3747643436038752E-2</v>
      </c>
      <c r="K61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17">
        <v>5</v>
      </c>
      <c r="M617">
        <v>3</v>
      </c>
      <c r="N617">
        <v>13</v>
      </c>
      <c r="O617">
        <v>124</v>
      </c>
      <c r="P617">
        <v>80</v>
      </c>
      <c r="Q617">
        <f>tinder[[#This Row],[All Swipes]]/MAX(tinder[All Swipes])</f>
        <v>1.0449850144200862E-3</v>
      </c>
      <c r="R617">
        <f>tinder[[#This Row],[Swipe Right (LIKE)]]+tinder[[#This Row],[Swipe Left (PASS)]]</f>
        <v>887</v>
      </c>
      <c r="S617">
        <v>447</v>
      </c>
      <c r="T617">
        <v>440</v>
      </c>
      <c r="U617" t="s">
        <v>8</v>
      </c>
      <c r="V617" s="1">
        <v>44248</v>
      </c>
      <c r="W617" t="s">
        <v>12</v>
      </c>
      <c r="X617" t="s">
        <v>1295</v>
      </c>
      <c r="Y617" t="s">
        <v>8</v>
      </c>
      <c r="Z617">
        <v>22</v>
      </c>
      <c r="AA61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18" spans="1:27" x14ac:dyDescent="0.3">
      <c r="A618" t="s">
        <v>484</v>
      </c>
      <c r="B618">
        <v>1487</v>
      </c>
      <c r="C618">
        <v>167</v>
      </c>
      <c r="D618">
        <f>IFERROR(tinder[[#This Row],[Tinder Opened]]/tinder[[#This Row],[Days on Tinder]],0)</f>
        <v>8.9041916167664663</v>
      </c>
      <c r="E618">
        <f>tinder[[#This Row],[Engagement]]/MAX(tinder[Engagement])</f>
        <v>4.4744681491288775E-2</v>
      </c>
      <c r="F61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18">
        <v>16</v>
      </c>
      <c r="H618">
        <f>IFERROR(tinder[[#This Row],[Conversations]]/tinder[[#This Row],[Tinder Opened]],0)</f>
        <v>1.0759919300605245E-2</v>
      </c>
      <c r="I618">
        <f>tinder[[#This Row],[Conversations]]/MAX(tinder[Conversations])</f>
        <v>1.2656225280809998E-3</v>
      </c>
      <c r="J618">
        <f>(tinder[[#This Row],[Norm Engagement]]*2)+(tinder[[#This Row],[Norm Swipes]]*1)+(tinder[[#This Row],[Norm Conversations]]*2)</f>
        <v>0.10600597117986789</v>
      </c>
      <c r="K61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18">
        <v>7</v>
      </c>
      <c r="M618">
        <v>0</v>
      </c>
      <c r="N618">
        <v>16</v>
      </c>
      <c r="O618">
        <v>89</v>
      </c>
      <c r="P618">
        <v>66</v>
      </c>
      <c r="Q618">
        <f>tinder[[#This Row],[All Swipes]]/MAX(tinder[All Swipes])</f>
        <v>1.3985363141128348E-2</v>
      </c>
      <c r="R618">
        <f>tinder[[#This Row],[Swipe Right (LIKE)]]+tinder[[#This Row],[Swipe Left (PASS)]]</f>
        <v>11871</v>
      </c>
      <c r="S618">
        <v>5113</v>
      </c>
      <c r="T618">
        <v>6758</v>
      </c>
      <c r="U618" t="s">
        <v>45</v>
      </c>
      <c r="V618" s="1">
        <v>42126</v>
      </c>
      <c r="W618" t="s">
        <v>7</v>
      </c>
      <c r="X618" t="s">
        <v>1295</v>
      </c>
      <c r="Y618" t="s">
        <v>485</v>
      </c>
      <c r="Z618">
        <v>24</v>
      </c>
      <c r="AA61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19" spans="1:27" x14ac:dyDescent="0.3">
      <c r="A619" t="s">
        <v>364</v>
      </c>
      <c r="B619">
        <v>10588</v>
      </c>
      <c r="C619">
        <v>1191</v>
      </c>
      <c r="D619">
        <f>IFERROR(tinder[[#This Row],[Tinder Opened]]/tinder[[#This Row],[Days on Tinder]],0)</f>
        <v>8.8900083963056247</v>
      </c>
      <c r="E619">
        <f>tinder[[#This Row],[Engagement]]/MAX(tinder[Engagement])</f>
        <v>4.4673409026661427E-2</v>
      </c>
      <c r="F61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19">
        <v>622</v>
      </c>
      <c r="H619">
        <f>IFERROR(tinder[[#This Row],[Conversations]]/tinder[[#This Row],[Tinder Opened]],0)</f>
        <v>5.8745749905553458E-2</v>
      </c>
      <c r="I619">
        <f>tinder[[#This Row],[Conversations]]/MAX(tinder[Conversations])</f>
        <v>4.9201075779148867E-2</v>
      </c>
      <c r="J619">
        <f>(tinder[[#This Row],[Norm Engagement]]*2)+(tinder[[#This Row],[Norm Swipes]]*1)+(tinder[[#This Row],[Norm Conversations]]*2)</f>
        <v>0.26193819318893297</v>
      </c>
      <c r="K61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19">
        <v>214</v>
      </c>
      <c r="M619">
        <v>19</v>
      </c>
      <c r="N619">
        <v>1523</v>
      </c>
      <c r="O619">
        <v>4155</v>
      </c>
      <c r="P619">
        <v>3317</v>
      </c>
      <c r="Q619">
        <f>tinder[[#This Row],[All Swipes]]/MAX(tinder[All Swipes])</f>
        <v>7.4189223577312391E-2</v>
      </c>
      <c r="R619">
        <f>tinder[[#This Row],[Swipe Right (LIKE)]]+tinder[[#This Row],[Swipe Left (PASS)]]</f>
        <v>62973</v>
      </c>
      <c r="S619">
        <v>49462</v>
      </c>
      <c r="T619">
        <v>13511</v>
      </c>
      <c r="U619" t="s">
        <v>6</v>
      </c>
      <c r="V619" s="1">
        <v>42069</v>
      </c>
      <c r="W619" t="s">
        <v>7</v>
      </c>
      <c r="X619" t="s">
        <v>1295</v>
      </c>
      <c r="Y619" t="s">
        <v>8</v>
      </c>
      <c r="Z619">
        <v>21</v>
      </c>
      <c r="AA61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20" spans="1:27" x14ac:dyDescent="0.3">
      <c r="A620" t="s">
        <v>316</v>
      </c>
      <c r="B620">
        <v>1057</v>
      </c>
      <c r="C620">
        <v>119</v>
      </c>
      <c r="D620">
        <f>IFERROR(tinder[[#This Row],[Tinder Opened]]/tinder[[#This Row],[Days on Tinder]],0)</f>
        <v>8.882352941176471</v>
      </c>
      <c r="E620">
        <f>tinder[[#This Row],[Engagement]]/MAX(tinder[Engagement])</f>
        <v>4.4634939402896839E-2</v>
      </c>
      <c r="F62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20">
        <v>21</v>
      </c>
      <c r="H620">
        <f>IFERROR(tinder[[#This Row],[Conversations]]/tinder[[#This Row],[Tinder Opened]],0)</f>
        <v>1.9867549668874173E-2</v>
      </c>
      <c r="I620">
        <f>tinder[[#This Row],[Conversations]]/MAX(tinder[Conversations])</f>
        <v>1.6611295681063123E-3</v>
      </c>
      <c r="J620">
        <f>(tinder[[#This Row],[Norm Engagement]]*2)+(tinder[[#This Row],[Norm Swipes]]*1)+(tinder[[#This Row],[Norm Conversations]]*2)</f>
        <v>0.10096026483876602</v>
      </c>
      <c r="K62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20">
        <v>3</v>
      </c>
      <c r="M620">
        <v>5</v>
      </c>
      <c r="N620">
        <v>92</v>
      </c>
      <c r="O620">
        <v>382</v>
      </c>
      <c r="P620">
        <v>525</v>
      </c>
      <c r="Q620">
        <f>tinder[[#This Row],[All Swipes]]/MAX(tinder[All Swipes])</f>
        <v>8.3681268967597221E-3</v>
      </c>
      <c r="R620">
        <f>tinder[[#This Row],[Swipe Right (LIKE)]]+tinder[[#This Row],[Swipe Left (PASS)]]</f>
        <v>7103</v>
      </c>
      <c r="S620">
        <v>376</v>
      </c>
      <c r="T620">
        <v>6727</v>
      </c>
      <c r="U620" t="s">
        <v>8</v>
      </c>
      <c r="V620" s="1">
        <v>43754</v>
      </c>
      <c r="W620" t="s">
        <v>12</v>
      </c>
      <c r="X620" t="s">
        <v>1296</v>
      </c>
      <c r="Y620" t="s">
        <v>8</v>
      </c>
      <c r="Z620">
        <v>20</v>
      </c>
      <c r="AA62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21" spans="1:27" x14ac:dyDescent="0.3">
      <c r="A621" t="s">
        <v>763</v>
      </c>
      <c r="B621">
        <v>6290</v>
      </c>
      <c r="C621">
        <v>709</v>
      </c>
      <c r="D621">
        <f>IFERROR(tinder[[#This Row],[Tinder Opened]]/tinder[[#This Row],[Days on Tinder]],0)</f>
        <v>8.8716502115655853</v>
      </c>
      <c r="E621">
        <f>tinder[[#This Row],[Engagement]]/MAX(tinder[Engagement])</f>
        <v>4.4581156842038117E-2</v>
      </c>
      <c r="F62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21">
        <v>690</v>
      </c>
      <c r="H621">
        <f>IFERROR(tinder[[#This Row],[Conversations]]/tinder[[#This Row],[Tinder Opened]],0)</f>
        <v>0.10969793322734499</v>
      </c>
      <c r="I621">
        <f>tinder[[#This Row],[Conversations]]/MAX(tinder[Conversations])</f>
        <v>5.4579971523493115E-2</v>
      </c>
      <c r="J621">
        <f>(tinder[[#This Row],[Norm Engagement]]*2)+(tinder[[#This Row],[Norm Swipes]]*1)+(tinder[[#This Row],[Norm Conversations]]*2)</f>
        <v>0.28094204712144155</v>
      </c>
      <c r="K62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21">
        <v>71</v>
      </c>
      <c r="M621">
        <v>74</v>
      </c>
      <c r="N621">
        <v>2451</v>
      </c>
      <c r="O621">
        <v>8271</v>
      </c>
      <c r="P621">
        <v>7076</v>
      </c>
      <c r="Q621">
        <f>tinder[[#This Row],[All Swipes]]/MAX(tinder[All Swipes])</f>
        <v>8.2619790390379075E-2</v>
      </c>
      <c r="R621">
        <f>tinder[[#This Row],[Swipe Right (LIKE)]]+tinder[[#This Row],[Swipe Left (PASS)]]</f>
        <v>70129</v>
      </c>
      <c r="S621">
        <v>34532</v>
      </c>
      <c r="T621">
        <v>35597</v>
      </c>
      <c r="U621" t="s">
        <v>8</v>
      </c>
      <c r="V621" s="1">
        <v>41511</v>
      </c>
      <c r="W621" t="s">
        <v>7</v>
      </c>
      <c r="X621" t="s">
        <v>1295</v>
      </c>
      <c r="Y621" t="s">
        <v>8</v>
      </c>
      <c r="Z621">
        <v>26</v>
      </c>
      <c r="AA62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22" spans="1:27" x14ac:dyDescent="0.3">
      <c r="A622" t="s">
        <v>744</v>
      </c>
      <c r="B622">
        <v>5259</v>
      </c>
      <c r="C622">
        <v>593</v>
      </c>
      <c r="D622">
        <f>IFERROR(tinder[[#This Row],[Tinder Opened]]/tinder[[#This Row],[Days on Tinder]],0)</f>
        <v>8.8684654300168635</v>
      </c>
      <c r="E622">
        <f>tinder[[#This Row],[Engagement]]/MAX(tinder[Engagement])</f>
        <v>4.4565152914657603E-2</v>
      </c>
      <c r="F62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22">
        <v>88</v>
      </c>
      <c r="H622">
        <f>IFERROR(tinder[[#This Row],[Conversations]]/tinder[[#This Row],[Tinder Opened]],0)</f>
        <v>1.6733219243202129E-2</v>
      </c>
      <c r="I622">
        <f>tinder[[#This Row],[Conversations]]/MAX(tinder[Conversations])</f>
        <v>6.9609239044454993E-3</v>
      </c>
      <c r="J622">
        <f>(tinder[[#This Row],[Norm Engagement]]*2)+(tinder[[#This Row],[Norm Swipes]]*1)+(tinder[[#This Row],[Norm Conversations]]*2)</f>
        <v>0.22129214911425754</v>
      </c>
      <c r="K62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22">
        <v>6</v>
      </c>
      <c r="M622">
        <v>23</v>
      </c>
      <c r="N622">
        <v>412</v>
      </c>
      <c r="O622">
        <v>1603</v>
      </c>
      <c r="P622">
        <v>2247</v>
      </c>
      <c r="Q622">
        <f>tinder[[#This Row],[All Swipes]]/MAX(tinder[All Swipes])</f>
        <v>0.11823999547605135</v>
      </c>
      <c r="R622">
        <f>tinder[[#This Row],[Swipe Right (LIKE)]]+tinder[[#This Row],[Swipe Left (PASS)]]</f>
        <v>100364</v>
      </c>
      <c r="S622">
        <v>1020</v>
      </c>
      <c r="T622">
        <v>99344</v>
      </c>
      <c r="U622" t="s">
        <v>465</v>
      </c>
      <c r="V622" s="1">
        <v>43061</v>
      </c>
      <c r="W622" t="s">
        <v>7</v>
      </c>
      <c r="X622" t="s">
        <v>1296</v>
      </c>
      <c r="Y622" t="s">
        <v>8</v>
      </c>
      <c r="Z622">
        <v>23</v>
      </c>
      <c r="AA62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23" spans="1:27" x14ac:dyDescent="0.3">
      <c r="A623" t="s">
        <v>848</v>
      </c>
      <c r="B623">
        <v>133</v>
      </c>
      <c r="C623">
        <v>15</v>
      </c>
      <c r="D623">
        <f>IFERROR(tinder[[#This Row],[Tinder Opened]]/tinder[[#This Row],[Days on Tinder]],0)</f>
        <v>8.8666666666666671</v>
      </c>
      <c r="E623">
        <f>tinder[[#This Row],[Engagement]]/MAX(tinder[Engagement])</f>
        <v>4.4556113902847576E-2</v>
      </c>
      <c r="F62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23">
        <v>162</v>
      </c>
      <c r="H623">
        <f>IFERROR(tinder[[#This Row],[Conversations]]/tinder[[#This Row],[Tinder Opened]],0)</f>
        <v>1.2180451127819549</v>
      </c>
      <c r="I623">
        <f>tinder[[#This Row],[Conversations]]/MAX(tinder[Conversations])</f>
        <v>1.2814428096820124E-2</v>
      </c>
      <c r="J623">
        <f>(tinder[[#This Row],[Norm Engagement]]*2)+(tinder[[#This Row],[Norm Swipes]]*1)+(tinder[[#This Row],[Norm Conversations]]*2)</f>
        <v>0.11670970853044697</v>
      </c>
      <c r="K62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23">
        <v>61</v>
      </c>
      <c r="M623">
        <v>7</v>
      </c>
      <c r="N623">
        <v>22</v>
      </c>
      <c r="O623">
        <v>832</v>
      </c>
      <c r="P623">
        <v>552</v>
      </c>
      <c r="Q623">
        <f>tinder[[#This Row],[All Swipes]]/MAX(tinder[All Swipes])</f>
        <v>1.9686245311115718E-3</v>
      </c>
      <c r="R623">
        <f>tinder[[#This Row],[Swipe Right (LIKE)]]+tinder[[#This Row],[Swipe Left (PASS)]]</f>
        <v>1671</v>
      </c>
      <c r="S623">
        <v>1468</v>
      </c>
      <c r="T623">
        <v>203</v>
      </c>
      <c r="U623" t="s">
        <v>8</v>
      </c>
      <c r="V623" s="1">
        <v>44280</v>
      </c>
      <c r="W623" t="s">
        <v>12</v>
      </c>
      <c r="X623" t="s">
        <v>1295</v>
      </c>
      <c r="Y623" t="s">
        <v>849</v>
      </c>
      <c r="Z623">
        <v>28</v>
      </c>
      <c r="AA62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24" spans="1:27" x14ac:dyDescent="0.3">
      <c r="A624" t="s">
        <v>226</v>
      </c>
      <c r="B624">
        <v>3541</v>
      </c>
      <c r="C624">
        <v>401</v>
      </c>
      <c r="D624">
        <f>IFERROR(tinder[[#This Row],[Tinder Opened]]/tinder[[#This Row],[Days on Tinder]],0)</f>
        <v>8.8304239401496254</v>
      </c>
      <c r="E624">
        <f>tinder[[#This Row],[Engagement]]/MAX(tinder[Engagement])</f>
        <v>4.4373989648993091E-2</v>
      </c>
      <c r="F62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24">
        <v>142</v>
      </c>
      <c r="H624">
        <f>IFERROR(tinder[[#This Row],[Conversations]]/tinder[[#This Row],[Tinder Opened]],0)</f>
        <v>4.0101666195989837E-2</v>
      </c>
      <c r="I624">
        <f>tinder[[#This Row],[Conversations]]/MAX(tinder[Conversations])</f>
        <v>1.1232399936718873E-2</v>
      </c>
      <c r="J624">
        <f>(tinder[[#This Row],[Norm Engagement]]*2)+(tinder[[#This Row],[Norm Swipes]]*1)+(tinder[[#This Row],[Norm Conversations]]*2)</f>
        <v>0.13627003539656579</v>
      </c>
      <c r="K62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24">
        <v>57</v>
      </c>
      <c r="M624">
        <v>37</v>
      </c>
      <c r="N624">
        <v>1344</v>
      </c>
      <c r="O624">
        <v>292</v>
      </c>
      <c r="P624">
        <v>439</v>
      </c>
      <c r="Q624">
        <f>tinder[[#This Row],[All Swipes]]/MAX(tinder[All Swipes])</f>
        <v>2.5057256225141846E-2</v>
      </c>
      <c r="R624">
        <f>tinder[[#This Row],[Swipe Right (LIKE)]]+tinder[[#This Row],[Swipe Left (PASS)]]</f>
        <v>21269</v>
      </c>
      <c r="S624">
        <v>12409</v>
      </c>
      <c r="T624">
        <v>8860</v>
      </c>
      <c r="U624" t="s">
        <v>8</v>
      </c>
      <c r="V624" s="1">
        <v>43290</v>
      </c>
      <c r="W624" t="s">
        <v>12</v>
      </c>
      <c r="X624" t="s">
        <v>1295</v>
      </c>
      <c r="Y624" t="s">
        <v>8</v>
      </c>
      <c r="Z624">
        <v>19</v>
      </c>
      <c r="AA62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25" spans="1:27" x14ac:dyDescent="0.3">
      <c r="A625" t="s">
        <v>1286</v>
      </c>
      <c r="B625">
        <v>9465</v>
      </c>
      <c r="C625">
        <v>1074</v>
      </c>
      <c r="D625">
        <f>IFERROR(tinder[[#This Row],[Tinder Opened]]/tinder[[#This Row],[Days on Tinder]],0)</f>
        <v>8.8128491620111724</v>
      </c>
      <c r="E625">
        <f>tinder[[#This Row],[Engagement]]/MAX(tinder[Engagement])</f>
        <v>4.4285674180960667E-2</v>
      </c>
      <c r="F62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25">
        <v>378</v>
      </c>
      <c r="H625">
        <f>IFERROR(tinder[[#This Row],[Conversations]]/tinder[[#This Row],[Tinder Opened]],0)</f>
        <v>3.9936608557844692E-2</v>
      </c>
      <c r="I625">
        <f>tinder[[#This Row],[Conversations]]/MAX(tinder[Conversations])</f>
        <v>2.9900332225913623E-2</v>
      </c>
      <c r="J625">
        <f>(tinder[[#This Row],[Norm Engagement]]*2)+(tinder[[#This Row],[Norm Swipes]]*1)+(tinder[[#This Row],[Norm Conversations]]*2)</f>
        <v>0.24429268348913641</v>
      </c>
      <c r="K62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25">
        <v>83</v>
      </c>
      <c r="M625">
        <v>159</v>
      </c>
      <c r="N625">
        <v>2243</v>
      </c>
      <c r="O625">
        <v>2086</v>
      </c>
      <c r="P625">
        <v>2416</v>
      </c>
      <c r="Q625">
        <f>tinder[[#This Row],[All Swipes]]/MAX(tinder[All Swipes])</f>
        <v>9.5920670675387829E-2</v>
      </c>
      <c r="R625">
        <f>tinder[[#This Row],[Swipe Right (LIKE)]]+tinder[[#This Row],[Swipe Left (PASS)]]</f>
        <v>81419</v>
      </c>
      <c r="S625">
        <v>39002</v>
      </c>
      <c r="T625">
        <v>42417</v>
      </c>
      <c r="U625" t="s">
        <v>8</v>
      </c>
      <c r="V625" s="1">
        <v>42147</v>
      </c>
      <c r="W625" t="s">
        <v>7</v>
      </c>
      <c r="X625" t="s">
        <v>1295</v>
      </c>
      <c r="Y625" t="s">
        <v>8</v>
      </c>
      <c r="Z625">
        <v>18</v>
      </c>
      <c r="AA62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26" spans="1:27" x14ac:dyDescent="0.3">
      <c r="A626" t="s">
        <v>790</v>
      </c>
      <c r="B626">
        <v>819</v>
      </c>
      <c r="C626">
        <v>93</v>
      </c>
      <c r="D626">
        <f>IFERROR(tinder[[#This Row],[Tinder Opened]]/tinder[[#This Row],[Days on Tinder]],0)</f>
        <v>8.806451612903226</v>
      </c>
      <c r="E626">
        <f>tinder[[#This Row],[Engagement]]/MAX(tinder[Engagement])</f>
        <v>4.4253525692981036E-2</v>
      </c>
      <c r="F62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26">
        <v>5</v>
      </c>
      <c r="H626">
        <f>IFERROR(tinder[[#This Row],[Conversations]]/tinder[[#This Row],[Tinder Opened]],0)</f>
        <v>6.105006105006105E-3</v>
      </c>
      <c r="I626">
        <f>tinder[[#This Row],[Conversations]]/MAX(tinder[Conversations])</f>
        <v>3.9550704002531246E-4</v>
      </c>
      <c r="J626">
        <f>(tinder[[#This Row],[Norm Engagement]]*2)+(tinder[[#This Row],[Norm Swipes]]*1)+(tinder[[#This Row],[Norm Conversations]]*2)</f>
        <v>9.4062348891395822E-2</v>
      </c>
      <c r="K62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26">
        <v>2</v>
      </c>
      <c r="M626">
        <v>2</v>
      </c>
      <c r="N626">
        <v>18</v>
      </c>
      <c r="O626">
        <v>26</v>
      </c>
      <c r="P626">
        <v>29</v>
      </c>
      <c r="Q626">
        <f>tinder[[#This Row],[All Swipes]]/MAX(tinder[All Swipes])</f>
        <v>4.7642834253831222E-3</v>
      </c>
      <c r="R626">
        <f>tinder[[#This Row],[Swipe Right (LIKE)]]+tinder[[#This Row],[Swipe Left (PASS)]]</f>
        <v>4044</v>
      </c>
      <c r="S626">
        <v>822</v>
      </c>
      <c r="T626">
        <v>3222</v>
      </c>
      <c r="U626" t="s">
        <v>8</v>
      </c>
      <c r="V626" s="1">
        <v>44062</v>
      </c>
      <c r="W626" t="s">
        <v>12</v>
      </c>
      <c r="X626" t="s">
        <v>1295</v>
      </c>
      <c r="Y626" t="s">
        <v>96</v>
      </c>
      <c r="Z626">
        <v>23</v>
      </c>
      <c r="AA62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27" spans="1:27" x14ac:dyDescent="0.3">
      <c r="A627" t="s">
        <v>300</v>
      </c>
      <c r="B627">
        <v>4638</v>
      </c>
      <c r="C627">
        <v>527</v>
      </c>
      <c r="D627">
        <f>IFERROR(tinder[[#This Row],[Tinder Opened]]/tinder[[#This Row],[Days on Tinder]],0)</f>
        <v>8.8007590132827325</v>
      </c>
      <c r="E627">
        <f>tinder[[#This Row],[Engagement]]/MAX(tinder[Engagement])</f>
        <v>4.422491966473735E-2</v>
      </c>
      <c r="F62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27">
        <v>158</v>
      </c>
      <c r="H627">
        <f>IFERROR(tinder[[#This Row],[Conversations]]/tinder[[#This Row],[Tinder Opened]],0)</f>
        <v>3.4066407934454507E-2</v>
      </c>
      <c r="I627">
        <f>tinder[[#This Row],[Conversations]]/MAX(tinder[Conversations])</f>
        <v>1.2498022464799873E-2</v>
      </c>
      <c r="J627">
        <f>(tinder[[#This Row],[Norm Engagement]]*2)+(tinder[[#This Row],[Norm Swipes]]*1)+(tinder[[#This Row],[Norm Conversations]]*2)</f>
        <v>0.15372787705845617</v>
      </c>
      <c r="K62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27">
        <v>47</v>
      </c>
      <c r="M627">
        <v>18</v>
      </c>
      <c r="N627">
        <v>866</v>
      </c>
      <c r="O627">
        <v>1307</v>
      </c>
      <c r="P627">
        <v>1539</v>
      </c>
      <c r="Q627">
        <f>tinder[[#This Row],[All Swipes]]/MAX(tinder[All Swipes])</f>
        <v>4.028199279938173E-2</v>
      </c>
      <c r="R627">
        <f>tinder[[#This Row],[Swipe Right (LIKE)]]+tinder[[#This Row],[Swipe Left (PASS)]]</f>
        <v>34192</v>
      </c>
      <c r="S627">
        <v>3290</v>
      </c>
      <c r="T627">
        <v>30902</v>
      </c>
      <c r="U627" t="s">
        <v>8</v>
      </c>
      <c r="V627" s="1">
        <v>42480</v>
      </c>
      <c r="W627" t="s">
        <v>7</v>
      </c>
      <c r="X627" t="s">
        <v>1296</v>
      </c>
      <c r="Y627" t="s">
        <v>301</v>
      </c>
      <c r="Z627">
        <v>16</v>
      </c>
      <c r="AA62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28" spans="1:27" x14ac:dyDescent="0.3">
      <c r="A628" t="s">
        <v>964</v>
      </c>
      <c r="B628">
        <v>1097</v>
      </c>
      <c r="C628">
        <v>125</v>
      </c>
      <c r="D628">
        <f>IFERROR(tinder[[#This Row],[Tinder Opened]]/tinder[[#This Row],[Days on Tinder]],0)</f>
        <v>8.7759999999999998</v>
      </c>
      <c r="E628">
        <f>tinder[[#This Row],[Engagement]]/MAX(tinder[Engagement])</f>
        <v>4.4100502512562811E-2</v>
      </c>
      <c r="F62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28">
        <v>56</v>
      </c>
      <c r="H628">
        <f>IFERROR(tinder[[#This Row],[Conversations]]/tinder[[#This Row],[Tinder Opened]],0)</f>
        <v>5.1048313582497722E-2</v>
      </c>
      <c r="I628">
        <f>tinder[[#This Row],[Conversations]]/MAX(tinder[Conversations])</f>
        <v>4.4296788482834993E-3</v>
      </c>
      <c r="J628">
        <f>(tinder[[#This Row],[Norm Engagement]]*2)+(tinder[[#This Row],[Norm Swipes]]*1)+(tinder[[#This Row],[Norm Conversations]]*2)</f>
        <v>0.11616815522324773</v>
      </c>
      <c r="K62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28">
        <v>16</v>
      </c>
      <c r="M628">
        <v>0</v>
      </c>
      <c r="N628">
        <v>90</v>
      </c>
      <c r="O628">
        <v>548</v>
      </c>
      <c r="P628">
        <v>500</v>
      </c>
      <c r="Q628">
        <f>tinder[[#This Row],[All Swipes]]/MAX(tinder[All Swipes])</f>
        <v>1.9107792501555108E-2</v>
      </c>
      <c r="R628">
        <f>tinder[[#This Row],[Swipe Right (LIKE)]]+tinder[[#This Row],[Swipe Left (PASS)]]</f>
        <v>16219</v>
      </c>
      <c r="S628">
        <v>3042</v>
      </c>
      <c r="T628">
        <v>13177</v>
      </c>
      <c r="U628" t="s">
        <v>8</v>
      </c>
      <c r="V628" s="1">
        <v>43411</v>
      </c>
      <c r="W628" t="s">
        <v>12</v>
      </c>
      <c r="X628" t="s">
        <v>1295</v>
      </c>
      <c r="Y628" t="s">
        <v>8</v>
      </c>
      <c r="Z628">
        <v>21</v>
      </c>
      <c r="AA62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29" spans="1:27" x14ac:dyDescent="0.3">
      <c r="A629" t="s">
        <v>50</v>
      </c>
      <c r="B629">
        <v>1307</v>
      </c>
      <c r="C629">
        <v>149</v>
      </c>
      <c r="D629">
        <f>IFERROR(tinder[[#This Row],[Tinder Opened]]/tinder[[#This Row],[Days on Tinder]],0)</f>
        <v>8.7718120805369129</v>
      </c>
      <c r="E629">
        <f>tinder[[#This Row],[Engagement]]/MAX(tinder[Engagement])</f>
        <v>4.4079457691140266E-2</v>
      </c>
      <c r="F62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29">
        <v>81</v>
      </c>
      <c r="H629">
        <f>IFERROR(tinder[[#This Row],[Conversations]]/tinder[[#This Row],[Tinder Opened]],0)</f>
        <v>6.1973986228003063E-2</v>
      </c>
      <c r="I629">
        <f>tinder[[#This Row],[Conversations]]/MAX(tinder[Conversations])</f>
        <v>6.407214048410062E-3</v>
      </c>
      <c r="J629">
        <f>(tinder[[#This Row],[Norm Engagement]]*2)+(tinder[[#This Row],[Norm Swipes]]*1)+(tinder[[#This Row],[Norm Conversations]]*2)</f>
        <v>0.10971257553881678</v>
      </c>
      <c r="K62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29">
        <v>13</v>
      </c>
      <c r="M629">
        <v>39</v>
      </c>
      <c r="N629">
        <v>322</v>
      </c>
      <c r="O629">
        <v>231</v>
      </c>
      <c r="P629">
        <v>355</v>
      </c>
      <c r="Q629">
        <f>tinder[[#This Row],[All Swipes]]/MAX(tinder[All Swipes])</f>
        <v>8.7392320597161222E-3</v>
      </c>
      <c r="R629">
        <f>tinder[[#This Row],[Swipe Right (LIKE)]]+tinder[[#This Row],[Swipe Left (PASS)]]</f>
        <v>7418</v>
      </c>
      <c r="S629">
        <v>1494</v>
      </c>
      <c r="T629">
        <v>5924</v>
      </c>
      <c r="U629" t="s">
        <v>8</v>
      </c>
      <c r="V629" s="1">
        <v>43809</v>
      </c>
      <c r="W629" t="s">
        <v>12</v>
      </c>
      <c r="X629" t="s">
        <v>1295</v>
      </c>
      <c r="Y629" t="s">
        <v>8</v>
      </c>
      <c r="Z629">
        <v>19</v>
      </c>
      <c r="AA62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30" spans="1:27" x14ac:dyDescent="0.3">
      <c r="A630" t="s">
        <v>1261</v>
      </c>
      <c r="B630">
        <v>4902</v>
      </c>
      <c r="C630">
        <v>559</v>
      </c>
      <c r="D630">
        <f>IFERROR(tinder[[#This Row],[Tinder Opened]]/tinder[[#This Row],[Days on Tinder]],0)</f>
        <v>8.7692307692307701</v>
      </c>
      <c r="E630">
        <f>tinder[[#This Row],[Engagement]]/MAX(tinder[Engagement])</f>
        <v>4.4066486277541561E-2</v>
      </c>
      <c r="F63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30">
        <v>109</v>
      </c>
      <c r="H630">
        <f>IFERROR(tinder[[#This Row],[Conversations]]/tinder[[#This Row],[Tinder Opened]],0)</f>
        <v>2.2235822113423093E-2</v>
      </c>
      <c r="I630">
        <f>tinder[[#This Row],[Conversations]]/MAX(tinder[Conversations])</f>
        <v>8.6220534725518112E-3</v>
      </c>
      <c r="J630">
        <f>(tinder[[#This Row],[Norm Engagement]]*2)+(tinder[[#This Row],[Norm Swipes]]*1)+(tinder[[#This Row],[Norm Conversations]]*2)</f>
        <v>0.12425867456908271</v>
      </c>
      <c r="K63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30">
        <v>4</v>
      </c>
      <c r="M630">
        <v>3</v>
      </c>
      <c r="N630">
        <v>160</v>
      </c>
      <c r="O630">
        <v>2712</v>
      </c>
      <c r="P630">
        <v>1890</v>
      </c>
      <c r="Q630">
        <f>tinder[[#This Row],[All Swipes]]/MAX(tinder[All Swipes])</f>
        <v>1.8881595068895966E-2</v>
      </c>
      <c r="R630">
        <f>tinder[[#This Row],[Swipe Right (LIKE)]]+tinder[[#This Row],[Swipe Left (PASS)]]</f>
        <v>16027</v>
      </c>
      <c r="S630">
        <v>3575</v>
      </c>
      <c r="T630">
        <v>12452</v>
      </c>
      <c r="U630" t="s">
        <v>69</v>
      </c>
      <c r="V630" s="1">
        <v>43297</v>
      </c>
      <c r="W630" t="s">
        <v>12</v>
      </c>
      <c r="X630" t="s">
        <v>1295</v>
      </c>
      <c r="Y630" t="s">
        <v>1262</v>
      </c>
      <c r="Z630">
        <v>19</v>
      </c>
      <c r="AA63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31" spans="1:27" x14ac:dyDescent="0.3">
      <c r="A631" t="s">
        <v>76</v>
      </c>
      <c r="B631">
        <v>3506</v>
      </c>
      <c r="C631">
        <v>400</v>
      </c>
      <c r="D631">
        <f>IFERROR(tinder[[#This Row],[Tinder Opened]]/tinder[[#This Row],[Days on Tinder]],0)</f>
        <v>8.7650000000000006</v>
      </c>
      <c r="E631">
        <f>tinder[[#This Row],[Engagement]]/MAX(tinder[Engagement])</f>
        <v>4.4045226130653266E-2</v>
      </c>
      <c r="F63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31">
        <v>332</v>
      </c>
      <c r="H631">
        <f>IFERROR(tinder[[#This Row],[Conversations]]/tinder[[#This Row],[Tinder Opened]],0)</f>
        <v>9.4694808899030231E-2</v>
      </c>
      <c r="I631">
        <f>tinder[[#This Row],[Conversations]]/MAX(tinder[Conversations])</f>
        <v>2.6261667457680746E-2</v>
      </c>
      <c r="J631">
        <f>(tinder[[#This Row],[Norm Engagement]]*2)+(tinder[[#This Row],[Norm Swipes]]*1)+(tinder[[#This Row],[Norm Conversations]]*2)</f>
        <v>0.16264211840510859</v>
      </c>
      <c r="K63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31">
        <v>125</v>
      </c>
      <c r="M631">
        <v>3</v>
      </c>
      <c r="N631">
        <v>534</v>
      </c>
      <c r="O631">
        <v>2113</v>
      </c>
      <c r="P631">
        <v>1609</v>
      </c>
      <c r="Q631">
        <f>tinder[[#This Row],[All Swipes]]/MAX(tinder[All Swipes])</f>
        <v>2.2028331228440556E-2</v>
      </c>
      <c r="R631">
        <f>tinder[[#This Row],[Swipe Right (LIKE)]]+tinder[[#This Row],[Swipe Left (PASS)]]</f>
        <v>18698</v>
      </c>
      <c r="S631">
        <v>8435</v>
      </c>
      <c r="T631">
        <v>10263</v>
      </c>
      <c r="U631" t="s">
        <v>6</v>
      </c>
      <c r="V631" s="1">
        <v>43512</v>
      </c>
      <c r="W631" t="s">
        <v>12</v>
      </c>
      <c r="X631" t="s">
        <v>1295</v>
      </c>
      <c r="Y631" t="s">
        <v>77</v>
      </c>
      <c r="Z631">
        <v>25</v>
      </c>
      <c r="AA63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32" spans="1:27" x14ac:dyDescent="0.3">
      <c r="A632" t="s">
        <v>353</v>
      </c>
      <c r="B632">
        <v>2347</v>
      </c>
      <c r="C632">
        <v>268</v>
      </c>
      <c r="D632">
        <f>IFERROR(tinder[[#This Row],[Tinder Opened]]/tinder[[#This Row],[Days on Tinder]],0)</f>
        <v>8.7574626865671643</v>
      </c>
      <c r="E632">
        <f>tinder[[#This Row],[Engagement]]/MAX(tinder[Engagement])</f>
        <v>4.4007350183754596E-2</v>
      </c>
      <c r="F63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32">
        <v>59</v>
      </c>
      <c r="H632">
        <f>IFERROR(tinder[[#This Row],[Conversations]]/tinder[[#This Row],[Tinder Opened]],0)</f>
        <v>2.5138474648487431E-2</v>
      </c>
      <c r="I632">
        <f>tinder[[#This Row],[Conversations]]/MAX(tinder[Conversations])</f>
        <v>4.6669830722986866E-3</v>
      </c>
      <c r="J632">
        <f>(tinder[[#This Row],[Norm Engagement]]*2)+(tinder[[#This Row],[Norm Swipes]]*1)+(tinder[[#This Row],[Norm Conversations]]*2)</f>
        <v>0.11430169284525768</v>
      </c>
      <c r="K63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32">
        <v>22</v>
      </c>
      <c r="M632">
        <v>1</v>
      </c>
      <c r="N632">
        <v>113</v>
      </c>
      <c r="O632">
        <v>362</v>
      </c>
      <c r="P632">
        <v>340</v>
      </c>
      <c r="Q632">
        <f>tinder[[#This Row],[All Swipes]]/MAX(tinder[All Swipes])</f>
        <v>1.6953026333151117E-2</v>
      </c>
      <c r="R632">
        <f>tinder[[#This Row],[Swipe Right (LIKE)]]+tinder[[#This Row],[Swipe Left (PASS)]]</f>
        <v>14390</v>
      </c>
      <c r="S632">
        <v>1810</v>
      </c>
      <c r="T632">
        <v>12580</v>
      </c>
      <c r="U632" t="s">
        <v>311</v>
      </c>
      <c r="V632" s="1">
        <v>43038</v>
      </c>
      <c r="W632" t="s">
        <v>12</v>
      </c>
      <c r="X632" t="s">
        <v>1295</v>
      </c>
      <c r="Y632" t="s">
        <v>354</v>
      </c>
      <c r="Z632">
        <v>22</v>
      </c>
      <c r="AA63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33" spans="1:27" x14ac:dyDescent="0.3">
      <c r="A633" t="s">
        <v>1281</v>
      </c>
      <c r="B633">
        <v>4834</v>
      </c>
      <c r="C633">
        <v>552</v>
      </c>
      <c r="D633">
        <f>IFERROR(tinder[[#This Row],[Tinder Opened]]/tinder[[#This Row],[Days on Tinder]],0)</f>
        <v>8.7572463768115938</v>
      </c>
      <c r="E633">
        <f>tinder[[#This Row],[Engagement]]/MAX(tinder[Engagement])</f>
        <v>4.4006263200058258E-2</v>
      </c>
      <c r="F63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33">
        <v>500</v>
      </c>
      <c r="H633">
        <f>IFERROR(tinder[[#This Row],[Conversations]]/tinder[[#This Row],[Tinder Opened]],0)</f>
        <v>0.1034340091021928</v>
      </c>
      <c r="I633">
        <f>tinder[[#This Row],[Conversations]]/MAX(tinder[Conversations])</f>
        <v>3.9550704002531245E-2</v>
      </c>
      <c r="J633">
        <f>(tinder[[#This Row],[Norm Engagement]]*2)+(tinder[[#This Row],[Norm Swipes]]*1)+(tinder[[#This Row],[Norm Conversations]]*2)</f>
        <v>0.23285020704848453</v>
      </c>
      <c r="K63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33">
        <v>124</v>
      </c>
      <c r="M633">
        <v>36</v>
      </c>
      <c r="N633">
        <v>2286</v>
      </c>
      <c r="O633">
        <v>3273</v>
      </c>
      <c r="P633">
        <v>3219</v>
      </c>
      <c r="Q633">
        <f>tinder[[#This Row],[All Swipes]]/MAX(tinder[All Swipes])</f>
        <v>6.5736272643305504E-2</v>
      </c>
      <c r="R633">
        <f>tinder[[#This Row],[Swipe Right (LIKE)]]+tinder[[#This Row],[Swipe Left (PASS)]]</f>
        <v>55798</v>
      </c>
      <c r="S633">
        <v>27753</v>
      </c>
      <c r="T633">
        <v>28045</v>
      </c>
      <c r="U633" t="s">
        <v>1282</v>
      </c>
      <c r="V633" s="1">
        <v>43709</v>
      </c>
      <c r="W633" t="s">
        <v>12</v>
      </c>
      <c r="X633" t="s">
        <v>1295</v>
      </c>
      <c r="Y633" t="s">
        <v>8</v>
      </c>
      <c r="Z633">
        <v>18</v>
      </c>
      <c r="AA63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34" spans="1:27" x14ac:dyDescent="0.3">
      <c r="A634" t="s">
        <v>503</v>
      </c>
      <c r="B634">
        <v>2621</v>
      </c>
      <c r="C634">
        <v>300</v>
      </c>
      <c r="D634">
        <f>IFERROR(tinder[[#This Row],[Tinder Opened]]/tinder[[#This Row],[Days on Tinder]],0)</f>
        <v>8.7366666666666664</v>
      </c>
      <c r="E634">
        <f>tinder[[#This Row],[Engagement]]/MAX(tinder[Engagement])</f>
        <v>4.3902847571189278E-2</v>
      </c>
      <c r="F63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34">
        <v>39</v>
      </c>
      <c r="H634">
        <f>IFERROR(tinder[[#This Row],[Conversations]]/tinder[[#This Row],[Tinder Opened]],0)</f>
        <v>1.4879816863792446E-2</v>
      </c>
      <c r="I634">
        <f>tinder[[#This Row],[Conversations]]/MAX(tinder[Conversations])</f>
        <v>3.0849549121974369E-3</v>
      </c>
      <c r="J634">
        <f>(tinder[[#This Row],[Norm Engagement]]*2)+(tinder[[#This Row],[Norm Swipes]]*1)+(tinder[[#This Row],[Norm Conversations]]*2)</f>
        <v>0.11308457557995698</v>
      </c>
      <c r="K63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34">
        <v>7</v>
      </c>
      <c r="M634">
        <v>0</v>
      </c>
      <c r="N634">
        <v>50</v>
      </c>
      <c r="O634">
        <v>357</v>
      </c>
      <c r="P634">
        <v>326</v>
      </c>
      <c r="Q634">
        <f>tinder[[#This Row],[All Swipes]]/MAX(tinder[All Swipes])</f>
        <v>1.9108970613183542E-2</v>
      </c>
      <c r="R634">
        <f>tinder[[#This Row],[Swipe Right (LIKE)]]+tinder[[#This Row],[Swipe Left (PASS)]]</f>
        <v>16220</v>
      </c>
      <c r="S634">
        <v>5244</v>
      </c>
      <c r="T634">
        <v>10976</v>
      </c>
      <c r="U634" t="s">
        <v>504</v>
      </c>
      <c r="V634" s="1">
        <v>43401</v>
      </c>
      <c r="W634" t="s">
        <v>12</v>
      </c>
      <c r="X634" t="s">
        <v>1295</v>
      </c>
      <c r="Y634" t="s">
        <v>58</v>
      </c>
      <c r="Z634">
        <v>23</v>
      </c>
      <c r="AA63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35" spans="1:27" x14ac:dyDescent="0.3">
      <c r="A635" t="s">
        <v>884</v>
      </c>
      <c r="B635">
        <v>9493</v>
      </c>
      <c r="C635">
        <v>1089</v>
      </c>
      <c r="D635">
        <f>IFERROR(tinder[[#This Row],[Tinder Opened]]/tinder[[#This Row],[Days on Tinder]],0)</f>
        <v>8.717171717171718</v>
      </c>
      <c r="E635">
        <f>tinder[[#This Row],[Engagement]]/MAX(tinder[Engagement])</f>
        <v>4.3804883000862903E-2</v>
      </c>
      <c r="F63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35">
        <v>567</v>
      </c>
      <c r="H635">
        <f>IFERROR(tinder[[#This Row],[Conversations]]/tinder[[#This Row],[Tinder Opened]],0)</f>
        <v>5.9728220794269461E-2</v>
      </c>
      <c r="I635">
        <f>tinder[[#This Row],[Conversations]]/MAX(tinder[Conversations])</f>
        <v>4.4850498338870434E-2</v>
      </c>
      <c r="J635">
        <f>(tinder[[#This Row],[Norm Engagement]]*2)+(tinder[[#This Row],[Norm Swipes]]*1)+(tinder[[#This Row],[Norm Conversations]]*2)</f>
        <v>0.26560669489563604</v>
      </c>
      <c r="K63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35">
        <v>121</v>
      </c>
      <c r="M635">
        <v>44</v>
      </c>
      <c r="N635">
        <v>904</v>
      </c>
      <c r="O635">
        <v>5983</v>
      </c>
      <c r="P635">
        <v>5010</v>
      </c>
      <c r="Q635">
        <f>tinder[[#This Row],[All Swipes]]/MAX(tinder[All Swipes])</f>
        <v>8.829593221616934E-2</v>
      </c>
      <c r="R635">
        <f>tinder[[#This Row],[Swipe Right (LIKE)]]+tinder[[#This Row],[Swipe Left (PASS)]]</f>
        <v>74947</v>
      </c>
      <c r="S635">
        <v>7144</v>
      </c>
      <c r="T635">
        <v>67803</v>
      </c>
      <c r="U635" t="s">
        <v>238</v>
      </c>
      <c r="V635" s="1">
        <v>42031</v>
      </c>
      <c r="W635" t="s">
        <v>7</v>
      </c>
      <c r="X635" t="s">
        <v>1295</v>
      </c>
      <c r="Y635" t="s">
        <v>885</v>
      </c>
      <c r="Z635">
        <v>19</v>
      </c>
      <c r="AA63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36" spans="1:27" x14ac:dyDescent="0.3">
      <c r="A636" t="s">
        <v>285</v>
      </c>
      <c r="B636">
        <v>1194</v>
      </c>
      <c r="C636">
        <v>139</v>
      </c>
      <c r="D636">
        <f>IFERROR(tinder[[#This Row],[Tinder Opened]]/tinder[[#This Row],[Days on Tinder]],0)</f>
        <v>8.5899280575539567</v>
      </c>
      <c r="E636">
        <f>tinder[[#This Row],[Engagement]]/MAX(tinder[Engagement])</f>
        <v>4.3165467625899283E-2</v>
      </c>
      <c r="F63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36">
        <v>37</v>
      </c>
      <c r="H636">
        <f>IFERROR(tinder[[#This Row],[Conversations]]/tinder[[#This Row],[Tinder Opened]],0)</f>
        <v>3.0988274706867672E-2</v>
      </c>
      <c r="I636">
        <f>tinder[[#This Row],[Conversations]]/MAX(tinder[Conversations])</f>
        <v>2.9267520961873119E-3</v>
      </c>
      <c r="J636">
        <f>(tinder[[#This Row],[Norm Engagement]]*2)+(tinder[[#This Row],[Norm Swipes]]*1)+(tinder[[#This Row],[Norm Conversations]]*2)</f>
        <v>9.5302900924635392E-2</v>
      </c>
      <c r="K63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36">
        <v>6</v>
      </c>
      <c r="M636">
        <v>1</v>
      </c>
      <c r="N636">
        <v>138</v>
      </c>
      <c r="O636">
        <v>278</v>
      </c>
      <c r="P636">
        <v>334</v>
      </c>
      <c r="Q636">
        <f>tinder[[#This Row],[All Swipes]]/MAX(tinder[All Swipes])</f>
        <v>3.1184614804621968E-3</v>
      </c>
      <c r="R636">
        <f>tinder[[#This Row],[Swipe Right (LIKE)]]+tinder[[#This Row],[Swipe Left (PASS)]]</f>
        <v>2647</v>
      </c>
      <c r="S636">
        <v>245</v>
      </c>
      <c r="T636">
        <v>2402</v>
      </c>
      <c r="U636" t="s">
        <v>286</v>
      </c>
      <c r="V636" s="1">
        <v>43862</v>
      </c>
      <c r="W636" t="s">
        <v>12</v>
      </c>
      <c r="X636" t="s">
        <v>1296</v>
      </c>
      <c r="Y636" t="s">
        <v>8</v>
      </c>
      <c r="Z636">
        <v>23</v>
      </c>
      <c r="AA63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37" spans="1:27" x14ac:dyDescent="0.3">
      <c r="A637" t="s">
        <v>753</v>
      </c>
      <c r="B637">
        <v>2029</v>
      </c>
      <c r="C637">
        <v>237</v>
      </c>
      <c r="D637">
        <f>IFERROR(tinder[[#This Row],[Tinder Opened]]/tinder[[#This Row],[Days on Tinder]],0)</f>
        <v>8.5611814345991561</v>
      </c>
      <c r="E637">
        <f>tinder[[#This Row],[Engagement]]/MAX(tinder[Engagement])</f>
        <v>4.3021012234166614E-2</v>
      </c>
      <c r="F63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37">
        <v>24</v>
      </c>
      <c r="H637">
        <f>IFERROR(tinder[[#This Row],[Conversations]]/tinder[[#This Row],[Tinder Opened]],0)</f>
        <v>1.1828486939379004E-2</v>
      </c>
      <c r="I637">
        <f>tinder[[#This Row],[Conversations]]/MAX(tinder[Conversations])</f>
        <v>1.8984337921214998E-3</v>
      </c>
      <c r="J637">
        <f>(tinder[[#This Row],[Norm Engagement]]*2)+(tinder[[#This Row],[Norm Swipes]]*1)+(tinder[[#This Row],[Norm Conversations]]*2)</f>
        <v>0.11646421485516242</v>
      </c>
      <c r="K63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37">
        <v>16</v>
      </c>
      <c r="M637">
        <v>2</v>
      </c>
      <c r="N637">
        <v>28</v>
      </c>
      <c r="O637">
        <v>46</v>
      </c>
      <c r="P637">
        <v>54</v>
      </c>
      <c r="Q637">
        <f>tinder[[#This Row],[All Swipes]]/MAX(tinder[All Swipes])</f>
        <v>2.6625322802586192E-2</v>
      </c>
      <c r="R637">
        <f>tinder[[#This Row],[Swipe Right (LIKE)]]+tinder[[#This Row],[Swipe Left (PASS)]]</f>
        <v>22600</v>
      </c>
      <c r="S637">
        <v>8495</v>
      </c>
      <c r="T637">
        <v>14105</v>
      </c>
      <c r="U637" t="s">
        <v>8</v>
      </c>
      <c r="V637" s="1">
        <v>43259</v>
      </c>
      <c r="W637" t="s">
        <v>12</v>
      </c>
      <c r="X637" t="s">
        <v>1295</v>
      </c>
      <c r="Y637" t="s">
        <v>173</v>
      </c>
      <c r="Z637">
        <v>25</v>
      </c>
      <c r="AA63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38" spans="1:27" x14ac:dyDescent="0.3">
      <c r="A638" t="s">
        <v>733</v>
      </c>
      <c r="B638">
        <v>924</v>
      </c>
      <c r="C638">
        <v>108</v>
      </c>
      <c r="D638">
        <f>IFERROR(tinder[[#This Row],[Tinder Opened]]/tinder[[#This Row],[Days on Tinder]],0)</f>
        <v>8.5555555555555554</v>
      </c>
      <c r="E638">
        <f>tinder[[#This Row],[Engagement]]/MAX(tinder[Engagement])</f>
        <v>4.2992741485203795E-2</v>
      </c>
      <c r="F63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38">
        <v>24</v>
      </c>
      <c r="H638">
        <f>IFERROR(tinder[[#This Row],[Conversations]]/tinder[[#This Row],[Tinder Opened]],0)</f>
        <v>2.5974025974025976E-2</v>
      </c>
      <c r="I638">
        <f>tinder[[#This Row],[Conversations]]/MAX(tinder[Conversations])</f>
        <v>1.8984337921214998E-3</v>
      </c>
      <c r="J638">
        <f>(tinder[[#This Row],[Norm Engagement]]*2)+(tinder[[#This Row],[Norm Swipes]]*1)+(tinder[[#This Row],[Norm Conversations]]*2)</f>
        <v>9.823647960028592E-2</v>
      </c>
      <c r="K63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38">
        <v>12</v>
      </c>
      <c r="M638">
        <v>3</v>
      </c>
      <c r="N638">
        <v>88</v>
      </c>
      <c r="O638">
        <v>408</v>
      </c>
      <c r="P638">
        <v>669</v>
      </c>
      <c r="Q638">
        <f>tinder[[#This Row],[All Swipes]]/MAX(tinder[All Swipes])</f>
        <v>8.4541290456353318E-3</v>
      </c>
      <c r="R638">
        <f>tinder[[#This Row],[Swipe Right (LIKE)]]+tinder[[#This Row],[Swipe Left (PASS)]]</f>
        <v>7176</v>
      </c>
      <c r="S638">
        <v>3891</v>
      </c>
      <c r="T638">
        <v>3285</v>
      </c>
      <c r="U638" t="s">
        <v>8</v>
      </c>
      <c r="V638" s="1">
        <v>44159</v>
      </c>
      <c r="W638" t="s">
        <v>12</v>
      </c>
      <c r="X638" t="s">
        <v>1295</v>
      </c>
      <c r="Y638" t="s">
        <v>8</v>
      </c>
      <c r="Z638">
        <v>23</v>
      </c>
      <c r="AA63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39" spans="1:27" x14ac:dyDescent="0.3">
      <c r="A639" t="s">
        <v>1271</v>
      </c>
      <c r="B639">
        <v>1259</v>
      </c>
      <c r="C639">
        <v>148</v>
      </c>
      <c r="D639">
        <f>IFERROR(tinder[[#This Row],[Tinder Opened]]/tinder[[#This Row],[Days on Tinder]],0)</f>
        <v>8.5067567567567561</v>
      </c>
      <c r="E639">
        <f>tinder[[#This Row],[Engagement]]/MAX(tinder[Engagement])</f>
        <v>4.2747521390737467E-2</v>
      </c>
      <c r="F63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39">
        <v>0</v>
      </c>
      <c r="H639">
        <f>IFERROR(tinder[[#This Row],[Conversations]]/tinder[[#This Row],[Tinder Opened]],0)</f>
        <v>0</v>
      </c>
      <c r="I639">
        <f>tinder[[#This Row],[Conversations]]/MAX(tinder[Conversations])</f>
        <v>0</v>
      </c>
      <c r="J639">
        <f>(tinder[[#This Row],[Norm Engagement]]*2)+(tinder[[#This Row],[Norm Swipes]]*1)+(tinder[[#This Row],[Norm Conversations]]*2)</f>
        <v>8.580606425138125E-2</v>
      </c>
      <c r="K63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39">
        <v>0</v>
      </c>
      <c r="M639">
        <v>0</v>
      </c>
      <c r="N639">
        <v>1</v>
      </c>
      <c r="O639">
        <v>0</v>
      </c>
      <c r="P639">
        <v>0</v>
      </c>
      <c r="Q639">
        <f>tinder[[#This Row],[All Swipes]]/MAX(tinder[All Swipes])</f>
        <v>3.1102146990631658E-4</v>
      </c>
      <c r="R639">
        <f>tinder[[#This Row],[Swipe Right (LIKE)]]+tinder[[#This Row],[Swipe Left (PASS)]]</f>
        <v>264</v>
      </c>
      <c r="S639">
        <v>114</v>
      </c>
      <c r="T639">
        <v>150</v>
      </c>
      <c r="U639" t="s">
        <v>88</v>
      </c>
      <c r="V639" s="1">
        <v>43829</v>
      </c>
      <c r="W639" t="s">
        <v>12</v>
      </c>
      <c r="X639" t="s">
        <v>1295</v>
      </c>
      <c r="Y639" t="s">
        <v>8</v>
      </c>
      <c r="Z639">
        <v>24</v>
      </c>
      <c r="AA63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40" spans="1:27" x14ac:dyDescent="0.3">
      <c r="A640" t="s">
        <v>534</v>
      </c>
      <c r="B640">
        <v>170</v>
      </c>
      <c r="C640">
        <v>20</v>
      </c>
      <c r="D640">
        <f>IFERROR(tinder[[#This Row],[Tinder Opened]]/tinder[[#This Row],[Days on Tinder]],0)</f>
        <v>8.5</v>
      </c>
      <c r="E640">
        <f>tinder[[#This Row],[Engagement]]/MAX(tinder[Engagement])</f>
        <v>4.2713567839195977E-2</v>
      </c>
      <c r="F64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40">
        <v>13</v>
      </c>
      <c r="H640">
        <f>IFERROR(tinder[[#This Row],[Conversations]]/tinder[[#This Row],[Tinder Opened]],0)</f>
        <v>7.6470588235294124E-2</v>
      </c>
      <c r="I640">
        <f>tinder[[#This Row],[Conversations]]/MAX(tinder[Conversations])</f>
        <v>1.0283183040658123E-3</v>
      </c>
      <c r="J640">
        <f>(tinder[[#This Row],[Norm Engagement]]*2)+(tinder[[#This Row],[Norm Swipes]]*1)+(tinder[[#This Row],[Norm Conversations]]*2)</f>
        <v>8.8591197217250617E-2</v>
      </c>
      <c r="K64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40">
        <v>5</v>
      </c>
      <c r="M640">
        <v>0</v>
      </c>
      <c r="N640">
        <v>25</v>
      </c>
      <c r="O640">
        <v>56</v>
      </c>
      <c r="P640">
        <v>49</v>
      </c>
      <c r="Q640">
        <f>tinder[[#This Row],[All Swipes]]/MAX(tinder[All Swipes])</f>
        <v>1.1074249307270363E-3</v>
      </c>
      <c r="R640">
        <f>tinder[[#This Row],[Swipe Right (LIKE)]]+tinder[[#This Row],[Swipe Left (PASS)]]</f>
        <v>940</v>
      </c>
      <c r="S640">
        <v>633</v>
      </c>
      <c r="T640">
        <v>307</v>
      </c>
      <c r="U640" t="s">
        <v>10</v>
      </c>
      <c r="V640" s="1">
        <v>44254</v>
      </c>
      <c r="W640" t="s">
        <v>12</v>
      </c>
      <c r="X640" t="s">
        <v>1295</v>
      </c>
      <c r="Y640" t="s">
        <v>535</v>
      </c>
      <c r="Z640">
        <v>19</v>
      </c>
      <c r="AA64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41" spans="1:27" x14ac:dyDescent="0.3">
      <c r="A641" t="s">
        <v>47</v>
      </c>
      <c r="B641">
        <v>1350</v>
      </c>
      <c r="C641">
        <v>159</v>
      </c>
      <c r="D641">
        <f>IFERROR(tinder[[#This Row],[Tinder Opened]]/tinder[[#This Row],[Days on Tinder]],0)</f>
        <v>8.4905660377358494</v>
      </c>
      <c r="E641">
        <f>tinder[[#This Row],[Engagement]]/MAX(tinder[Engagement])</f>
        <v>4.2666160993647485E-2</v>
      </c>
      <c r="F64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41">
        <v>16</v>
      </c>
      <c r="H641">
        <f>IFERROR(tinder[[#This Row],[Conversations]]/tinder[[#This Row],[Tinder Opened]],0)</f>
        <v>1.1851851851851851E-2</v>
      </c>
      <c r="I641">
        <f>tinder[[#This Row],[Conversations]]/MAX(tinder[Conversations])</f>
        <v>1.2656225280809998E-3</v>
      </c>
      <c r="J641">
        <f>(tinder[[#This Row],[Norm Engagement]]*2)+(tinder[[#This Row],[Norm Swipes]]*1)+(tinder[[#This Row],[Norm Conversations]]*2)</f>
        <v>0.11206551422635644</v>
      </c>
      <c r="K64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41">
        <v>4</v>
      </c>
      <c r="M641">
        <v>2</v>
      </c>
      <c r="N641">
        <v>29</v>
      </c>
      <c r="O641">
        <v>210</v>
      </c>
      <c r="P641">
        <v>255</v>
      </c>
      <c r="Q641">
        <f>tinder[[#This Row],[All Swipes]]/MAX(tinder[All Swipes])</f>
        <v>2.4201947182899475E-2</v>
      </c>
      <c r="R641">
        <f>tinder[[#This Row],[Swipe Right (LIKE)]]+tinder[[#This Row],[Swipe Left (PASS)]]</f>
        <v>20543</v>
      </c>
      <c r="S641">
        <v>6943</v>
      </c>
      <c r="T641">
        <v>13600</v>
      </c>
      <c r="U641" t="s">
        <v>45</v>
      </c>
      <c r="V641" s="1">
        <v>43637</v>
      </c>
      <c r="W641" t="s">
        <v>12</v>
      </c>
      <c r="X641" t="s">
        <v>1295</v>
      </c>
      <c r="Y641" t="s">
        <v>8</v>
      </c>
      <c r="Z641">
        <v>29</v>
      </c>
      <c r="AA64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42" spans="1:27" x14ac:dyDescent="0.3">
      <c r="A642" t="s">
        <v>185</v>
      </c>
      <c r="B642">
        <v>6506</v>
      </c>
      <c r="C642">
        <v>772</v>
      </c>
      <c r="D642">
        <f>IFERROR(tinder[[#This Row],[Tinder Opened]]/tinder[[#This Row],[Days on Tinder]],0)</f>
        <v>8.4274611398963728</v>
      </c>
      <c r="E642">
        <f>tinder[[#This Row],[Engagement]]/MAX(tinder[Engagement])</f>
        <v>4.2349050954253127E-2</v>
      </c>
      <c r="F64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42">
        <v>586</v>
      </c>
      <c r="H642">
        <f>IFERROR(tinder[[#This Row],[Conversations]]/tinder[[#This Row],[Tinder Opened]],0)</f>
        <v>9.0070703965570237E-2</v>
      </c>
      <c r="I642">
        <f>tinder[[#This Row],[Conversations]]/MAX(tinder[Conversations])</f>
        <v>4.635342509096662E-2</v>
      </c>
      <c r="J642">
        <f>(tinder[[#This Row],[Norm Engagement]]*2)+(tinder[[#This Row],[Norm Swipes]]*1)+(tinder[[#This Row],[Norm Conversations]]*2)</f>
        <v>0.23899309369003235</v>
      </c>
      <c r="K64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42">
        <v>108</v>
      </c>
      <c r="M642">
        <v>3</v>
      </c>
      <c r="N642">
        <v>960</v>
      </c>
      <c r="O642">
        <v>17453</v>
      </c>
      <c r="P642">
        <v>14264</v>
      </c>
      <c r="Q642">
        <f>tinder[[#This Row],[All Swipes]]/MAX(tinder[All Swipes])</f>
        <v>6.1588141599592847E-2</v>
      </c>
      <c r="R642">
        <f>tinder[[#This Row],[Swipe Right (LIKE)]]+tinder[[#This Row],[Swipe Left (PASS)]]</f>
        <v>52277</v>
      </c>
      <c r="S642">
        <v>36659</v>
      </c>
      <c r="T642">
        <v>15618</v>
      </c>
      <c r="U642" t="s">
        <v>8</v>
      </c>
      <c r="V642" s="1">
        <v>43103</v>
      </c>
      <c r="W642" t="s">
        <v>12</v>
      </c>
      <c r="X642" t="s">
        <v>1295</v>
      </c>
      <c r="Y642" t="s">
        <v>8</v>
      </c>
      <c r="Z642">
        <v>19</v>
      </c>
      <c r="AA64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43" spans="1:27" x14ac:dyDescent="0.3">
      <c r="A643" t="s">
        <v>381</v>
      </c>
      <c r="B643">
        <v>3058</v>
      </c>
      <c r="C643">
        <v>363</v>
      </c>
      <c r="D643">
        <f>IFERROR(tinder[[#This Row],[Tinder Opened]]/tinder[[#This Row],[Days on Tinder]],0)</f>
        <v>8.4242424242424239</v>
      </c>
      <c r="E643">
        <f>tinder[[#This Row],[Engagement]]/MAX(tinder[Engagement])</f>
        <v>4.2332876503730771E-2</v>
      </c>
      <c r="F64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43">
        <v>205</v>
      </c>
      <c r="H643">
        <f>IFERROR(tinder[[#This Row],[Conversations]]/tinder[[#This Row],[Tinder Opened]],0)</f>
        <v>6.7037279267495101E-2</v>
      </c>
      <c r="I643">
        <f>tinder[[#This Row],[Conversations]]/MAX(tinder[Conversations])</f>
        <v>1.6215788641037811E-2</v>
      </c>
      <c r="J643">
        <f>(tinder[[#This Row],[Norm Engagement]]*2)+(tinder[[#This Row],[Norm Swipes]]*1)+(tinder[[#This Row],[Norm Conversations]]*2)</f>
        <v>0.16158635971405322</v>
      </c>
      <c r="K64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43">
        <v>66</v>
      </c>
      <c r="M643">
        <v>86</v>
      </c>
      <c r="N643">
        <v>1663</v>
      </c>
      <c r="O643">
        <v>262</v>
      </c>
      <c r="P643">
        <v>418</v>
      </c>
      <c r="Q643">
        <f>tinder[[#This Row],[All Swipes]]/MAX(tinder[All Swipes])</f>
        <v>4.4489029424516033E-2</v>
      </c>
      <c r="R643">
        <f>tinder[[#This Row],[Swipe Right (LIKE)]]+tinder[[#This Row],[Swipe Left (PASS)]]</f>
        <v>37763</v>
      </c>
      <c r="S643">
        <v>20785</v>
      </c>
      <c r="T643">
        <v>16978</v>
      </c>
      <c r="U643" t="s">
        <v>10</v>
      </c>
      <c r="V643" s="1">
        <v>43711</v>
      </c>
      <c r="W643" t="s">
        <v>12</v>
      </c>
      <c r="X643" t="s">
        <v>1295</v>
      </c>
      <c r="Y643" t="s">
        <v>8</v>
      </c>
      <c r="Z643">
        <v>18</v>
      </c>
      <c r="AA64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44" spans="1:27" x14ac:dyDescent="0.3">
      <c r="A644" t="s">
        <v>130</v>
      </c>
      <c r="B644">
        <v>7858</v>
      </c>
      <c r="C644">
        <v>933</v>
      </c>
      <c r="D644">
        <f>IFERROR(tinder[[#This Row],[Tinder Opened]]/tinder[[#This Row],[Days on Tinder]],0)</f>
        <v>8.4222936763129681</v>
      </c>
      <c r="E644">
        <f>tinder[[#This Row],[Engagement]]/MAX(tinder[Engagement])</f>
        <v>4.2323083800567679E-2</v>
      </c>
      <c r="F64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44">
        <v>385</v>
      </c>
      <c r="H644">
        <f>IFERROR(tinder[[#This Row],[Conversations]]/tinder[[#This Row],[Tinder Opened]],0)</f>
        <v>4.8994655128531434E-2</v>
      </c>
      <c r="I644">
        <f>tinder[[#This Row],[Conversations]]/MAX(tinder[Conversations])</f>
        <v>3.0454042081949059E-2</v>
      </c>
      <c r="J644">
        <f>(tinder[[#This Row],[Norm Engagement]]*2)+(tinder[[#This Row],[Norm Swipes]]*1)+(tinder[[#This Row],[Norm Conversations]]*2)</f>
        <v>0.22840730825784228</v>
      </c>
      <c r="K64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44">
        <v>99</v>
      </c>
      <c r="M644">
        <v>6</v>
      </c>
      <c r="N644">
        <v>998</v>
      </c>
      <c r="O644">
        <v>3371</v>
      </c>
      <c r="P644">
        <v>2350</v>
      </c>
      <c r="Q644">
        <f>tinder[[#This Row],[All Swipes]]/MAX(tinder[All Swipes])</f>
        <v>8.2853056492808802E-2</v>
      </c>
      <c r="R644">
        <f>tinder[[#This Row],[Swipe Right (LIKE)]]+tinder[[#This Row],[Swipe Left (PASS)]]</f>
        <v>70327</v>
      </c>
      <c r="S644">
        <v>35037</v>
      </c>
      <c r="T644">
        <v>35290</v>
      </c>
      <c r="U644" t="s">
        <v>8</v>
      </c>
      <c r="V644" s="1">
        <v>41672</v>
      </c>
      <c r="W644" t="s">
        <v>7</v>
      </c>
      <c r="X644" t="s">
        <v>1295</v>
      </c>
      <c r="Y644" t="s">
        <v>8</v>
      </c>
      <c r="Z644">
        <v>20</v>
      </c>
      <c r="AA64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45" spans="1:27" x14ac:dyDescent="0.3">
      <c r="A645" t="s">
        <v>1231</v>
      </c>
      <c r="B645">
        <v>14207</v>
      </c>
      <c r="C645">
        <v>1699</v>
      </c>
      <c r="D645">
        <f>IFERROR(tinder[[#This Row],[Tinder Opened]]/tinder[[#This Row],[Days on Tinder]],0)</f>
        <v>8.3619776339022955</v>
      </c>
      <c r="E645">
        <f>tinder[[#This Row],[Engagement]]/MAX(tinder[Engagement])</f>
        <v>4.2019988110061787E-2</v>
      </c>
      <c r="F64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45">
        <v>578</v>
      </c>
      <c r="H645">
        <f>IFERROR(tinder[[#This Row],[Conversations]]/tinder[[#This Row],[Tinder Opened]],0)</f>
        <v>4.0684169775462797E-2</v>
      </c>
      <c r="I645">
        <f>tinder[[#This Row],[Conversations]]/MAX(tinder[Conversations])</f>
        <v>4.5720613826926118E-2</v>
      </c>
      <c r="J645">
        <f>(tinder[[#This Row],[Norm Engagement]]*2)+(tinder[[#This Row],[Norm Swipes]]*1)+(tinder[[#This Row],[Norm Conversations]]*2)</f>
        <v>0.35087846311508342</v>
      </c>
      <c r="K64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45">
        <v>126</v>
      </c>
      <c r="M645">
        <v>11</v>
      </c>
      <c r="N645">
        <v>822</v>
      </c>
      <c r="O645">
        <v>5649</v>
      </c>
      <c r="P645">
        <v>3944</v>
      </c>
      <c r="Q645">
        <f>tinder[[#This Row],[All Swipes]]/MAX(tinder[All Swipes])</f>
        <v>0.17539725924110761</v>
      </c>
      <c r="R645">
        <f>tinder[[#This Row],[Swipe Right (LIKE)]]+tinder[[#This Row],[Swipe Left (PASS)]]</f>
        <v>148880</v>
      </c>
      <c r="S645">
        <v>34158</v>
      </c>
      <c r="T645">
        <v>114722</v>
      </c>
      <c r="U645" t="s">
        <v>1232</v>
      </c>
      <c r="V645" s="1">
        <v>42107</v>
      </c>
      <c r="W645" t="s">
        <v>12</v>
      </c>
      <c r="X645" t="s">
        <v>1295</v>
      </c>
      <c r="Y645" t="s">
        <v>1119</v>
      </c>
      <c r="Z645">
        <v>36</v>
      </c>
      <c r="AA645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646" spans="1:27" x14ac:dyDescent="0.3">
      <c r="A646" t="s">
        <v>1080</v>
      </c>
      <c r="B646">
        <v>2850</v>
      </c>
      <c r="C646">
        <v>342</v>
      </c>
      <c r="D646">
        <f>IFERROR(tinder[[#This Row],[Tinder Opened]]/tinder[[#This Row],[Days on Tinder]],0)</f>
        <v>8.3333333333333339</v>
      </c>
      <c r="E646">
        <f>tinder[[#This Row],[Engagement]]/MAX(tinder[Engagement])</f>
        <v>4.1876046901172533E-2</v>
      </c>
      <c r="F64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46">
        <v>84</v>
      </c>
      <c r="H646">
        <f>IFERROR(tinder[[#This Row],[Conversations]]/tinder[[#This Row],[Tinder Opened]],0)</f>
        <v>2.9473684210526315E-2</v>
      </c>
      <c r="I646">
        <f>tinder[[#This Row],[Conversations]]/MAX(tinder[Conversations])</f>
        <v>6.6445182724252493E-3</v>
      </c>
      <c r="J646">
        <f>(tinder[[#This Row],[Norm Engagement]]*2)+(tinder[[#This Row],[Norm Swipes]]*1)+(tinder[[#This Row],[Norm Conversations]]*2)</f>
        <v>0.12446992528037307</v>
      </c>
      <c r="K64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46">
        <v>29</v>
      </c>
      <c r="M646">
        <v>0</v>
      </c>
      <c r="N646">
        <v>88</v>
      </c>
      <c r="O646">
        <v>4156</v>
      </c>
      <c r="P646">
        <v>2945</v>
      </c>
      <c r="Q646">
        <f>tinder[[#This Row],[All Swipes]]/MAX(tinder[All Swipes])</f>
        <v>2.7428794933177507E-2</v>
      </c>
      <c r="R646">
        <f>tinder[[#This Row],[Swipe Right (LIKE)]]+tinder[[#This Row],[Swipe Left (PASS)]]</f>
        <v>23282</v>
      </c>
      <c r="S646">
        <v>5437</v>
      </c>
      <c r="T646">
        <v>17845</v>
      </c>
      <c r="U646" t="s">
        <v>75</v>
      </c>
      <c r="V646" s="1">
        <v>43557</v>
      </c>
      <c r="W646" t="s">
        <v>12</v>
      </c>
      <c r="X646" t="s">
        <v>1295</v>
      </c>
      <c r="Y646" t="s">
        <v>8</v>
      </c>
      <c r="Z646">
        <v>18</v>
      </c>
      <c r="AA64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47" spans="1:27" x14ac:dyDescent="0.3">
      <c r="A647" t="s">
        <v>830</v>
      </c>
      <c r="B647">
        <v>8891</v>
      </c>
      <c r="C647">
        <v>1071</v>
      </c>
      <c r="D647">
        <f>IFERROR(tinder[[#This Row],[Tinder Opened]]/tinder[[#This Row],[Days on Tinder]],0)</f>
        <v>8.3015873015873023</v>
      </c>
      <c r="E647">
        <f>tinder[[#This Row],[Engagement]]/MAX(tinder[Engagement])</f>
        <v>4.1716519103453781E-2</v>
      </c>
      <c r="F64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47">
        <v>427</v>
      </c>
      <c r="H647">
        <f>IFERROR(tinder[[#This Row],[Conversations]]/tinder[[#This Row],[Tinder Opened]],0)</f>
        <v>4.8026093802721853E-2</v>
      </c>
      <c r="I647">
        <f>tinder[[#This Row],[Conversations]]/MAX(tinder[Conversations])</f>
        <v>3.3776301218161685E-2</v>
      </c>
      <c r="J647">
        <f>(tinder[[#This Row],[Norm Engagement]]*2)+(tinder[[#This Row],[Norm Swipes]]*1)+(tinder[[#This Row],[Norm Conversations]]*2)</f>
        <v>0.20938227784139873</v>
      </c>
      <c r="K64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47">
        <v>97</v>
      </c>
      <c r="M647">
        <v>0</v>
      </c>
      <c r="N647">
        <v>334</v>
      </c>
      <c r="O647">
        <v>4119</v>
      </c>
      <c r="P647">
        <v>2839</v>
      </c>
      <c r="Q647">
        <f>tinder[[#This Row],[All Swipes]]/MAX(tinder[All Swipes])</f>
        <v>5.8396637198167803E-2</v>
      </c>
      <c r="R647">
        <f>tinder[[#This Row],[Swipe Right (LIKE)]]+tinder[[#This Row],[Swipe Left (PASS)]]</f>
        <v>49568</v>
      </c>
      <c r="S647">
        <v>37074</v>
      </c>
      <c r="T647">
        <v>12494</v>
      </c>
      <c r="U647" t="s">
        <v>10</v>
      </c>
      <c r="V647" s="1">
        <v>43015</v>
      </c>
      <c r="W647" t="s">
        <v>12</v>
      </c>
      <c r="X647" t="s">
        <v>1295</v>
      </c>
      <c r="Y647" t="s">
        <v>8</v>
      </c>
      <c r="Z647">
        <v>19</v>
      </c>
      <c r="AA64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48" spans="1:27" x14ac:dyDescent="0.3">
      <c r="A648" t="s">
        <v>965</v>
      </c>
      <c r="B648">
        <v>13576</v>
      </c>
      <c r="C648">
        <v>1641</v>
      </c>
      <c r="D648">
        <f>IFERROR(tinder[[#This Row],[Tinder Opened]]/tinder[[#This Row],[Days on Tinder]],0)</f>
        <v>8.273004265691652</v>
      </c>
      <c r="E648">
        <f>tinder[[#This Row],[Engagement]]/MAX(tinder[Engagement])</f>
        <v>4.1572885757244479E-2</v>
      </c>
      <c r="F64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48">
        <v>990</v>
      </c>
      <c r="H648">
        <f>IFERROR(tinder[[#This Row],[Conversations]]/tinder[[#This Row],[Tinder Opened]],0)</f>
        <v>7.2922804949911615E-2</v>
      </c>
      <c r="I648">
        <f>tinder[[#This Row],[Conversations]]/MAX(tinder[Conversations])</f>
        <v>7.8310393925011865E-2</v>
      </c>
      <c r="J648">
        <f>(tinder[[#This Row],[Norm Engagement]]*2)+(tinder[[#This Row],[Norm Swipes]]*1)+(tinder[[#This Row],[Norm Conversations]]*2)</f>
        <v>0.42030627586373048</v>
      </c>
      <c r="K64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48">
        <v>364</v>
      </c>
      <c r="M648">
        <v>87</v>
      </c>
      <c r="N648">
        <v>2221</v>
      </c>
      <c r="O648">
        <v>6644</v>
      </c>
      <c r="P648">
        <v>6270</v>
      </c>
      <c r="Q648">
        <f>tinder[[#This Row],[All Swipes]]/MAX(tinder[All Swipes])</f>
        <v>0.18053971649921774</v>
      </c>
      <c r="R648">
        <f>tinder[[#This Row],[Swipe Right (LIKE)]]+tinder[[#This Row],[Swipe Left (PASS)]]</f>
        <v>153245</v>
      </c>
      <c r="S648">
        <v>143102</v>
      </c>
      <c r="T648">
        <v>10143</v>
      </c>
      <c r="U648" t="s">
        <v>8</v>
      </c>
      <c r="V648" s="1">
        <v>41844</v>
      </c>
      <c r="W648" t="s">
        <v>7</v>
      </c>
      <c r="X648" t="s">
        <v>1295</v>
      </c>
      <c r="Y648" t="s">
        <v>966</v>
      </c>
      <c r="Z648">
        <v>26</v>
      </c>
      <c r="AA64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49" spans="1:27" x14ac:dyDescent="0.3">
      <c r="A649" t="s">
        <v>332</v>
      </c>
      <c r="B649">
        <v>339</v>
      </c>
      <c r="C649">
        <v>41</v>
      </c>
      <c r="D649">
        <f>IFERROR(tinder[[#This Row],[Tinder Opened]]/tinder[[#This Row],[Days on Tinder]],0)</f>
        <v>8.2682926829268286</v>
      </c>
      <c r="E649">
        <f>tinder[[#This Row],[Engagement]]/MAX(tinder[Engagement])</f>
        <v>4.1549209461943862E-2</v>
      </c>
      <c r="F64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49">
        <v>12</v>
      </c>
      <c r="H649">
        <f>IFERROR(tinder[[#This Row],[Conversations]]/tinder[[#This Row],[Tinder Opened]],0)</f>
        <v>3.5398230088495575E-2</v>
      </c>
      <c r="I649">
        <f>tinder[[#This Row],[Conversations]]/MAX(tinder[Conversations])</f>
        <v>9.4921689606074992E-4</v>
      </c>
      <c r="J649">
        <f>(tinder[[#This Row],[Norm Engagement]]*2)+(tinder[[#This Row],[Norm Swipes]]*1)+(tinder[[#This Row],[Norm Conversations]]*2)</f>
        <v>8.7788977275395474E-2</v>
      </c>
      <c r="K64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49">
        <v>3</v>
      </c>
      <c r="M649">
        <v>0</v>
      </c>
      <c r="N649">
        <v>30</v>
      </c>
      <c r="O649">
        <v>137</v>
      </c>
      <c r="P649">
        <v>108</v>
      </c>
      <c r="Q649">
        <f>tinder[[#This Row],[All Swipes]]/MAX(tinder[All Swipes])</f>
        <v>2.7921245593862509E-3</v>
      </c>
      <c r="R649">
        <f>tinder[[#This Row],[Swipe Right (LIKE)]]+tinder[[#This Row],[Swipe Left (PASS)]]</f>
        <v>2370</v>
      </c>
      <c r="S649">
        <v>1263</v>
      </c>
      <c r="T649">
        <v>1107</v>
      </c>
      <c r="U649" t="s">
        <v>238</v>
      </c>
      <c r="V649" s="1">
        <v>43027</v>
      </c>
      <c r="W649" t="s">
        <v>7</v>
      </c>
      <c r="X649" t="s">
        <v>1295</v>
      </c>
      <c r="Y649" t="s">
        <v>333</v>
      </c>
      <c r="Z649">
        <v>22</v>
      </c>
      <c r="AA64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50" spans="1:27" x14ac:dyDescent="0.3">
      <c r="A650" t="s">
        <v>899</v>
      </c>
      <c r="B650">
        <v>751</v>
      </c>
      <c r="C650">
        <v>91</v>
      </c>
      <c r="D650">
        <f>IFERROR(tinder[[#This Row],[Tinder Opened]]/tinder[[#This Row],[Days on Tinder]],0)</f>
        <v>8.2527472527472536</v>
      </c>
      <c r="E650">
        <f>tinder[[#This Row],[Engagement]]/MAX(tinder[Engagement])</f>
        <v>4.1471091722348009E-2</v>
      </c>
      <c r="F65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50">
        <v>20</v>
      </c>
      <c r="H650">
        <f>IFERROR(tinder[[#This Row],[Conversations]]/tinder[[#This Row],[Tinder Opened]],0)</f>
        <v>2.6631158455392809E-2</v>
      </c>
      <c r="I650">
        <f>tinder[[#This Row],[Conversations]]/MAX(tinder[Conversations])</f>
        <v>1.5820281601012498E-3</v>
      </c>
      <c r="J650">
        <f>(tinder[[#This Row],[Norm Engagement]]*2)+(tinder[[#This Row],[Norm Swipes]]*1)+(tinder[[#This Row],[Norm Conversations]]*2)</f>
        <v>0.11020451312449589</v>
      </c>
      <c r="K65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50">
        <v>1</v>
      </c>
      <c r="M650">
        <v>7</v>
      </c>
      <c r="N650">
        <v>44</v>
      </c>
      <c r="O650">
        <v>486</v>
      </c>
      <c r="P650">
        <v>418</v>
      </c>
      <c r="Q650">
        <f>tinder[[#This Row],[All Swipes]]/MAX(tinder[All Swipes])</f>
        <v>2.4098273359597369E-2</v>
      </c>
      <c r="R650">
        <f>tinder[[#This Row],[Swipe Right (LIKE)]]+tinder[[#This Row],[Swipe Left (PASS)]]</f>
        <v>20455</v>
      </c>
      <c r="S650">
        <v>2669</v>
      </c>
      <c r="T650">
        <v>17786</v>
      </c>
      <c r="U650" t="s">
        <v>65</v>
      </c>
      <c r="V650" s="1">
        <v>44205</v>
      </c>
      <c r="W650" t="s">
        <v>12</v>
      </c>
      <c r="X650" t="s">
        <v>1295</v>
      </c>
      <c r="Y650" t="s">
        <v>900</v>
      </c>
      <c r="Z650">
        <v>37</v>
      </c>
      <c r="AA65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651" spans="1:27" x14ac:dyDescent="0.3">
      <c r="A651" t="s">
        <v>183</v>
      </c>
      <c r="B651">
        <v>5445</v>
      </c>
      <c r="C651">
        <v>662</v>
      </c>
      <c r="D651">
        <f>IFERROR(tinder[[#This Row],[Tinder Opened]]/tinder[[#This Row],[Days on Tinder]],0)</f>
        <v>8.2250755287009056</v>
      </c>
      <c r="E651">
        <f>tinder[[#This Row],[Engagement]]/MAX(tinder[Engagement])</f>
        <v>4.1332037832667867E-2</v>
      </c>
      <c r="F65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51">
        <v>710</v>
      </c>
      <c r="H651">
        <f>IFERROR(tinder[[#This Row],[Conversations]]/tinder[[#This Row],[Tinder Opened]],0)</f>
        <v>0.13039485766758493</v>
      </c>
      <c r="I651">
        <f>tinder[[#This Row],[Conversations]]/MAX(tinder[Conversations])</f>
        <v>5.6161999683594366E-2</v>
      </c>
      <c r="J651">
        <f>(tinder[[#This Row],[Norm Engagement]]*2)+(tinder[[#This Row],[Norm Swipes]]*1)+(tinder[[#This Row],[Norm Conversations]]*2)</f>
        <v>0.22497455031103006</v>
      </c>
      <c r="K65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51">
        <v>249</v>
      </c>
      <c r="M651">
        <v>97</v>
      </c>
      <c r="N651">
        <v>1706</v>
      </c>
      <c r="O651">
        <v>2420</v>
      </c>
      <c r="P651">
        <v>3306</v>
      </c>
      <c r="Q651">
        <f>tinder[[#This Row],[All Swipes]]/MAX(tinder[All Swipes])</f>
        <v>2.9986475278505589E-2</v>
      </c>
      <c r="R651">
        <f>tinder[[#This Row],[Swipe Right (LIKE)]]+tinder[[#This Row],[Swipe Left (PASS)]]</f>
        <v>25453</v>
      </c>
      <c r="S651">
        <v>3564</v>
      </c>
      <c r="T651">
        <v>21889</v>
      </c>
      <c r="U651" t="s">
        <v>10</v>
      </c>
      <c r="V651" s="1">
        <v>43153</v>
      </c>
      <c r="W651" t="s">
        <v>7</v>
      </c>
      <c r="X651" t="s">
        <v>1296</v>
      </c>
      <c r="Y651" t="s">
        <v>184</v>
      </c>
      <c r="Z651">
        <v>20</v>
      </c>
      <c r="AA65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52" spans="1:27" x14ac:dyDescent="0.3">
      <c r="A652" t="s">
        <v>591</v>
      </c>
      <c r="B652">
        <v>838</v>
      </c>
      <c r="C652">
        <v>102</v>
      </c>
      <c r="D652">
        <f>IFERROR(tinder[[#This Row],[Tinder Opened]]/tinder[[#This Row],[Days on Tinder]],0)</f>
        <v>8.2156862745098032</v>
      </c>
      <c r="E652">
        <f>tinder[[#This Row],[Engagement]]/MAX(tinder[Engagement])</f>
        <v>4.1284855650803032E-2</v>
      </c>
      <c r="F65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52">
        <v>4</v>
      </c>
      <c r="H652">
        <f>IFERROR(tinder[[#This Row],[Conversations]]/tinder[[#This Row],[Tinder Opened]],0)</f>
        <v>4.7732696897374704E-3</v>
      </c>
      <c r="I652">
        <f>tinder[[#This Row],[Conversations]]/MAX(tinder[Conversations])</f>
        <v>3.1640563202024995E-4</v>
      </c>
      <c r="J652">
        <f>(tinder[[#This Row],[Norm Engagement]]*2)+(tinder[[#This Row],[Norm Swipes]]*1)+(tinder[[#This Row],[Norm Conversations]]*2)</f>
        <v>8.6869984064958536E-2</v>
      </c>
      <c r="K65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52">
        <v>0</v>
      </c>
      <c r="M652">
        <v>0</v>
      </c>
      <c r="N652">
        <v>15</v>
      </c>
      <c r="O652">
        <v>1085</v>
      </c>
      <c r="P652">
        <v>915</v>
      </c>
      <c r="Q652">
        <f>tinder[[#This Row],[All Swipes]]/MAX(tinder[All Swipes])</f>
        <v>3.6674614993119827E-3</v>
      </c>
      <c r="R652">
        <f>tinder[[#This Row],[Swipe Right (LIKE)]]+tinder[[#This Row],[Swipe Left (PASS)]]</f>
        <v>3113</v>
      </c>
      <c r="S652">
        <v>560</v>
      </c>
      <c r="T652">
        <v>2553</v>
      </c>
      <c r="U652" t="s">
        <v>497</v>
      </c>
      <c r="V652" s="1">
        <v>43766</v>
      </c>
      <c r="W652" t="s">
        <v>12</v>
      </c>
      <c r="X652" t="s">
        <v>1295</v>
      </c>
      <c r="Y652" t="s">
        <v>8</v>
      </c>
      <c r="Z652">
        <v>27</v>
      </c>
      <c r="AA65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53" spans="1:27" x14ac:dyDescent="0.3">
      <c r="A653" t="s">
        <v>782</v>
      </c>
      <c r="B653">
        <v>3230</v>
      </c>
      <c r="C653">
        <v>396</v>
      </c>
      <c r="D653">
        <f>IFERROR(tinder[[#This Row],[Tinder Opened]]/tinder[[#This Row],[Days on Tinder]],0)</f>
        <v>8.1565656565656557</v>
      </c>
      <c r="E653">
        <f>tinder[[#This Row],[Engagement]]/MAX(tinder[Engagement])</f>
        <v>4.0987767118420379E-2</v>
      </c>
      <c r="F65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53">
        <v>170</v>
      </c>
      <c r="H653">
        <f>IFERROR(tinder[[#This Row],[Conversations]]/tinder[[#This Row],[Tinder Opened]],0)</f>
        <v>5.2631578947368418E-2</v>
      </c>
      <c r="I653">
        <f>tinder[[#This Row],[Conversations]]/MAX(tinder[Conversations])</f>
        <v>1.3447239360860624E-2</v>
      </c>
      <c r="J653">
        <f>(tinder[[#This Row],[Norm Engagement]]*2)+(tinder[[#This Row],[Norm Swipes]]*1)+(tinder[[#This Row],[Norm Conversations]]*2)</f>
        <v>0.14729765805479017</v>
      </c>
      <c r="K65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53">
        <v>70</v>
      </c>
      <c r="M653">
        <v>68</v>
      </c>
      <c r="N653">
        <v>70</v>
      </c>
      <c r="O653">
        <v>205</v>
      </c>
      <c r="P653">
        <v>274</v>
      </c>
      <c r="Q653">
        <f>tinder[[#This Row],[All Swipes]]/MAX(tinder[All Swipes])</f>
        <v>3.8427645096228161E-2</v>
      </c>
      <c r="R653">
        <f>tinder[[#This Row],[Swipe Right (LIKE)]]+tinder[[#This Row],[Swipe Left (PASS)]]</f>
        <v>32618</v>
      </c>
      <c r="S653">
        <v>14741</v>
      </c>
      <c r="T653">
        <v>17877</v>
      </c>
      <c r="U653" t="s">
        <v>10</v>
      </c>
      <c r="V653" s="1">
        <v>43471</v>
      </c>
      <c r="W653" t="s">
        <v>12</v>
      </c>
      <c r="X653" t="s">
        <v>1295</v>
      </c>
      <c r="Y653" t="s">
        <v>783</v>
      </c>
      <c r="Z653">
        <v>28</v>
      </c>
      <c r="AA65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54" spans="1:27" x14ac:dyDescent="0.3">
      <c r="A654" t="s">
        <v>1042</v>
      </c>
      <c r="B654">
        <v>1100</v>
      </c>
      <c r="C654">
        <v>135</v>
      </c>
      <c r="D654">
        <f>IFERROR(tinder[[#This Row],[Tinder Opened]]/tinder[[#This Row],[Days on Tinder]],0)</f>
        <v>8.1481481481481488</v>
      </c>
      <c r="E654">
        <f>tinder[[#This Row],[Engagement]]/MAX(tinder[Engagement])</f>
        <v>4.0945468081146477E-2</v>
      </c>
      <c r="F65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54">
        <v>47</v>
      </c>
      <c r="H654">
        <f>IFERROR(tinder[[#This Row],[Conversations]]/tinder[[#This Row],[Tinder Opened]],0)</f>
        <v>4.2727272727272725E-2</v>
      </c>
      <c r="I654">
        <f>tinder[[#This Row],[Conversations]]/MAX(tinder[Conversations])</f>
        <v>3.717766176237937E-3</v>
      </c>
      <c r="J654">
        <f>(tinder[[#This Row],[Norm Engagement]]*2)+(tinder[[#This Row],[Norm Swipes]]*1)+(tinder[[#This Row],[Norm Conversations]]*2)</f>
        <v>0.10136323502246897</v>
      </c>
      <c r="K65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54">
        <v>18</v>
      </c>
      <c r="M654">
        <v>0</v>
      </c>
      <c r="N654">
        <v>53</v>
      </c>
      <c r="O654">
        <v>819</v>
      </c>
      <c r="P654">
        <v>490</v>
      </c>
      <c r="Q654">
        <f>tinder[[#This Row],[All Swipes]]/MAX(tinder[All Swipes])</f>
        <v>1.2036766507700138E-2</v>
      </c>
      <c r="R654">
        <f>tinder[[#This Row],[Swipe Right (LIKE)]]+tinder[[#This Row],[Swipe Left (PASS)]]</f>
        <v>10217</v>
      </c>
      <c r="S654">
        <v>2316</v>
      </c>
      <c r="T654">
        <v>7901</v>
      </c>
      <c r="U654" t="s">
        <v>149</v>
      </c>
      <c r="V654" s="1">
        <v>44105</v>
      </c>
      <c r="W654" t="s">
        <v>12</v>
      </c>
      <c r="X654" t="s">
        <v>1295</v>
      </c>
      <c r="Y654" t="s">
        <v>430</v>
      </c>
      <c r="Z654">
        <v>22</v>
      </c>
      <c r="AA65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55" spans="1:27" x14ac:dyDescent="0.3">
      <c r="A655" t="s">
        <v>548</v>
      </c>
      <c r="B655">
        <v>1950</v>
      </c>
      <c r="C655">
        <v>240</v>
      </c>
      <c r="D655">
        <f>IFERROR(tinder[[#This Row],[Tinder Opened]]/tinder[[#This Row],[Days on Tinder]],0)</f>
        <v>8.125</v>
      </c>
      <c r="E655">
        <f>tinder[[#This Row],[Engagement]]/MAX(tinder[Engagement])</f>
        <v>4.0829145728643219E-2</v>
      </c>
      <c r="F65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55">
        <v>62</v>
      </c>
      <c r="H655">
        <f>IFERROR(tinder[[#This Row],[Conversations]]/tinder[[#This Row],[Tinder Opened]],0)</f>
        <v>3.1794871794871796E-2</v>
      </c>
      <c r="I655">
        <f>tinder[[#This Row],[Conversations]]/MAX(tinder[Conversations])</f>
        <v>4.9042872963138747E-3</v>
      </c>
      <c r="J655">
        <f>(tinder[[#This Row],[Norm Engagement]]*2)+(tinder[[#This Row],[Norm Swipes]]*1)+(tinder[[#This Row],[Norm Conversations]]*2)</f>
        <v>0.11178340108224158</v>
      </c>
      <c r="K65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55">
        <v>22</v>
      </c>
      <c r="M655">
        <v>7</v>
      </c>
      <c r="N655">
        <v>260</v>
      </c>
      <c r="O655">
        <v>246</v>
      </c>
      <c r="P655">
        <v>179</v>
      </c>
      <c r="Q655">
        <f>tinder[[#This Row],[All Swipes]]/MAX(tinder[All Swipes])</f>
        <v>2.0316535032327384E-2</v>
      </c>
      <c r="R655">
        <f>tinder[[#This Row],[Swipe Right (LIKE)]]+tinder[[#This Row],[Swipe Left (PASS)]]</f>
        <v>17245</v>
      </c>
      <c r="S655">
        <v>6583</v>
      </c>
      <c r="T655">
        <v>10662</v>
      </c>
      <c r="U655" t="s">
        <v>10</v>
      </c>
      <c r="V655" s="1">
        <v>43936</v>
      </c>
      <c r="W655" t="s">
        <v>12</v>
      </c>
      <c r="X655" t="s">
        <v>1295</v>
      </c>
      <c r="Y655" t="s">
        <v>549</v>
      </c>
      <c r="Z655">
        <v>24</v>
      </c>
      <c r="AA65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56" spans="1:27" x14ac:dyDescent="0.3">
      <c r="A656" t="s">
        <v>70</v>
      </c>
      <c r="B656">
        <v>3940</v>
      </c>
      <c r="C656">
        <v>485</v>
      </c>
      <c r="D656">
        <f>IFERROR(tinder[[#This Row],[Tinder Opened]]/tinder[[#This Row],[Days on Tinder]],0)</f>
        <v>8.1237113402061851</v>
      </c>
      <c r="E656">
        <f>tinder[[#This Row],[Engagement]]/MAX(tinder[Engagement])</f>
        <v>4.0822670051287362E-2</v>
      </c>
      <c r="F65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56">
        <v>99</v>
      </c>
      <c r="H656">
        <f>IFERROR(tinder[[#This Row],[Conversations]]/tinder[[#This Row],[Tinder Opened]],0)</f>
        <v>2.5126903553299492E-2</v>
      </c>
      <c r="I656">
        <f>tinder[[#This Row],[Conversations]]/MAX(tinder[Conversations])</f>
        <v>7.8310393925011858E-3</v>
      </c>
      <c r="J656">
        <f>(tinder[[#This Row],[Norm Engagement]]*2)+(tinder[[#This Row],[Norm Swipes]]*1)+(tinder[[#This Row],[Norm Conversations]]*2)</f>
        <v>0.1619127043675869</v>
      </c>
      <c r="K65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56">
        <v>21</v>
      </c>
      <c r="M656">
        <v>39</v>
      </c>
      <c r="N656">
        <v>878</v>
      </c>
      <c r="O656">
        <v>298</v>
      </c>
      <c r="P656">
        <v>435</v>
      </c>
      <c r="Q656">
        <f>tinder[[#This Row],[All Swipes]]/MAX(tinder[All Swipes])</f>
        <v>6.4605285480009808E-2</v>
      </c>
      <c r="R656">
        <f>tinder[[#This Row],[Swipe Right (LIKE)]]+tinder[[#This Row],[Swipe Left (PASS)]]</f>
        <v>54838</v>
      </c>
      <c r="S656">
        <v>13903</v>
      </c>
      <c r="T656">
        <v>40935</v>
      </c>
      <c r="U656" t="s">
        <v>8</v>
      </c>
      <c r="V656" s="1">
        <v>43415</v>
      </c>
      <c r="W656" t="s">
        <v>12</v>
      </c>
      <c r="X656" t="s">
        <v>1295</v>
      </c>
      <c r="Y656" t="s">
        <v>8</v>
      </c>
      <c r="Z656">
        <v>18</v>
      </c>
      <c r="AA65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57" spans="1:27" x14ac:dyDescent="0.3">
      <c r="A657" t="s">
        <v>922</v>
      </c>
      <c r="B657">
        <v>8281</v>
      </c>
      <c r="C657">
        <v>1020</v>
      </c>
      <c r="D657">
        <f>IFERROR(tinder[[#This Row],[Tinder Opened]]/tinder[[#This Row],[Days on Tinder]],0)</f>
        <v>8.1186274509803926</v>
      </c>
      <c r="E657">
        <f>tinder[[#This Row],[Engagement]]/MAX(tinder[Engagement])</f>
        <v>4.0797122869248206E-2</v>
      </c>
      <c r="F65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57">
        <v>223</v>
      </c>
      <c r="H657">
        <f>IFERROR(tinder[[#This Row],[Conversations]]/tinder[[#This Row],[Tinder Opened]],0)</f>
        <v>2.6929114841202754E-2</v>
      </c>
      <c r="I657">
        <f>tinder[[#This Row],[Conversations]]/MAX(tinder[Conversations])</f>
        <v>1.7639613985128935E-2</v>
      </c>
      <c r="J657">
        <f>(tinder[[#This Row],[Norm Engagement]]*2)+(tinder[[#This Row],[Norm Swipes]]*1)+(tinder[[#This Row],[Norm Conversations]]*2)</f>
        <v>0.22156165112294063</v>
      </c>
      <c r="K65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57">
        <v>56</v>
      </c>
      <c r="M657">
        <v>3</v>
      </c>
      <c r="N657">
        <v>474</v>
      </c>
      <c r="O657">
        <v>1601</v>
      </c>
      <c r="P657">
        <v>1390</v>
      </c>
      <c r="Q657">
        <f>tinder[[#This Row],[All Swipes]]/MAX(tinder[All Swipes])</f>
        <v>0.10468817741418635</v>
      </c>
      <c r="R657">
        <f>tinder[[#This Row],[Swipe Right (LIKE)]]+tinder[[#This Row],[Swipe Left (PASS)]]</f>
        <v>88861</v>
      </c>
      <c r="S657">
        <v>23932</v>
      </c>
      <c r="T657">
        <v>64929</v>
      </c>
      <c r="U657" t="s">
        <v>8</v>
      </c>
      <c r="V657" s="1">
        <v>42754</v>
      </c>
      <c r="W657" t="s">
        <v>12</v>
      </c>
      <c r="X657" t="s">
        <v>1295</v>
      </c>
      <c r="Y657" t="s">
        <v>8</v>
      </c>
      <c r="Z657">
        <v>18</v>
      </c>
      <c r="AA65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58" spans="1:27" x14ac:dyDescent="0.3">
      <c r="A658" t="s">
        <v>518</v>
      </c>
      <c r="B658">
        <v>2252</v>
      </c>
      <c r="C658">
        <v>279</v>
      </c>
      <c r="D658">
        <f>IFERROR(tinder[[#This Row],[Tinder Opened]]/tinder[[#This Row],[Days on Tinder]],0)</f>
        <v>8.0716845878136194</v>
      </c>
      <c r="E658">
        <f>tinder[[#This Row],[Engagement]]/MAX(tinder[Engagement])</f>
        <v>4.0561229084490551E-2</v>
      </c>
      <c r="F65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58">
        <v>21</v>
      </c>
      <c r="H658">
        <f>IFERROR(tinder[[#This Row],[Conversations]]/tinder[[#This Row],[Tinder Opened]],0)</f>
        <v>9.3250444049733563E-3</v>
      </c>
      <c r="I658">
        <f>tinder[[#This Row],[Conversations]]/MAX(tinder[Conversations])</f>
        <v>1.6611295681063123E-3</v>
      </c>
      <c r="J658">
        <f>(tinder[[#This Row],[Norm Engagement]]*2)+(tinder[[#This Row],[Norm Swipes]]*1)+(tinder[[#This Row],[Norm Conversations]]*2)</f>
        <v>0.10523603132377961</v>
      </c>
      <c r="K65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58">
        <v>10</v>
      </c>
      <c r="M658">
        <v>0</v>
      </c>
      <c r="N658">
        <v>28</v>
      </c>
      <c r="O658">
        <v>283</v>
      </c>
      <c r="P658">
        <v>225</v>
      </c>
      <c r="Q658">
        <f>tinder[[#This Row],[All Swipes]]/MAX(tinder[All Swipes])</f>
        <v>2.0791314018585888E-2</v>
      </c>
      <c r="R658">
        <f>tinder[[#This Row],[Swipe Right (LIKE)]]+tinder[[#This Row],[Swipe Left (PASS)]]</f>
        <v>17648</v>
      </c>
      <c r="S658">
        <v>3747</v>
      </c>
      <c r="T658">
        <v>13901</v>
      </c>
      <c r="U658" t="s">
        <v>10</v>
      </c>
      <c r="V658" s="1">
        <v>43726</v>
      </c>
      <c r="W658" t="s">
        <v>12</v>
      </c>
      <c r="X658" t="s">
        <v>1295</v>
      </c>
      <c r="Y658" t="s">
        <v>173</v>
      </c>
      <c r="Z658">
        <v>39</v>
      </c>
      <c r="AA65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659" spans="1:27" x14ac:dyDescent="0.3">
      <c r="A659" t="s">
        <v>778</v>
      </c>
      <c r="B659">
        <v>4348</v>
      </c>
      <c r="C659">
        <v>539</v>
      </c>
      <c r="D659">
        <f>IFERROR(tinder[[#This Row],[Tinder Opened]]/tinder[[#This Row],[Days on Tinder]],0)</f>
        <v>8.0667903525046381</v>
      </c>
      <c r="E659">
        <f>tinder[[#This Row],[Engagement]]/MAX(tinder[Engagement])</f>
        <v>4.0536634937209236E-2</v>
      </c>
      <c r="F65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59">
        <v>29</v>
      </c>
      <c r="H659">
        <f>IFERROR(tinder[[#This Row],[Conversations]]/tinder[[#This Row],[Tinder Opened]],0)</f>
        <v>6.6697332106715728E-3</v>
      </c>
      <c r="I659">
        <f>tinder[[#This Row],[Conversations]]/MAX(tinder[Conversations])</f>
        <v>2.2939408321468123E-3</v>
      </c>
      <c r="J659">
        <f>(tinder[[#This Row],[Norm Engagement]]*2)+(tinder[[#This Row],[Norm Swipes]]*1)+(tinder[[#This Row],[Norm Conversations]]*2)</f>
        <v>0.16778849126840617</v>
      </c>
      <c r="K65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59">
        <v>13</v>
      </c>
      <c r="M659">
        <v>0</v>
      </c>
      <c r="N659">
        <v>56</v>
      </c>
      <c r="O659">
        <v>368</v>
      </c>
      <c r="P659">
        <v>356</v>
      </c>
      <c r="Q659">
        <f>tinder[[#This Row],[All Swipes]]/MAX(tinder[All Swipes])</f>
        <v>8.2127339729694063E-2</v>
      </c>
      <c r="R659">
        <f>tinder[[#This Row],[Swipe Right (LIKE)]]+tinder[[#This Row],[Swipe Left (PASS)]]</f>
        <v>69711</v>
      </c>
      <c r="S659">
        <v>26895</v>
      </c>
      <c r="T659">
        <v>42816</v>
      </c>
      <c r="U659" t="s">
        <v>75</v>
      </c>
      <c r="V659" s="1">
        <v>43629</v>
      </c>
      <c r="W659" t="s">
        <v>12</v>
      </c>
      <c r="X659" t="s">
        <v>1295</v>
      </c>
      <c r="Y659" t="s">
        <v>8</v>
      </c>
      <c r="Z659">
        <v>24</v>
      </c>
      <c r="AA65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60" spans="1:27" x14ac:dyDescent="0.3">
      <c r="A660" t="s">
        <v>296</v>
      </c>
      <c r="B660">
        <v>6954</v>
      </c>
      <c r="C660">
        <v>867</v>
      </c>
      <c r="D660">
        <f>IFERROR(tinder[[#This Row],[Tinder Opened]]/tinder[[#This Row],[Days on Tinder]],0)</f>
        <v>8.0207612456747412</v>
      </c>
      <c r="E660">
        <f>tinder[[#This Row],[Engagement]]/MAX(tinder[Engagement])</f>
        <v>4.0305332892837893E-2</v>
      </c>
      <c r="F66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60">
        <v>900</v>
      </c>
      <c r="H660">
        <f>IFERROR(tinder[[#This Row],[Conversations]]/tinder[[#This Row],[Tinder Opened]],0)</f>
        <v>0.12942191544434858</v>
      </c>
      <c r="I660">
        <f>tinder[[#This Row],[Conversations]]/MAX(tinder[Conversations])</f>
        <v>7.1191267204556236E-2</v>
      </c>
      <c r="J660">
        <f>(tinder[[#This Row],[Norm Engagement]]*2)+(tinder[[#This Row],[Norm Swipes]]*1)+(tinder[[#This Row],[Norm Conversations]]*2)</f>
        <v>0.3058309412364274</v>
      </c>
      <c r="K66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60">
        <v>200</v>
      </c>
      <c r="M660">
        <v>192</v>
      </c>
      <c r="N660">
        <v>1428</v>
      </c>
      <c r="O660">
        <v>3409</v>
      </c>
      <c r="P660">
        <v>4920</v>
      </c>
      <c r="Q660">
        <f>tinder[[#This Row],[All Swipes]]/MAX(tinder[All Swipes])</f>
        <v>8.2837741041639171E-2</v>
      </c>
      <c r="R660">
        <f>tinder[[#This Row],[Swipe Right (LIKE)]]+tinder[[#This Row],[Swipe Left (PASS)]]</f>
        <v>70314</v>
      </c>
      <c r="S660">
        <v>4103</v>
      </c>
      <c r="T660">
        <v>66211</v>
      </c>
      <c r="U660" t="s">
        <v>10</v>
      </c>
      <c r="V660" s="1">
        <v>41807</v>
      </c>
      <c r="W660" t="s">
        <v>7</v>
      </c>
      <c r="X660" t="s">
        <v>1296</v>
      </c>
      <c r="Y660" t="s">
        <v>8</v>
      </c>
      <c r="Z660">
        <v>31</v>
      </c>
      <c r="AA66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661" spans="1:27" x14ac:dyDescent="0.3">
      <c r="A661" t="s">
        <v>1275</v>
      </c>
      <c r="B661">
        <v>1499</v>
      </c>
      <c r="C661">
        <v>187</v>
      </c>
      <c r="D661">
        <f>IFERROR(tinder[[#This Row],[Tinder Opened]]/tinder[[#This Row],[Days on Tinder]],0)</f>
        <v>8.0160427807486627</v>
      </c>
      <c r="E661">
        <f>tinder[[#This Row],[Engagement]]/MAX(tinder[Engagement])</f>
        <v>4.0281622013812378E-2</v>
      </c>
      <c r="F66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61">
        <v>161</v>
      </c>
      <c r="H661">
        <f>IFERROR(tinder[[#This Row],[Conversations]]/tinder[[#This Row],[Tinder Opened]],0)</f>
        <v>0.10740493662441628</v>
      </c>
      <c r="I661">
        <f>tinder[[#This Row],[Conversations]]/MAX(tinder[Conversations])</f>
        <v>1.273532668881506E-2</v>
      </c>
      <c r="J661">
        <f>(tinder[[#This Row],[Norm Engagement]]*2)+(tinder[[#This Row],[Norm Swipes]]*1)+(tinder[[#This Row],[Norm Conversations]]*2)</f>
        <v>0.16400523630555838</v>
      </c>
      <c r="K66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61">
        <v>47</v>
      </c>
      <c r="M661">
        <v>27</v>
      </c>
      <c r="N661">
        <v>212</v>
      </c>
      <c r="O661">
        <v>910</v>
      </c>
      <c r="P661">
        <v>776</v>
      </c>
      <c r="Q661">
        <f>tinder[[#This Row],[All Swipes]]/MAX(tinder[All Swipes])</f>
        <v>5.7971338900303482E-2</v>
      </c>
      <c r="R661">
        <f>tinder[[#This Row],[Swipe Right (LIKE)]]+tinder[[#This Row],[Swipe Left (PASS)]]</f>
        <v>49207</v>
      </c>
      <c r="S661">
        <v>901</v>
      </c>
      <c r="T661">
        <v>48306</v>
      </c>
      <c r="U661" t="s">
        <v>8</v>
      </c>
      <c r="V661" s="1">
        <v>44096</v>
      </c>
      <c r="W661" t="s">
        <v>12</v>
      </c>
      <c r="X661" t="s">
        <v>1295</v>
      </c>
      <c r="Y661" t="s">
        <v>1276</v>
      </c>
      <c r="Z661">
        <v>20</v>
      </c>
      <c r="AA66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62" spans="1:27" x14ac:dyDescent="0.3">
      <c r="A662" t="s">
        <v>17</v>
      </c>
      <c r="B662">
        <v>2930</v>
      </c>
      <c r="C662">
        <v>366</v>
      </c>
      <c r="D662">
        <f>IFERROR(tinder[[#This Row],[Tinder Opened]]/tinder[[#This Row],[Days on Tinder]],0)</f>
        <v>8.0054644808743163</v>
      </c>
      <c r="E662">
        <f>tinder[[#This Row],[Engagement]]/MAX(tinder[Engagement])</f>
        <v>4.0228464728011643E-2</v>
      </c>
      <c r="F66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62">
        <v>122</v>
      </c>
      <c r="H662">
        <f>IFERROR(tinder[[#This Row],[Conversations]]/tinder[[#This Row],[Tinder Opened]],0)</f>
        <v>4.1638225255972695E-2</v>
      </c>
      <c r="I662">
        <f>tinder[[#This Row],[Conversations]]/MAX(tinder[Conversations])</f>
        <v>9.650371776617624E-3</v>
      </c>
      <c r="J662">
        <f>(tinder[[#This Row],[Norm Engagement]]*2)+(tinder[[#This Row],[Norm Swipes]]*1)+(tinder[[#This Row],[Norm Conversations]]*2)</f>
        <v>0.13277896384260757</v>
      </c>
      <c r="K66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62">
        <v>30</v>
      </c>
      <c r="M662">
        <v>4</v>
      </c>
      <c r="N662">
        <v>203</v>
      </c>
      <c r="O662">
        <v>2265</v>
      </c>
      <c r="P662">
        <v>2246</v>
      </c>
      <c r="Q662">
        <f>tinder[[#This Row],[All Swipes]]/MAX(tinder[All Swipes])</f>
        <v>3.3021290833349044E-2</v>
      </c>
      <c r="R662">
        <f>tinder[[#This Row],[Swipe Right (LIKE)]]+tinder[[#This Row],[Swipe Left (PASS)]]</f>
        <v>28029</v>
      </c>
      <c r="S662">
        <v>22552</v>
      </c>
      <c r="T662">
        <v>5477</v>
      </c>
      <c r="U662" t="s">
        <v>18</v>
      </c>
      <c r="V662" s="1">
        <v>41704</v>
      </c>
      <c r="W662" t="s">
        <v>7</v>
      </c>
      <c r="X662" t="s">
        <v>1295</v>
      </c>
      <c r="Y662" t="s">
        <v>19</v>
      </c>
      <c r="Z662">
        <v>19</v>
      </c>
      <c r="AA66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63" spans="1:27" x14ac:dyDescent="0.3">
      <c r="A663" t="s">
        <v>243</v>
      </c>
      <c r="B663">
        <v>1465</v>
      </c>
      <c r="C663">
        <v>183</v>
      </c>
      <c r="D663">
        <f>IFERROR(tinder[[#This Row],[Tinder Opened]]/tinder[[#This Row],[Days on Tinder]],0)</f>
        <v>8.0054644808743163</v>
      </c>
      <c r="E663">
        <f>tinder[[#This Row],[Engagement]]/MAX(tinder[Engagement])</f>
        <v>4.0228464728011643E-2</v>
      </c>
      <c r="F66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63">
        <v>49</v>
      </c>
      <c r="H663">
        <f>IFERROR(tinder[[#This Row],[Conversations]]/tinder[[#This Row],[Tinder Opened]],0)</f>
        <v>3.3447098976109216E-2</v>
      </c>
      <c r="I663">
        <f>tinder[[#This Row],[Conversations]]/MAX(tinder[Conversations])</f>
        <v>3.875968992248062E-3</v>
      </c>
      <c r="J663">
        <f>(tinder[[#This Row],[Norm Engagement]]*2)+(tinder[[#This Row],[Norm Swipes]]*1)+(tinder[[#This Row],[Norm Conversations]]*2)</f>
        <v>0.13304897413030847</v>
      </c>
      <c r="K66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63">
        <v>21</v>
      </c>
      <c r="M663">
        <v>10</v>
      </c>
      <c r="N663">
        <v>144</v>
      </c>
      <c r="O663">
        <v>169</v>
      </c>
      <c r="P663">
        <v>164</v>
      </c>
      <c r="Q663">
        <f>tinder[[#This Row],[All Swipes]]/MAX(tinder[All Swipes])</f>
        <v>4.4840106689789071E-2</v>
      </c>
      <c r="R663">
        <f>tinder[[#This Row],[Swipe Right (LIKE)]]+tinder[[#This Row],[Swipe Left (PASS)]]</f>
        <v>38061</v>
      </c>
      <c r="S663">
        <v>20139</v>
      </c>
      <c r="T663">
        <v>17922</v>
      </c>
      <c r="U663" t="s">
        <v>10</v>
      </c>
      <c r="V663" s="1">
        <v>43978</v>
      </c>
      <c r="W663" t="s">
        <v>12</v>
      </c>
      <c r="X663" t="s">
        <v>1295</v>
      </c>
      <c r="Y663" t="s">
        <v>244</v>
      </c>
      <c r="Z663">
        <v>31</v>
      </c>
      <c r="AA663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664" spans="1:27" x14ac:dyDescent="0.3">
      <c r="A664" t="s">
        <v>755</v>
      </c>
      <c r="B664">
        <v>16</v>
      </c>
      <c r="C664">
        <v>2</v>
      </c>
      <c r="D664">
        <f>IFERROR(tinder[[#This Row],[Tinder Opened]]/tinder[[#This Row],[Days on Tinder]],0)</f>
        <v>8</v>
      </c>
      <c r="E664">
        <f>tinder[[#This Row],[Engagement]]/MAX(tinder[Engagement])</f>
        <v>4.0201005025125629E-2</v>
      </c>
      <c r="F66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64">
        <v>21</v>
      </c>
      <c r="H664">
        <f>IFERROR(tinder[[#This Row],[Conversations]]/tinder[[#This Row],[Tinder Opened]],0)</f>
        <v>1.3125</v>
      </c>
      <c r="I664">
        <f>tinder[[#This Row],[Conversations]]/MAX(tinder[Conversations])</f>
        <v>1.6611295681063123E-3</v>
      </c>
      <c r="J664">
        <f>(tinder[[#This Row],[Norm Engagement]]*2)+(tinder[[#This Row],[Norm Swipes]]*1)+(tinder[[#This Row],[Norm Conversations]]*2)</f>
        <v>8.3776106098114922E-2</v>
      </c>
      <c r="K66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64">
        <v>6</v>
      </c>
      <c r="M664">
        <v>0</v>
      </c>
      <c r="N664">
        <v>2</v>
      </c>
      <c r="O664">
        <v>168</v>
      </c>
      <c r="P664">
        <v>186</v>
      </c>
      <c r="Q664">
        <f>tinder[[#This Row],[All Swipes]]/MAX(tinder[All Swipes])</f>
        <v>5.1836911651052761E-5</v>
      </c>
      <c r="R664">
        <f>tinder[[#This Row],[Swipe Right (LIKE)]]+tinder[[#This Row],[Swipe Left (PASS)]]</f>
        <v>44</v>
      </c>
      <c r="S664">
        <v>10</v>
      </c>
      <c r="T664">
        <v>34</v>
      </c>
      <c r="U664" t="s">
        <v>8</v>
      </c>
      <c r="V664" s="1">
        <v>44258</v>
      </c>
      <c r="W664" t="s">
        <v>12</v>
      </c>
      <c r="X664" t="s">
        <v>1295</v>
      </c>
      <c r="Y664" t="s">
        <v>756</v>
      </c>
      <c r="Z664">
        <v>38</v>
      </c>
      <c r="AA664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665" spans="1:27" x14ac:dyDescent="0.3">
      <c r="A665" t="s">
        <v>523</v>
      </c>
      <c r="B665">
        <v>2222</v>
      </c>
      <c r="C665">
        <v>278</v>
      </c>
      <c r="D665">
        <f>IFERROR(tinder[[#This Row],[Tinder Opened]]/tinder[[#This Row],[Days on Tinder]],0)</f>
        <v>7.9928057553956835</v>
      </c>
      <c r="E665">
        <f>tinder[[#This Row],[Engagement]]/MAX(tinder[Engagement])</f>
        <v>4.0164853042189363E-2</v>
      </c>
      <c r="F66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65">
        <v>40</v>
      </c>
      <c r="H665">
        <f>IFERROR(tinder[[#This Row],[Conversations]]/tinder[[#This Row],[Tinder Opened]],0)</f>
        <v>1.8001800180018002E-2</v>
      </c>
      <c r="I665">
        <f>tinder[[#This Row],[Conversations]]/MAX(tinder[Conversations])</f>
        <v>3.1640563202024997E-3</v>
      </c>
      <c r="J665">
        <f>(tinder[[#This Row],[Norm Engagement]]*2)+(tinder[[#This Row],[Norm Swipes]]*1)+(tinder[[#This Row],[Norm Conversations]]*2)</f>
        <v>0.12338309251792617</v>
      </c>
      <c r="K66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65">
        <v>11</v>
      </c>
      <c r="M665">
        <v>5</v>
      </c>
      <c r="N665">
        <v>184</v>
      </c>
      <c r="O665">
        <v>464</v>
      </c>
      <c r="P665">
        <v>459</v>
      </c>
      <c r="Q665">
        <f>tinder[[#This Row],[All Swipes]]/MAX(tinder[All Swipes])</f>
        <v>3.672527379314245E-2</v>
      </c>
      <c r="R665">
        <f>tinder[[#This Row],[Swipe Right (LIKE)]]+tinder[[#This Row],[Swipe Left (PASS)]]</f>
        <v>31173</v>
      </c>
      <c r="S665">
        <v>5814</v>
      </c>
      <c r="T665">
        <v>25359</v>
      </c>
      <c r="U665" t="s">
        <v>61</v>
      </c>
      <c r="V665" s="1">
        <v>43778</v>
      </c>
      <c r="W665" t="s">
        <v>12</v>
      </c>
      <c r="X665" t="s">
        <v>1295</v>
      </c>
      <c r="Y665" t="s">
        <v>8</v>
      </c>
      <c r="Z665">
        <v>18</v>
      </c>
      <c r="AA66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66" spans="1:27" x14ac:dyDescent="0.3">
      <c r="A666" t="s">
        <v>939</v>
      </c>
      <c r="B666">
        <v>13539</v>
      </c>
      <c r="C666">
        <v>1696</v>
      </c>
      <c r="D666">
        <f>IFERROR(tinder[[#This Row],[Tinder Opened]]/tinder[[#This Row],[Days on Tinder]],0)</f>
        <v>7.9829009433962268</v>
      </c>
      <c r="E666">
        <f>tinder[[#This Row],[Engagement]]/MAX(tinder[Engagement])</f>
        <v>4.011508011756898E-2</v>
      </c>
      <c r="F66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66">
        <v>796</v>
      </c>
      <c r="H666">
        <f>IFERROR(tinder[[#This Row],[Conversations]]/tinder[[#This Row],[Tinder Opened]],0)</f>
        <v>5.8793116182879093E-2</v>
      </c>
      <c r="I666">
        <f>tinder[[#This Row],[Conversations]]/MAX(tinder[Conversations])</f>
        <v>6.2964720772029747E-2</v>
      </c>
      <c r="J666">
        <f>(tinder[[#This Row],[Norm Engagement]]*2)+(tinder[[#This Row],[Norm Swipes]]*1)+(tinder[[#This Row],[Norm Conversations]]*2)</f>
        <v>0.45821658468244153</v>
      </c>
      <c r="K66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66">
        <v>297</v>
      </c>
      <c r="M666">
        <v>95</v>
      </c>
      <c r="N666">
        <v>1348</v>
      </c>
      <c r="O666">
        <v>6347</v>
      </c>
      <c r="P666">
        <v>5815</v>
      </c>
      <c r="Q666">
        <f>tinder[[#This Row],[All Swipes]]/MAX(tinder[All Swipes])</f>
        <v>0.25205698290324408</v>
      </c>
      <c r="R666">
        <f>tinder[[#This Row],[Swipe Right (LIKE)]]+tinder[[#This Row],[Swipe Left (PASS)]]</f>
        <v>213950</v>
      </c>
      <c r="S666">
        <v>69166</v>
      </c>
      <c r="T666">
        <v>144784</v>
      </c>
      <c r="U666" t="s">
        <v>8</v>
      </c>
      <c r="V666" s="1">
        <v>41324</v>
      </c>
      <c r="W666" t="s">
        <v>7</v>
      </c>
      <c r="X666" t="s">
        <v>1295</v>
      </c>
      <c r="Y666" t="s">
        <v>8</v>
      </c>
      <c r="Z666">
        <v>29</v>
      </c>
      <c r="AA66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67" spans="1:27" x14ac:dyDescent="0.3">
      <c r="A667" t="s">
        <v>151</v>
      </c>
      <c r="B667">
        <v>12402</v>
      </c>
      <c r="C667">
        <v>1555</v>
      </c>
      <c r="D667">
        <f>IFERROR(tinder[[#This Row],[Tinder Opened]]/tinder[[#This Row],[Days on Tinder]],0)</f>
        <v>7.9755627009646304</v>
      </c>
      <c r="E667">
        <f>tinder[[#This Row],[Engagement]]/MAX(tinder[Engagement])</f>
        <v>4.0078204527460456E-2</v>
      </c>
      <c r="F66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67">
        <v>113</v>
      </c>
      <c r="H667">
        <f>IFERROR(tinder[[#This Row],[Conversations]]/tinder[[#This Row],[Tinder Opened]],0)</f>
        <v>9.1114336397355271E-3</v>
      </c>
      <c r="I667">
        <f>tinder[[#This Row],[Conversations]]/MAX(tinder[Conversations])</f>
        <v>8.9384591045720621E-3</v>
      </c>
      <c r="J667">
        <f>(tinder[[#This Row],[Norm Engagement]]*2)+(tinder[[#This Row],[Norm Swipes]]*1)+(tinder[[#This Row],[Norm Conversations]]*2)</f>
        <v>0.33143020008455853</v>
      </c>
      <c r="K66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67">
        <v>28</v>
      </c>
      <c r="M667">
        <v>1</v>
      </c>
      <c r="N667">
        <v>865</v>
      </c>
      <c r="O667">
        <v>1461</v>
      </c>
      <c r="P667">
        <v>1582</v>
      </c>
      <c r="Q667">
        <f>tinder[[#This Row],[All Swipes]]/MAX(tinder[All Swipes])</f>
        <v>0.23339687282049348</v>
      </c>
      <c r="R667">
        <f>tinder[[#This Row],[Swipe Right (LIKE)]]+tinder[[#This Row],[Swipe Left (PASS)]]</f>
        <v>198111</v>
      </c>
      <c r="S667">
        <v>103464</v>
      </c>
      <c r="T667">
        <v>94647</v>
      </c>
      <c r="U667" t="s">
        <v>61</v>
      </c>
      <c r="V667" s="1">
        <v>42293</v>
      </c>
      <c r="W667" t="s">
        <v>7</v>
      </c>
      <c r="X667" t="s">
        <v>1295</v>
      </c>
      <c r="Y667" t="s">
        <v>19</v>
      </c>
      <c r="Z667">
        <v>19</v>
      </c>
      <c r="AA66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68" spans="1:27" x14ac:dyDescent="0.3">
      <c r="A668" t="s">
        <v>865</v>
      </c>
      <c r="B668">
        <v>9937</v>
      </c>
      <c r="C668">
        <v>1248</v>
      </c>
      <c r="D668">
        <f>IFERROR(tinder[[#This Row],[Tinder Opened]]/tinder[[#This Row],[Days on Tinder]],0)</f>
        <v>7.9623397435897436</v>
      </c>
      <c r="E668">
        <f>tinder[[#This Row],[Engagement]]/MAX(tinder[Engagement])</f>
        <v>4.00117575054761E-2</v>
      </c>
      <c r="F66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68">
        <v>411</v>
      </c>
      <c r="H668">
        <f>IFERROR(tinder[[#This Row],[Conversations]]/tinder[[#This Row],[Tinder Opened]],0)</f>
        <v>4.1360571601086846E-2</v>
      </c>
      <c r="I668">
        <f>tinder[[#This Row],[Conversations]]/MAX(tinder[Conversations])</f>
        <v>3.2510678690080681E-2</v>
      </c>
      <c r="J668">
        <f>(tinder[[#This Row],[Norm Engagement]]*2)+(tinder[[#This Row],[Norm Swipes]]*1)+(tinder[[#This Row],[Norm Conversations]]*2)</f>
        <v>0.23594325319449144</v>
      </c>
      <c r="K66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68">
        <v>163</v>
      </c>
      <c r="M668">
        <v>14</v>
      </c>
      <c r="N668">
        <v>1769</v>
      </c>
      <c r="O668">
        <v>2315</v>
      </c>
      <c r="P668">
        <v>2046</v>
      </c>
      <c r="Q668">
        <f>tinder[[#This Row],[All Swipes]]/MAX(tinder[All Swipes])</f>
        <v>9.0898380803377879E-2</v>
      </c>
      <c r="R668">
        <f>tinder[[#This Row],[Swipe Right (LIKE)]]+tinder[[#This Row],[Swipe Left (PASS)]]</f>
        <v>77156</v>
      </c>
      <c r="S668">
        <v>45692</v>
      </c>
      <c r="T668">
        <v>31464</v>
      </c>
      <c r="U668" t="s">
        <v>10</v>
      </c>
      <c r="V668" s="1">
        <v>42631</v>
      </c>
      <c r="W668" t="s">
        <v>7</v>
      </c>
      <c r="X668" t="s">
        <v>1295</v>
      </c>
      <c r="Y668" t="s">
        <v>866</v>
      </c>
      <c r="Z668">
        <v>18</v>
      </c>
      <c r="AA66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69" spans="1:27" x14ac:dyDescent="0.3">
      <c r="A669" t="s">
        <v>87</v>
      </c>
      <c r="B669">
        <v>3511</v>
      </c>
      <c r="C669">
        <v>441</v>
      </c>
      <c r="D669">
        <f>IFERROR(tinder[[#This Row],[Tinder Opened]]/tinder[[#This Row],[Days on Tinder]],0)</f>
        <v>7.9614512471655328</v>
      </c>
      <c r="E669">
        <f>tinder[[#This Row],[Engagement]]/MAX(tinder[Engagement])</f>
        <v>4.0007292699324286E-2</v>
      </c>
      <c r="F66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69">
        <v>16</v>
      </c>
      <c r="H669">
        <f>IFERROR(tinder[[#This Row],[Conversations]]/tinder[[#This Row],[Tinder Opened]],0)</f>
        <v>4.5571062375391628E-3</v>
      </c>
      <c r="I669">
        <f>tinder[[#This Row],[Conversations]]/MAX(tinder[Conversations])</f>
        <v>1.2656225280809998E-3</v>
      </c>
      <c r="J669">
        <f>(tinder[[#This Row],[Norm Engagement]]*2)+(tinder[[#This Row],[Norm Swipes]]*1)+(tinder[[#This Row],[Norm Conversations]]*2)</f>
        <v>0.11748273079599168</v>
      </c>
      <c r="K66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69">
        <v>9</v>
      </c>
      <c r="M669">
        <v>1</v>
      </c>
      <c r="N669">
        <v>58</v>
      </c>
      <c r="O669">
        <v>43</v>
      </c>
      <c r="P669">
        <v>26</v>
      </c>
      <c r="Q669">
        <f>tinder[[#This Row],[All Swipes]]/MAX(tinder[All Swipes])</f>
        <v>3.4936900341181125E-2</v>
      </c>
      <c r="R669">
        <f>tinder[[#This Row],[Swipe Right (LIKE)]]+tinder[[#This Row],[Swipe Left (PASS)]]</f>
        <v>29655</v>
      </c>
      <c r="S669">
        <v>8638</v>
      </c>
      <c r="T669">
        <v>21017</v>
      </c>
      <c r="U669" t="s">
        <v>88</v>
      </c>
      <c r="V669" s="1">
        <v>43537</v>
      </c>
      <c r="W669" t="s">
        <v>12</v>
      </c>
      <c r="X669" t="s">
        <v>1295</v>
      </c>
      <c r="Y669" t="s">
        <v>8</v>
      </c>
      <c r="Z669">
        <v>22</v>
      </c>
      <c r="AA66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70" spans="1:27" x14ac:dyDescent="0.3">
      <c r="A670" t="s">
        <v>1074</v>
      </c>
      <c r="B670">
        <v>4960</v>
      </c>
      <c r="C670">
        <v>624</v>
      </c>
      <c r="D670">
        <f>IFERROR(tinder[[#This Row],[Tinder Opened]]/tinder[[#This Row],[Days on Tinder]],0)</f>
        <v>7.9487179487179489</v>
      </c>
      <c r="E670">
        <f>tinder[[#This Row],[Engagement]]/MAX(tinder[Engagement])</f>
        <v>3.994330627496457E-2</v>
      </c>
      <c r="F67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70">
        <v>288</v>
      </c>
      <c r="H670">
        <f>IFERROR(tinder[[#This Row],[Conversations]]/tinder[[#This Row],[Tinder Opened]],0)</f>
        <v>5.8064516129032261E-2</v>
      </c>
      <c r="I670">
        <f>tinder[[#This Row],[Conversations]]/MAX(tinder[Conversations])</f>
        <v>2.2781205505457997E-2</v>
      </c>
      <c r="J670">
        <f>(tinder[[#This Row],[Norm Engagement]]*2)+(tinder[[#This Row],[Norm Swipes]]*1)+(tinder[[#This Row],[Norm Conversations]]*2)</f>
        <v>0.18190295468372689</v>
      </c>
      <c r="K67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70">
        <v>117</v>
      </c>
      <c r="M670">
        <v>15</v>
      </c>
      <c r="N670">
        <v>1014</v>
      </c>
      <c r="O670">
        <v>1321</v>
      </c>
      <c r="P670">
        <v>1084</v>
      </c>
      <c r="Q670">
        <f>tinder[[#This Row],[All Swipes]]/MAX(tinder[All Swipes])</f>
        <v>5.6453931122881752E-2</v>
      </c>
      <c r="R670">
        <f>tinder[[#This Row],[Swipe Right (LIKE)]]+tinder[[#This Row],[Swipe Left (PASS)]]</f>
        <v>47919</v>
      </c>
      <c r="S670">
        <v>13730</v>
      </c>
      <c r="T670">
        <v>34189</v>
      </c>
      <c r="U670" t="s">
        <v>8</v>
      </c>
      <c r="V670" s="1">
        <v>41760</v>
      </c>
      <c r="W670" t="s">
        <v>12</v>
      </c>
      <c r="X670" t="s">
        <v>1295</v>
      </c>
      <c r="Y670" t="s">
        <v>8</v>
      </c>
      <c r="Z670">
        <v>14</v>
      </c>
      <c r="AA67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71" spans="1:27" x14ac:dyDescent="0.3">
      <c r="A671" t="s">
        <v>1075</v>
      </c>
      <c r="B671">
        <v>12198</v>
      </c>
      <c r="C671">
        <v>1539</v>
      </c>
      <c r="D671">
        <f>IFERROR(tinder[[#This Row],[Tinder Opened]]/tinder[[#This Row],[Days on Tinder]],0)</f>
        <v>7.9259259259259256</v>
      </c>
      <c r="E671">
        <f>tinder[[#This Row],[Engagement]]/MAX(tinder[Engagement])</f>
        <v>3.9828773497115201E-2</v>
      </c>
      <c r="F67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71">
        <v>467</v>
      </c>
      <c r="H671">
        <f>IFERROR(tinder[[#This Row],[Conversations]]/tinder[[#This Row],[Tinder Opened]],0)</f>
        <v>3.8284964748319397E-2</v>
      </c>
      <c r="I671">
        <f>tinder[[#This Row],[Conversations]]/MAX(tinder[Conversations])</f>
        <v>3.694035753836418E-2</v>
      </c>
      <c r="J671">
        <f>(tinder[[#This Row],[Norm Engagement]]*2)+(tinder[[#This Row],[Norm Swipes]]*1)+(tinder[[#This Row],[Norm Conversations]]*2)</f>
        <v>0.34329198961615115</v>
      </c>
      <c r="K67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71">
        <v>194</v>
      </c>
      <c r="M671">
        <v>13</v>
      </c>
      <c r="N671">
        <v>1588</v>
      </c>
      <c r="O671">
        <v>2645</v>
      </c>
      <c r="P671">
        <v>2649</v>
      </c>
      <c r="Q671">
        <f>tinder[[#This Row],[All Swipes]]/MAX(tinder[All Swipes])</f>
        <v>0.18975372754519237</v>
      </c>
      <c r="R671">
        <f>tinder[[#This Row],[Swipe Right (LIKE)]]+tinder[[#This Row],[Swipe Left (PASS)]]</f>
        <v>161066</v>
      </c>
      <c r="S671">
        <v>90148</v>
      </c>
      <c r="T671">
        <v>70918</v>
      </c>
      <c r="U671" t="s">
        <v>14</v>
      </c>
      <c r="V671" s="1">
        <v>42078</v>
      </c>
      <c r="W671" t="s">
        <v>7</v>
      </c>
      <c r="X671" t="s">
        <v>1295</v>
      </c>
      <c r="Y671" t="s">
        <v>8</v>
      </c>
      <c r="Z671">
        <v>24</v>
      </c>
      <c r="AA67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72" spans="1:27" x14ac:dyDescent="0.3">
      <c r="A672" t="s">
        <v>191</v>
      </c>
      <c r="B672">
        <v>713</v>
      </c>
      <c r="C672">
        <v>90</v>
      </c>
      <c r="D672">
        <f>IFERROR(tinder[[#This Row],[Tinder Opened]]/tinder[[#This Row],[Days on Tinder]],0)</f>
        <v>7.9222222222222225</v>
      </c>
      <c r="E672">
        <f>tinder[[#This Row],[Engagement]]/MAX(tinder[Engagement])</f>
        <v>3.9810161920714689E-2</v>
      </c>
      <c r="F67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72">
        <v>5</v>
      </c>
      <c r="H672">
        <f>IFERROR(tinder[[#This Row],[Conversations]]/tinder[[#This Row],[Tinder Opened]],0)</f>
        <v>7.0126227208976155E-3</v>
      </c>
      <c r="I672">
        <f>tinder[[#This Row],[Conversations]]/MAX(tinder[Conversations])</f>
        <v>3.9550704002531246E-4</v>
      </c>
      <c r="J672">
        <f>(tinder[[#This Row],[Norm Engagement]]*2)+(tinder[[#This Row],[Norm Swipes]]*1)+(tinder[[#This Row],[Norm Conversations]]*2)</f>
        <v>8.5983805923968176E-2</v>
      </c>
      <c r="K67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72">
        <v>4</v>
      </c>
      <c r="M672">
        <v>0</v>
      </c>
      <c r="N672">
        <v>6</v>
      </c>
      <c r="O672">
        <v>6</v>
      </c>
      <c r="P672">
        <v>0</v>
      </c>
      <c r="Q672">
        <f>tinder[[#This Row],[All Swipes]]/MAX(tinder[All Swipes])</f>
        <v>5.5724680024881717E-3</v>
      </c>
      <c r="R672">
        <f>tinder[[#This Row],[Swipe Right (LIKE)]]+tinder[[#This Row],[Swipe Left (PASS)]]</f>
        <v>4730</v>
      </c>
      <c r="S672">
        <v>1196</v>
      </c>
      <c r="T672">
        <v>3534</v>
      </c>
      <c r="U672" t="s">
        <v>61</v>
      </c>
      <c r="V672" s="1">
        <v>44045</v>
      </c>
      <c r="W672" t="s">
        <v>12</v>
      </c>
      <c r="X672" t="s">
        <v>1295</v>
      </c>
      <c r="Y672" t="s">
        <v>8</v>
      </c>
      <c r="Z672">
        <v>30</v>
      </c>
      <c r="AA67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73" spans="1:27" x14ac:dyDescent="0.3">
      <c r="A673" t="s">
        <v>757</v>
      </c>
      <c r="B673">
        <v>5468</v>
      </c>
      <c r="C673">
        <v>692</v>
      </c>
      <c r="D673">
        <f>IFERROR(tinder[[#This Row],[Tinder Opened]]/tinder[[#This Row],[Days on Tinder]],0)</f>
        <v>7.901734104046243</v>
      </c>
      <c r="E673">
        <f>tinder[[#This Row],[Engagement]]/MAX(tinder[Engagement])</f>
        <v>3.9707206552996199E-2</v>
      </c>
      <c r="F67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73">
        <v>266</v>
      </c>
      <c r="H673">
        <f>IFERROR(tinder[[#This Row],[Conversations]]/tinder[[#This Row],[Tinder Opened]],0)</f>
        <v>4.864667154352597E-2</v>
      </c>
      <c r="I673">
        <f>tinder[[#This Row],[Conversations]]/MAX(tinder[Conversations])</f>
        <v>2.1040974529346623E-2</v>
      </c>
      <c r="J673">
        <f>(tinder[[#This Row],[Norm Engagement]]*2)+(tinder[[#This Row],[Norm Swipes]]*1)+(tinder[[#This Row],[Norm Conversations]]*2)</f>
        <v>0.14608472996171115</v>
      </c>
      <c r="K67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73">
        <v>95</v>
      </c>
      <c r="M673">
        <v>1</v>
      </c>
      <c r="N673">
        <v>408</v>
      </c>
      <c r="O673">
        <v>2786</v>
      </c>
      <c r="P673">
        <v>2426</v>
      </c>
      <c r="Q673">
        <f>tinder[[#This Row],[All Swipes]]/MAX(tinder[All Swipes])</f>
        <v>2.4588367797025504E-2</v>
      </c>
      <c r="R673">
        <f>tinder[[#This Row],[Swipe Right (LIKE)]]+tinder[[#This Row],[Swipe Left (PASS)]]</f>
        <v>20871</v>
      </c>
      <c r="S673">
        <v>7014</v>
      </c>
      <c r="T673">
        <v>13857</v>
      </c>
      <c r="U673" t="s">
        <v>61</v>
      </c>
      <c r="V673" s="1">
        <v>42566</v>
      </c>
      <c r="W673" t="s">
        <v>7</v>
      </c>
      <c r="X673" t="s">
        <v>1295</v>
      </c>
      <c r="Y673" t="s">
        <v>8</v>
      </c>
      <c r="Z673">
        <v>18</v>
      </c>
      <c r="AA67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74" spans="1:27" x14ac:dyDescent="0.3">
      <c r="A674" t="s">
        <v>720</v>
      </c>
      <c r="B674">
        <v>1759</v>
      </c>
      <c r="C674">
        <v>223</v>
      </c>
      <c r="D674">
        <f>IFERROR(tinder[[#This Row],[Tinder Opened]]/tinder[[#This Row],[Days on Tinder]],0)</f>
        <v>7.8878923766816147</v>
      </c>
      <c r="E674">
        <f>tinder[[#This Row],[Engagement]]/MAX(tinder[Engagement])</f>
        <v>3.9637650134078467E-2</v>
      </c>
      <c r="F67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74">
        <v>12</v>
      </c>
      <c r="H674">
        <f>IFERROR(tinder[[#This Row],[Conversations]]/tinder[[#This Row],[Tinder Opened]],0)</f>
        <v>6.8220579874928933E-3</v>
      </c>
      <c r="I674">
        <f>tinder[[#This Row],[Conversations]]/MAX(tinder[Conversations])</f>
        <v>9.4921689606074992E-4</v>
      </c>
      <c r="J674">
        <f>(tinder[[#This Row],[Norm Engagement]]*2)+(tinder[[#This Row],[Norm Swipes]]*1)+(tinder[[#This Row],[Norm Conversations]]*2)</f>
        <v>0.10815720279790826</v>
      </c>
      <c r="K67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74">
        <v>2</v>
      </c>
      <c r="M674">
        <v>4</v>
      </c>
      <c r="N674">
        <v>113</v>
      </c>
      <c r="O674">
        <v>81</v>
      </c>
      <c r="P674">
        <v>72</v>
      </c>
      <c r="Q674">
        <f>tinder[[#This Row],[All Swipes]]/MAX(tinder[All Swipes])</f>
        <v>2.6983468737629829E-2</v>
      </c>
      <c r="R674">
        <f>tinder[[#This Row],[Swipe Right (LIKE)]]+tinder[[#This Row],[Swipe Left (PASS)]]</f>
        <v>22904</v>
      </c>
      <c r="S674">
        <v>1493</v>
      </c>
      <c r="T674">
        <v>21411</v>
      </c>
      <c r="U674" t="s">
        <v>8</v>
      </c>
      <c r="V674" s="1">
        <v>44072</v>
      </c>
      <c r="W674" t="s">
        <v>12</v>
      </c>
      <c r="X674" t="s">
        <v>1295</v>
      </c>
      <c r="Y674" t="s">
        <v>8</v>
      </c>
      <c r="Z674">
        <v>23</v>
      </c>
      <c r="AA67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75" spans="1:27" x14ac:dyDescent="0.3">
      <c r="A675" t="s">
        <v>74</v>
      </c>
      <c r="B675">
        <v>5690</v>
      </c>
      <c r="C675">
        <v>722</v>
      </c>
      <c r="D675">
        <f>IFERROR(tinder[[#This Row],[Tinder Opened]]/tinder[[#This Row],[Days on Tinder]],0)</f>
        <v>7.8808864265927978</v>
      </c>
      <c r="E675">
        <f>tinder[[#This Row],[Engagement]]/MAX(tinder[Engagement])</f>
        <v>3.9602444354737677E-2</v>
      </c>
      <c r="F67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75">
        <v>275</v>
      </c>
      <c r="H675">
        <f>IFERROR(tinder[[#This Row],[Conversations]]/tinder[[#This Row],[Tinder Opened]],0)</f>
        <v>4.8330404217926184E-2</v>
      </c>
      <c r="I675">
        <f>tinder[[#This Row],[Conversations]]/MAX(tinder[Conversations])</f>
        <v>2.1752887201392186E-2</v>
      </c>
      <c r="J675">
        <f>(tinder[[#This Row],[Norm Engagement]]*2)+(tinder[[#This Row],[Norm Swipes]]*1)+(tinder[[#This Row],[Norm Conversations]]*2)</f>
        <v>0.14388132907520107</v>
      </c>
      <c r="K67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75">
        <v>50</v>
      </c>
      <c r="M675">
        <v>27</v>
      </c>
      <c r="N675">
        <v>624</v>
      </c>
      <c r="O675">
        <v>1521</v>
      </c>
      <c r="P675">
        <v>2431</v>
      </c>
      <c r="Q675">
        <f>tinder[[#This Row],[All Swipes]]/MAX(tinder[All Swipes])</f>
        <v>2.1170665962941322E-2</v>
      </c>
      <c r="R675">
        <f>tinder[[#This Row],[Swipe Right (LIKE)]]+tinder[[#This Row],[Swipe Left (PASS)]]</f>
        <v>17970</v>
      </c>
      <c r="S675">
        <v>829</v>
      </c>
      <c r="T675">
        <v>17141</v>
      </c>
      <c r="U675" t="s">
        <v>75</v>
      </c>
      <c r="V675" s="1">
        <v>41931</v>
      </c>
      <c r="W675" t="s">
        <v>7</v>
      </c>
      <c r="X675" t="s">
        <v>1296</v>
      </c>
      <c r="Y675" t="s">
        <v>8</v>
      </c>
      <c r="Z675">
        <v>29</v>
      </c>
      <c r="AA67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76" spans="1:27" x14ac:dyDescent="0.3">
      <c r="A676" t="s">
        <v>522</v>
      </c>
      <c r="B676">
        <v>330</v>
      </c>
      <c r="C676">
        <v>42</v>
      </c>
      <c r="D676">
        <f>IFERROR(tinder[[#This Row],[Tinder Opened]]/tinder[[#This Row],[Days on Tinder]],0)</f>
        <v>7.8571428571428568</v>
      </c>
      <c r="E676">
        <f>tinder[[#This Row],[Engagement]]/MAX(tinder[Engagement])</f>
        <v>3.9483129935391242E-2</v>
      </c>
      <c r="F67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76">
        <v>23</v>
      </c>
      <c r="H676">
        <f>IFERROR(tinder[[#This Row],[Conversations]]/tinder[[#This Row],[Tinder Opened]],0)</f>
        <v>6.9696969696969702E-2</v>
      </c>
      <c r="I676">
        <f>tinder[[#This Row],[Conversations]]/MAX(tinder[Conversations])</f>
        <v>1.8193323841164373E-3</v>
      </c>
      <c r="J676">
        <f>(tinder[[#This Row],[Norm Engagement]]*2)+(tinder[[#This Row],[Norm Swipes]]*1)+(tinder[[#This Row],[Norm Conversations]]*2)</f>
        <v>8.5207373226223904E-2</v>
      </c>
      <c r="K67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76">
        <v>1</v>
      </c>
      <c r="M676">
        <v>1</v>
      </c>
      <c r="N676">
        <v>43</v>
      </c>
      <c r="O676">
        <v>317</v>
      </c>
      <c r="P676">
        <v>277</v>
      </c>
      <c r="Q676">
        <f>tinder[[#This Row],[All Swipes]]/MAX(tinder[All Swipes])</f>
        <v>2.6024485872085351E-3</v>
      </c>
      <c r="R676">
        <f>tinder[[#This Row],[Swipe Right (LIKE)]]+tinder[[#This Row],[Swipe Left (PASS)]]</f>
        <v>2209</v>
      </c>
      <c r="S676">
        <v>467</v>
      </c>
      <c r="T676">
        <v>1742</v>
      </c>
      <c r="U676" t="s">
        <v>69</v>
      </c>
      <c r="V676" s="1">
        <v>44151</v>
      </c>
      <c r="W676" t="s">
        <v>12</v>
      </c>
      <c r="X676" t="s">
        <v>1295</v>
      </c>
      <c r="Y676" t="s">
        <v>8</v>
      </c>
      <c r="Z676">
        <v>22</v>
      </c>
      <c r="AA67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77" spans="1:27" x14ac:dyDescent="0.3">
      <c r="A677" t="s">
        <v>1247</v>
      </c>
      <c r="B677">
        <v>7837</v>
      </c>
      <c r="C677">
        <v>999</v>
      </c>
      <c r="D677">
        <f>IFERROR(tinder[[#This Row],[Tinder Opened]]/tinder[[#This Row],[Days on Tinder]],0)</f>
        <v>7.8448448448448449</v>
      </c>
      <c r="E677">
        <f>tinder[[#This Row],[Engagement]]/MAX(tinder[Engagement])</f>
        <v>3.9421330878617308E-2</v>
      </c>
      <c r="F67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77">
        <v>75</v>
      </c>
      <c r="H677">
        <f>IFERROR(tinder[[#This Row],[Conversations]]/tinder[[#This Row],[Tinder Opened]],0)</f>
        <v>9.5699885160137801E-3</v>
      </c>
      <c r="I677">
        <f>tinder[[#This Row],[Conversations]]/MAX(tinder[Conversations])</f>
        <v>5.9326056003796866E-3</v>
      </c>
      <c r="J677">
        <f>(tinder[[#This Row],[Norm Engagement]]*2)+(tinder[[#This Row],[Norm Swipes]]*1)+(tinder[[#This Row],[Norm Conversations]]*2)</f>
        <v>0.2667095034644878</v>
      </c>
      <c r="K67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77">
        <v>38</v>
      </c>
      <c r="M677">
        <v>6</v>
      </c>
      <c r="N677">
        <v>121</v>
      </c>
      <c r="O677">
        <v>282</v>
      </c>
      <c r="P677">
        <v>258</v>
      </c>
      <c r="Q677">
        <f>tinder[[#This Row],[All Swipes]]/MAX(tinder[All Swipes])</f>
        <v>0.17600163050649376</v>
      </c>
      <c r="R677">
        <f>tinder[[#This Row],[Swipe Right (LIKE)]]+tinder[[#This Row],[Swipe Left (PASS)]]</f>
        <v>149393</v>
      </c>
      <c r="S677">
        <v>10815</v>
      </c>
      <c r="T677">
        <v>138578</v>
      </c>
      <c r="U677" t="s">
        <v>10</v>
      </c>
      <c r="V677" s="1">
        <v>42464</v>
      </c>
      <c r="W677" t="s">
        <v>7</v>
      </c>
      <c r="X677" t="s">
        <v>1295</v>
      </c>
      <c r="Y677" t="s">
        <v>1248</v>
      </c>
      <c r="Z677">
        <v>24</v>
      </c>
      <c r="AA67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78" spans="1:27" x14ac:dyDescent="0.3">
      <c r="A678" t="s">
        <v>546</v>
      </c>
      <c r="B678">
        <v>47</v>
      </c>
      <c r="C678">
        <v>6</v>
      </c>
      <c r="D678">
        <f>IFERROR(tinder[[#This Row],[Tinder Opened]]/tinder[[#This Row],[Days on Tinder]],0)</f>
        <v>7.833333333333333</v>
      </c>
      <c r="E678">
        <f>tinder[[#This Row],[Engagement]]/MAX(tinder[Engagement])</f>
        <v>3.9363484087102177E-2</v>
      </c>
      <c r="F67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78">
        <v>2</v>
      </c>
      <c r="H678">
        <f>IFERROR(tinder[[#This Row],[Conversations]]/tinder[[#This Row],[Tinder Opened]],0)</f>
        <v>4.2553191489361701E-2</v>
      </c>
      <c r="I678">
        <f>tinder[[#This Row],[Conversations]]/MAX(tinder[Conversations])</f>
        <v>1.5820281601012498E-4</v>
      </c>
      <c r="J678">
        <f>(tinder[[#This Row],[Norm Engagement]]*2)+(tinder[[#This Row],[Norm Swipes]]*1)+(tinder[[#This Row],[Norm Conversations]]*2)</f>
        <v>7.9672485415807834E-2</v>
      </c>
      <c r="K67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78">
        <v>0</v>
      </c>
      <c r="M678">
        <v>0</v>
      </c>
      <c r="N678">
        <v>3</v>
      </c>
      <c r="O678">
        <v>11</v>
      </c>
      <c r="P678">
        <v>6</v>
      </c>
      <c r="Q678">
        <f>tinder[[#This Row],[All Swipes]]/MAX(tinder[All Swipes])</f>
        <v>6.2911160958323124E-4</v>
      </c>
      <c r="R678">
        <f>tinder[[#This Row],[Swipe Right (LIKE)]]+tinder[[#This Row],[Swipe Left (PASS)]]</f>
        <v>534</v>
      </c>
      <c r="S678">
        <v>187</v>
      </c>
      <c r="T678">
        <v>347</v>
      </c>
      <c r="U678" t="s">
        <v>75</v>
      </c>
      <c r="V678" s="1">
        <v>44086</v>
      </c>
      <c r="W678" t="s">
        <v>12</v>
      </c>
      <c r="X678" t="s">
        <v>1295</v>
      </c>
      <c r="Y678" t="s">
        <v>547</v>
      </c>
      <c r="Z678">
        <v>28</v>
      </c>
      <c r="AA67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79" spans="1:27" x14ac:dyDescent="0.3">
      <c r="A679" t="s">
        <v>525</v>
      </c>
      <c r="B679">
        <v>4983</v>
      </c>
      <c r="C679">
        <v>638</v>
      </c>
      <c r="D679">
        <f>IFERROR(tinder[[#This Row],[Tinder Opened]]/tinder[[#This Row],[Days on Tinder]],0)</f>
        <v>7.8103448275862073</v>
      </c>
      <c r="E679">
        <f>tinder[[#This Row],[Engagement]]/MAX(tinder[Engagement])</f>
        <v>3.9247963957719637E-2</v>
      </c>
      <c r="F67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79">
        <v>279</v>
      </c>
      <c r="H679">
        <f>IFERROR(tinder[[#This Row],[Conversations]]/tinder[[#This Row],[Tinder Opened]],0)</f>
        <v>5.5990367248645395E-2</v>
      </c>
      <c r="I679">
        <f>tinder[[#This Row],[Conversations]]/MAX(tinder[Conversations])</f>
        <v>2.2069292833412434E-2</v>
      </c>
      <c r="J679">
        <f>(tinder[[#This Row],[Norm Engagement]]*2)+(tinder[[#This Row],[Norm Swipes]]*1)+(tinder[[#This Row],[Norm Conversations]]*2)</f>
        <v>0.18860640855125627</v>
      </c>
      <c r="K67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79">
        <v>63</v>
      </c>
      <c r="M679">
        <v>7</v>
      </c>
      <c r="N679">
        <v>415</v>
      </c>
      <c r="O679">
        <v>1433</v>
      </c>
      <c r="P679">
        <v>1025</v>
      </c>
      <c r="Q679">
        <f>tinder[[#This Row],[All Swipes]]/MAX(tinder[All Swipes])</f>
        <v>6.5971894968992098E-2</v>
      </c>
      <c r="R679">
        <f>tinder[[#This Row],[Swipe Right (LIKE)]]+tinder[[#This Row],[Swipe Left (PASS)]]</f>
        <v>55998</v>
      </c>
      <c r="S679">
        <v>23091</v>
      </c>
      <c r="T679">
        <v>32907</v>
      </c>
      <c r="U679" t="s">
        <v>10</v>
      </c>
      <c r="V679" s="1">
        <v>43524</v>
      </c>
      <c r="W679" t="s">
        <v>12</v>
      </c>
      <c r="X679" t="s">
        <v>1295</v>
      </c>
      <c r="Y679" t="s">
        <v>526</v>
      </c>
      <c r="Z679">
        <v>23</v>
      </c>
      <c r="AA67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80" spans="1:27" x14ac:dyDescent="0.3">
      <c r="A680" t="s">
        <v>988</v>
      </c>
      <c r="B680">
        <v>764</v>
      </c>
      <c r="C680">
        <v>98</v>
      </c>
      <c r="D680">
        <f>IFERROR(tinder[[#This Row],[Tinder Opened]]/tinder[[#This Row],[Days on Tinder]],0)</f>
        <v>7.795918367346939</v>
      </c>
      <c r="E680">
        <f>tinder[[#This Row],[Engagement]]/MAX(tinder[Engagement])</f>
        <v>3.9175469182647936E-2</v>
      </c>
      <c r="F68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80">
        <v>6</v>
      </c>
      <c r="H680">
        <f>IFERROR(tinder[[#This Row],[Conversations]]/tinder[[#This Row],[Tinder Opened]],0)</f>
        <v>7.8534031413612562E-3</v>
      </c>
      <c r="I680">
        <f>tinder[[#This Row],[Conversations]]/MAX(tinder[Conversations])</f>
        <v>4.7460844803037496E-4</v>
      </c>
      <c r="J680">
        <f>(tinder[[#This Row],[Norm Engagement]]*2)+(tinder[[#This Row],[Norm Swipes]]*1)+(tinder[[#This Row],[Norm Conversations]]*2)</f>
        <v>9.0995269396811185E-2</v>
      </c>
      <c r="K68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80">
        <v>1</v>
      </c>
      <c r="M680">
        <v>0</v>
      </c>
      <c r="N680">
        <v>11</v>
      </c>
      <c r="O680">
        <v>39</v>
      </c>
      <c r="P680">
        <v>30</v>
      </c>
      <c r="Q680">
        <f>tinder[[#This Row],[All Swipes]]/MAX(tinder[All Swipes])</f>
        <v>1.1695114135454562E-2</v>
      </c>
      <c r="R680">
        <f>tinder[[#This Row],[Swipe Right (LIKE)]]+tinder[[#This Row],[Swipe Left (PASS)]]</f>
        <v>9927</v>
      </c>
      <c r="S680">
        <v>1025</v>
      </c>
      <c r="T680">
        <v>8902</v>
      </c>
      <c r="U680" t="s">
        <v>8</v>
      </c>
      <c r="V680" s="1">
        <v>44191</v>
      </c>
      <c r="W680" t="s">
        <v>12</v>
      </c>
      <c r="X680" t="s">
        <v>1295</v>
      </c>
      <c r="Y680" t="s">
        <v>8</v>
      </c>
      <c r="Z680">
        <v>25</v>
      </c>
      <c r="AA68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81" spans="1:27" x14ac:dyDescent="0.3">
      <c r="A681" t="s">
        <v>1168</v>
      </c>
      <c r="B681">
        <v>2437</v>
      </c>
      <c r="C681">
        <v>313</v>
      </c>
      <c r="D681">
        <f>IFERROR(tinder[[#This Row],[Tinder Opened]]/tinder[[#This Row],[Days on Tinder]],0)</f>
        <v>7.7859424920127793</v>
      </c>
      <c r="E681">
        <f>tinder[[#This Row],[Engagement]]/MAX(tinder[Engagement])</f>
        <v>3.9125339155843111E-2</v>
      </c>
      <c r="F68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81">
        <v>234</v>
      </c>
      <c r="H681">
        <f>IFERROR(tinder[[#This Row],[Conversations]]/tinder[[#This Row],[Tinder Opened]],0)</f>
        <v>9.6019696347968808E-2</v>
      </c>
      <c r="I681">
        <f>tinder[[#This Row],[Conversations]]/MAX(tinder[Conversations])</f>
        <v>1.8509729473184623E-2</v>
      </c>
      <c r="J681">
        <f>(tinder[[#This Row],[Norm Engagement]]*2)+(tinder[[#This Row],[Norm Swipes]]*1)+(tinder[[#This Row],[Norm Conversations]]*2)</f>
        <v>0.12575886508599463</v>
      </c>
      <c r="K68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81">
        <v>61</v>
      </c>
      <c r="M681">
        <v>81</v>
      </c>
      <c r="N681">
        <v>268</v>
      </c>
      <c r="O681">
        <v>934</v>
      </c>
      <c r="P681">
        <v>934</v>
      </c>
      <c r="Q681">
        <f>tinder[[#This Row],[All Swipes]]/MAX(tinder[All Swipes])</f>
        <v>1.0488727827939153E-2</v>
      </c>
      <c r="R681">
        <f>tinder[[#This Row],[Swipe Right (LIKE)]]+tinder[[#This Row],[Swipe Left (PASS)]]</f>
        <v>8903</v>
      </c>
      <c r="S681">
        <v>3722</v>
      </c>
      <c r="T681">
        <v>5181</v>
      </c>
      <c r="U681" t="s">
        <v>8</v>
      </c>
      <c r="V681" s="1">
        <v>41939</v>
      </c>
      <c r="W681" t="s">
        <v>7</v>
      </c>
      <c r="X681" t="s">
        <v>1295</v>
      </c>
      <c r="Y681" t="s">
        <v>1169</v>
      </c>
      <c r="Z681">
        <v>24</v>
      </c>
      <c r="AA68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82" spans="1:27" x14ac:dyDescent="0.3">
      <c r="A682" t="s">
        <v>369</v>
      </c>
      <c r="B682">
        <v>3550</v>
      </c>
      <c r="C682">
        <v>458</v>
      </c>
      <c r="D682">
        <f>IFERROR(tinder[[#This Row],[Tinder Opened]]/tinder[[#This Row],[Days on Tinder]],0)</f>
        <v>7.751091703056769</v>
      </c>
      <c r="E682">
        <f>tinder[[#This Row],[Engagement]]/MAX(tinder[Engagement])</f>
        <v>3.8950209563099344E-2</v>
      </c>
      <c r="F68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82">
        <v>308</v>
      </c>
      <c r="H682">
        <f>IFERROR(tinder[[#This Row],[Conversations]]/tinder[[#This Row],[Tinder Opened]],0)</f>
        <v>8.6760563380281694E-2</v>
      </c>
      <c r="I682">
        <f>tinder[[#This Row],[Conversations]]/MAX(tinder[Conversations])</f>
        <v>2.4363233665559248E-2</v>
      </c>
      <c r="J682">
        <f>(tinder[[#This Row],[Norm Engagement]]*2)+(tinder[[#This Row],[Norm Swipes]]*1)+(tinder[[#This Row],[Norm Conversations]]*2)</f>
        <v>0.14125196421268466</v>
      </c>
      <c r="K68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82">
        <v>147</v>
      </c>
      <c r="M682">
        <v>12</v>
      </c>
      <c r="N682">
        <v>505</v>
      </c>
      <c r="O682">
        <v>732</v>
      </c>
      <c r="P682">
        <v>951</v>
      </c>
      <c r="Q682">
        <f>tinder[[#This Row],[All Swipes]]/MAX(tinder[All Swipes])</f>
        <v>1.4625077755367477E-2</v>
      </c>
      <c r="R682">
        <f>tinder[[#This Row],[Swipe Right (LIKE)]]+tinder[[#This Row],[Swipe Left (PASS)]]</f>
        <v>12414</v>
      </c>
      <c r="S682">
        <v>4607</v>
      </c>
      <c r="T682">
        <v>7807</v>
      </c>
      <c r="U682" t="s">
        <v>8</v>
      </c>
      <c r="V682" s="1">
        <v>41635</v>
      </c>
      <c r="W682" t="s">
        <v>7</v>
      </c>
      <c r="X682" t="s">
        <v>1295</v>
      </c>
      <c r="Y682" t="s">
        <v>8</v>
      </c>
      <c r="Z682">
        <v>21</v>
      </c>
      <c r="AA68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83" spans="1:27" x14ac:dyDescent="0.3">
      <c r="A683" t="s">
        <v>520</v>
      </c>
      <c r="B683">
        <v>14327</v>
      </c>
      <c r="C683">
        <v>1850</v>
      </c>
      <c r="D683">
        <f>IFERROR(tinder[[#This Row],[Tinder Opened]]/tinder[[#This Row],[Days on Tinder]],0)</f>
        <v>7.7443243243243245</v>
      </c>
      <c r="E683">
        <f>tinder[[#This Row],[Engagement]]/MAX(tinder[Engagement])</f>
        <v>3.8916202634795602E-2</v>
      </c>
      <c r="F68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83">
        <v>75</v>
      </c>
      <c r="H683">
        <f>IFERROR(tinder[[#This Row],[Conversations]]/tinder[[#This Row],[Tinder Opened]],0)</f>
        <v>5.2348712221679345E-3</v>
      </c>
      <c r="I683">
        <f>tinder[[#This Row],[Conversations]]/MAX(tinder[Conversations])</f>
        <v>5.9326056003796866E-3</v>
      </c>
      <c r="J683">
        <f>(tinder[[#This Row],[Norm Engagement]]*2)+(tinder[[#This Row],[Norm Swipes]]*1)+(tinder[[#This Row],[Norm Conversations]]*2)</f>
        <v>0.18850348252377086</v>
      </c>
      <c r="K68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83">
        <v>26</v>
      </c>
      <c r="M683">
        <v>21</v>
      </c>
      <c r="N683">
        <v>304</v>
      </c>
      <c r="O683">
        <v>743</v>
      </c>
      <c r="P683">
        <v>1077</v>
      </c>
      <c r="Q683">
        <f>tinder[[#This Row],[All Swipes]]/MAX(tinder[All Swipes])</f>
        <v>9.8805866053420288E-2</v>
      </c>
      <c r="R683">
        <f>tinder[[#This Row],[Swipe Right (LIKE)]]+tinder[[#This Row],[Swipe Left (PASS)]]</f>
        <v>83868</v>
      </c>
      <c r="S683">
        <v>54859</v>
      </c>
      <c r="T683">
        <v>29009</v>
      </c>
      <c r="U683" t="s">
        <v>10</v>
      </c>
      <c r="V683" s="1">
        <v>42346</v>
      </c>
      <c r="W683" t="s">
        <v>7</v>
      </c>
      <c r="X683" t="s">
        <v>1295</v>
      </c>
      <c r="Y683" t="s">
        <v>108</v>
      </c>
      <c r="Z683">
        <v>19</v>
      </c>
      <c r="AA68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84" spans="1:27" x14ac:dyDescent="0.3">
      <c r="A684" t="s">
        <v>231</v>
      </c>
      <c r="B684">
        <v>2176</v>
      </c>
      <c r="C684">
        <v>282</v>
      </c>
      <c r="D684">
        <f>IFERROR(tinder[[#This Row],[Tinder Opened]]/tinder[[#This Row],[Days on Tinder]],0)</f>
        <v>7.7163120567375882</v>
      </c>
      <c r="E684">
        <f>tinder[[#This Row],[Engagement]]/MAX(tinder[Engagement])</f>
        <v>3.8775437471043159E-2</v>
      </c>
      <c r="F68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84">
        <v>184</v>
      </c>
      <c r="H684">
        <f>IFERROR(tinder[[#This Row],[Conversations]]/tinder[[#This Row],[Tinder Opened]],0)</f>
        <v>8.455882352941177E-2</v>
      </c>
      <c r="I684">
        <f>tinder[[#This Row],[Conversations]]/MAX(tinder[Conversations])</f>
        <v>1.4554659072931499E-2</v>
      </c>
      <c r="J684">
        <f>(tinder[[#This Row],[Norm Engagement]]*2)+(tinder[[#This Row],[Norm Swipes]]*1)+(tinder[[#This Row],[Norm Conversations]]*2)</f>
        <v>0.1347911425516729</v>
      </c>
      <c r="K68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84">
        <v>64</v>
      </c>
      <c r="M684">
        <v>0</v>
      </c>
      <c r="N684">
        <v>333</v>
      </c>
      <c r="O684">
        <v>791</v>
      </c>
      <c r="P684">
        <v>620</v>
      </c>
      <c r="Q684">
        <f>tinder[[#This Row],[All Swipes]]/MAX(tinder[All Swipes])</f>
        <v>2.8130949463723586E-2</v>
      </c>
      <c r="R684">
        <f>tinder[[#This Row],[Swipe Right (LIKE)]]+tinder[[#This Row],[Swipe Left (PASS)]]</f>
        <v>23878</v>
      </c>
      <c r="S684">
        <v>4685</v>
      </c>
      <c r="T684">
        <v>19193</v>
      </c>
      <c r="U684" t="s">
        <v>8</v>
      </c>
      <c r="V684" s="1">
        <v>43679</v>
      </c>
      <c r="W684" t="s">
        <v>12</v>
      </c>
      <c r="X684" t="s">
        <v>1295</v>
      </c>
      <c r="Y684" t="s">
        <v>232</v>
      </c>
      <c r="Z684">
        <v>23</v>
      </c>
      <c r="AA68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85" spans="1:27" x14ac:dyDescent="0.3">
      <c r="A685" t="s">
        <v>220</v>
      </c>
      <c r="B685">
        <v>3542</v>
      </c>
      <c r="C685">
        <v>460</v>
      </c>
      <c r="D685">
        <f>IFERROR(tinder[[#This Row],[Tinder Opened]]/tinder[[#This Row],[Days on Tinder]],0)</f>
        <v>7.7</v>
      </c>
      <c r="E685">
        <f>tinder[[#This Row],[Engagement]]/MAX(tinder[Engagement])</f>
        <v>3.8693467336683419E-2</v>
      </c>
      <c r="F68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85">
        <v>263</v>
      </c>
      <c r="H685">
        <f>IFERROR(tinder[[#This Row],[Conversations]]/tinder[[#This Row],[Tinder Opened]],0)</f>
        <v>7.4251835121400336E-2</v>
      </c>
      <c r="I685">
        <f>tinder[[#This Row],[Conversations]]/MAX(tinder[Conversations])</f>
        <v>2.0803670305331434E-2</v>
      </c>
      <c r="J685">
        <f>(tinder[[#This Row],[Norm Engagement]]*2)+(tinder[[#This Row],[Norm Swipes]]*1)+(tinder[[#This Row],[Norm Conversations]]*2)</f>
        <v>0.16510438630926957</v>
      </c>
      <c r="K68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85">
        <v>63</v>
      </c>
      <c r="M685">
        <v>118</v>
      </c>
      <c r="N685">
        <v>1014</v>
      </c>
      <c r="O685">
        <v>780</v>
      </c>
      <c r="P685">
        <v>1284</v>
      </c>
      <c r="Q685">
        <f>tinder[[#This Row],[All Swipes]]/MAX(tinder[All Swipes])</f>
        <v>4.6110111025239861E-2</v>
      </c>
      <c r="R685">
        <f>tinder[[#This Row],[Swipe Right (LIKE)]]+tinder[[#This Row],[Swipe Left (PASS)]]</f>
        <v>39139</v>
      </c>
      <c r="S685">
        <v>2887</v>
      </c>
      <c r="T685">
        <v>36252</v>
      </c>
      <c r="U685" t="s">
        <v>8</v>
      </c>
      <c r="V685" s="1">
        <v>43369</v>
      </c>
      <c r="W685" t="s">
        <v>12</v>
      </c>
      <c r="X685" t="s">
        <v>1296</v>
      </c>
      <c r="Y685" t="s">
        <v>221</v>
      </c>
      <c r="Z685">
        <v>26</v>
      </c>
      <c r="AA68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86" spans="1:27" x14ac:dyDescent="0.3">
      <c r="A686" t="s">
        <v>833</v>
      </c>
      <c r="B686">
        <v>4309</v>
      </c>
      <c r="C686">
        <v>560</v>
      </c>
      <c r="D686">
        <f>IFERROR(tinder[[#This Row],[Tinder Opened]]/tinder[[#This Row],[Days on Tinder]],0)</f>
        <v>7.6946428571428571</v>
      </c>
      <c r="E686">
        <f>tinder[[#This Row],[Engagement]]/MAX(tinder[Engagement])</f>
        <v>3.8666547020818377E-2</v>
      </c>
      <c r="F68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86">
        <v>385</v>
      </c>
      <c r="H686">
        <f>IFERROR(tinder[[#This Row],[Conversations]]/tinder[[#This Row],[Tinder Opened]],0)</f>
        <v>8.9347876537479692E-2</v>
      </c>
      <c r="I686">
        <f>tinder[[#This Row],[Conversations]]/MAX(tinder[Conversations])</f>
        <v>3.0454042081949059E-2</v>
      </c>
      <c r="J686">
        <f>(tinder[[#This Row],[Norm Engagement]]*2)+(tinder[[#This Row],[Norm Swipes]]*1)+(tinder[[#This Row],[Norm Conversations]]*2)</f>
        <v>0.2115821614103755</v>
      </c>
      <c r="K68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86">
        <v>84</v>
      </c>
      <c r="M686">
        <v>31</v>
      </c>
      <c r="N686">
        <v>447</v>
      </c>
      <c r="O686">
        <v>2394</v>
      </c>
      <c r="P686">
        <v>3108</v>
      </c>
      <c r="Q686">
        <f>tinder[[#This Row],[All Swipes]]/MAX(tinder[All Swipes])</f>
        <v>7.3340983204840629E-2</v>
      </c>
      <c r="R686">
        <f>tinder[[#This Row],[Swipe Right (LIKE)]]+tinder[[#This Row],[Swipe Left (PASS)]]</f>
        <v>62253</v>
      </c>
      <c r="S686">
        <v>811</v>
      </c>
      <c r="T686">
        <v>61442</v>
      </c>
      <c r="U686" t="s">
        <v>10</v>
      </c>
      <c r="V686" s="1">
        <v>41601</v>
      </c>
      <c r="W686" t="s">
        <v>7</v>
      </c>
      <c r="X686" t="s">
        <v>1296</v>
      </c>
      <c r="Y686" t="s">
        <v>8</v>
      </c>
      <c r="Z686">
        <v>29</v>
      </c>
      <c r="AA68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87" spans="1:27" x14ac:dyDescent="0.3">
      <c r="A687" t="s">
        <v>1030</v>
      </c>
      <c r="B687">
        <v>1521</v>
      </c>
      <c r="C687">
        <v>198</v>
      </c>
      <c r="D687">
        <f>IFERROR(tinder[[#This Row],[Tinder Opened]]/tinder[[#This Row],[Days on Tinder]],0)</f>
        <v>7.6818181818181817</v>
      </c>
      <c r="E687">
        <f>tinder[[#This Row],[Engagement]]/MAX(tinder[Engagement])</f>
        <v>3.860210141617177E-2</v>
      </c>
      <c r="F68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87">
        <v>408</v>
      </c>
      <c r="H687">
        <f>IFERROR(tinder[[#This Row],[Conversations]]/tinder[[#This Row],[Tinder Opened]],0)</f>
        <v>0.26824457593688361</v>
      </c>
      <c r="I687">
        <f>tinder[[#This Row],[Conversations]]/MAX(tinder[Conversations])</f>
        <v>3.2273374466065499E-2</v>
      </c>
      <c r="J687">
        <f>(tinder[[#This Row],[Norm Engagement]]*2)+(tinder[[#This Row],[Norm Swipes]]*1)+(tinder[[#This Row],[Norm Conversations]]*2)</f>
        <v>0.15890425707445927</v>
      </c>
      <c r="K68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87">
        <v>100</v>
      </c>
      <c r="M687">
        <v>10</v>
      </c>
      <c r="N687">
        <v>124</v>
      </c>
      <c r="O687">
        <v>2416</v>
      </c>
      <c r="P687">
        <v>1847</v>
      </c>
      <c r="Q687">
        <f>tinder[[#This Row],[All Swipes]]/MAX(tinder[All Swipes])</f>
        <v>1.7153305309984733E-2</v>
      </c>
      <c r="R687">
        <f>tinder[[#This Row],[Swipe Right (LIKE)]]+tinder[[#This Row],[Swipe Left (PASS)]]</f>
        <v>14560</v>
      </c>
      <c r="S687">
        <v>5130</v>
      </c>
      <c r="T687">
        <v>9430</v>
      </c>
      <c r="U687" t="s">
        <v>61</v>
      </c>
      <c r="V687" s="1">
        <v>43912</v>
      </c>
      <c r="W687" t="s">
        <v>12</v>
      </c>
      <c r="X687" t="s">
        <v>1295</v>
      </c>
      <c r="Y687" t="s">
        <v>458</v>
      </c>
      <c r="Z687">
        <v>26</v>
      </c>
      <c r="AA68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88" spans="1:27" x14ac:dyDescent="0.3">
      <c r="A688" t="s">
        <v>704</v>
      </c>
      <c r="B688">
        <v>1521</v>
      </c>
      <c r="C688">
        <v>198</v>
      </c>
      <c r="D688">
        <f>IFERROR(tinder[[#This Row],[Tinder Opened]]/tinder[[#This Row],[Days on Tinder]],0)</f>
        <v>7.6818181818181817</v>
      </c>
      <c r="E688">
        <f>tinder[[#This Row],[Engagement]]/MAX(tinder[Engagement])</f>
        <v>3.860210141617177E-2</v>
      </c>
      <c r="F68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88">
        <v>285</v>
      </c>
      <c r="H688">
        <f>IFERROR(tinder[[#This Row],[Conversations]]/tinder[[#This Row],[Tinder Opened]],0)</f>
        <v>0.18737672583826431</v>
      </c>
      <c r="I688">
        <f>tinder[[#This Row],[Conversations]]/MAX(tinder[Conversations])</f>
        <v>2.2543901281442808E-2</v>
      </c>
      <c r="J688">
        <f>(tinder[[#This Row],[Norm Engagement]]*2)+(tinder[[#This Row],[Norm Swipes]]*1)+(tinder[[#This Row],[Norm Conversations]]*2)</f>
        <v>0.13944531070521388</v>
      </c>
      <c r="K68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88">
        <v>79</v>
      </c>
      <c r="M688">
        <v>8</v>
      </c>
      <c r="N688">
        <v>124</v>
      </c>
      <c r="O688">
        <v>1689</v>
      </c>
      <c r="P688">
        <v>1258</v>
      </c>
      <c r="Q688">
        <f>tinder[[#This Row],[All Swipes]]/MAX(tinder[All Swipes])</f>
        <v>1.7153305309984733E-2</v>
      </c>
      <c r="R688">
        <f>tinder[[#This Row],[Swipe Right (LIKE)]]+tinder[[#This Row],[Swipe Left (PASS)]]</f>
        <v>14560</v>
      </c>
      <c r="S688">
        <v>5130</v>
      </c>
      <c r="T688">
        <v>9430</v>
      </c>
      <c r="U688" t="s">
        <v>197</v>
      </c>
      <c r="V688" s="1">
        <v>43912</v>
      </c>
      <c r="W688" t="s">
        <v>12</v>
      </c>
      <c r="X688" t="s">
        <v>1295</v>
      </c>
      <c r="Y688" t="s">
        <v>458</v>
      </c>
      <c r="Z688">
        <v>26</v>
      </c>
      <c r="AA68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89" spans="1:27" x14ac:dyDescent="0.3">
      <c r="A689" t="s">
        <v>1236</v>
      </c>
      <c r="B689">
        <v>2396</v>
      </c>
      <c r="C689">
        <v>312</v>
      </c>
      <c r="D689">
        <f>IFERROR(tinder[[#This Row],[Tinder Opened]]/tinder[[#This Row],[Days on Tinder]],0)</f>
        <v>7.6794871794871797</v>
      </c>
      <c r="E689">
        <f>tinder[[#This Row],[Engagement]]/MAX(tinder[Engagement])</f>
        <v>3.8590387836618993E-2</v>
      </c>
      <c r="F68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89">
        <v>228</v>
      </c>
      <c r="H689">
        <f>IFERROR(tinder[[#This Row],[Conversations]]/tinder[[#This Row],[Tinder Opened]],0)</f>
        <v>9.515859766277128E-2</v>
      </c>
      <c r="I689">
        <f>tinder[[#This Row],[Conversations]]/MAX(tinder[Conversations])</f>
        <v>1.8035121025154248E-2</v>
      </c>
      <c r="J689">
        <f>(tinder[[#This Row],[Norm Engagement]]*2)+(tinder[[#This Row],[Norm Swipes]]*1)+(tinder[[#This Row],[Norm Conversations]]*2)</f>
        <v>0.16994057117211486</v>
      </c>
      <c r="K68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89">
        <v>91</v>
      </c>
      <c r="M689">
        <v>21</v>
      </c>
      <c r="N689">
        <v>212</v>
      </c>
      <c r="O689">
        <v>865</v>
      </c>
      <c r="P689">
        <v>680</v>
      </c>
      <c r="Q689">
        <f>tinder[[#This Row],[All Swipes]]/MAX(tinder[All Swipes])</f>
        <v>5.668955344856836E-2</v>
      </c>
      <c r="R689">
        <f>tinder[[#This Row],[Swipe Right (LIKE)]]+tinder[[#This Row],[Swipe Left (PASS)]]</f>
        <v>48119</v>
      </c>
      <c r="S689">
        <v>9150</v>
      </c>
      <c r="T689">
        <v>38969</v>
      </c>
      <c r="U689" t="s">
        <v>10</v>
      </c>
      <c r="V689" s="1">
        <v>43014</v>
      </c>
      <c r="W689" t="s">
        <v>7</v>
      </c>
      <c r="X689" t="s">
        <v>1295</v>
      </c>
      <c r="Y689" t="s">
        <v>8</v>
      </c>
      <c r="Z689">
        <v>18</v>
      </c>
      <c r="AA68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90" spans="1:27" x14ac:dyDescent="0.3">
      <c r="A690" t="s">
        <v>1242</v>
      </c>
      <c r="B690">
        <v>2502</v>
      </c>
      <c r="C690">
        <v>326</v>
      </c>
      <c r="D690">
        <f>IFERROR(tinder[[#This Row],[Tinder Opened]]/tinder[[#This Row],[Days on Tinder]],0)</f>
        <v>7.6748466257668708</v>
      </c>
      <c r="E690">
        <f>tinder[[#This Row],[Engagement]]/MAX(tinder[Engagement])</f>
        <v>3.8567068471190305E-2</v>
      </c>
      <c r="F69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90">
        <v>51</v>
      </c>
      <c r="H690">
        <f>IFERROR(tinder[[#This Row],[Conversations]]/tinder[[#This Row],[Tinder Opened]],0)</f>
        <v>2.0383693045563551E-2</v>
      </c>
      <c r="I690">
        <f>tinder[[#This Row],[Conversations]]/MAX(tinder[Conversations])</f>
        <v>4.0341718082581874E-3</v>
      </c>
      <c r="J690">
        <f>(tinder[[#This Row],[Norm Engagement]]*2)+(tinder[[#This Row],[Norm Swipes]]*1)+(tinder[[#This Row],[Norm Conversations]]*2)</f>
        <v>0.19238118595559073</v>
      </c>
      <c r="K69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90">
        <v>24</v>
      </c>
      <c r="M690">
        <v>0</v>
      </c>
      <c r="N690">
        <v>57</v>
      </c>
      <c r="O690">
        <v>134</v>
      </c>
      <c r="P690">
        <v>130</v>
      </c>
      <c r="Q690">
        <f>tinder[[#This Row],[All Swipes]]/MAX(tinder[All Swipes])</f>
        <v>0.10717870539669375</v>
      </c>
      <c r="R690">
        <f>tinder[[#This Row],[Swipe Right (LIKE)]]+tinder[[#This Row],[Swipe Left (PASS)]]</f>
        <v>90975</v>
      </c>
      <c r="S690">
        <v>1274</v>
      </c>
      <c r="T690">
        <v>89701</v>
      </c>
      <c r="U690" t="s">
        <v>75</v>
      </c>
      <c r="V690" s="1">
        <v>43894</v>
      </c>
      <c r="W690" t="s">
        <v>12</v>
      </c>
      <c r="X690" t="s">
        <v>1295</v>
      </c>
      <c r="Y690" t="s">
        <v>8</v>
      </c>
      <c r="Z690">
        <v>23</v>
      </c>
      <c r="AA69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91" spans="1:27" x14ac:dyDescent="0.3">
      <c r="A691" t="s">
        <v>820</v>
      </c>
      <c r="B691">
        <v>1510</v>
      </c>
      <c r="C691">
        <v>198</v>
      </c>
      <c r="D691">
        <f>IFERROR(tinder[[#This Row],[Tinder Opened]]/tinder[[#This Row],[Days on Tinder]],0)</f>
        <v>7.6262626262626263</v>
      </c>
      <c r="E691">
        <f>tinder[[#This Row],[Engagement]]/MAX(tinder[Engagement])</f>
        <v>3.8322927770163953E-2</v>
      </c>
      <c r="F69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91">
        <v>118</v>
      </c>
      <c r="H691">
        <f>IFERROR(tinder[[#This Row],[Conversations]]/tinder[[#This Row],[Tinder Opened]],0)</f>
        <v>7.8145695364238404E-2</v>
      </c>
      <c r="I691">
        <f>tinder[[#This Row],[Conversations]]/MAX(tinder[Conversations])</f>
        <v>9.3339661445973731E-3</v>
      </c>
      <c r="J691">
        <f>(tinder[[#This Row],[Norm Engagement]]*2)+(tinder[[#This Row],[Norm Swipes]]*1)+(tinder[[#This Row],[Norm Conversations]]*2)</f>
        <v>0.11174726693453482</v>
      </c>
      <c r="K69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91">
        <v>39</v>
      </c>
      <c r="M691">
        <v>35</v>
      </c>
      <c r="N691">
        <v>368</v>
      </c>
      <c r="O691">
        <v>268</v>
      </c>
      <c r="P691">
        <v>305</v>
      </c>
      <c r="Q691">
        <f>tinder[[#This Row],[All Swipes]]/MAX(tinder[All Swipes])</f>
        <v>1.643347910501216E-2</v>
      </c>
      <c r="R691">
        <f>tinder[[#This Row],[Swipe Right (LIKE)]]+tinder[[#This Row],[Swipe Left (PASS)]]</f>
        <v>13949</v>
      </c>
      <c r="S691">
        <v>2216</v>
      </c>
      <c r="T691">
        <v>11733</v>
      </c>
      <c r="U691" t="s">
        <v>10</v>
      </c>
      <c r="V691" s="1">
        <v>43618</v>
      </c>
      <c r="W691" t="s">
        <v>12</v>
      </c>
      <c r="X691" t="s">
        <v>1296</v>
      </c>
      <c r="Y691" t="s">
        <v>8</v>
      </c>
      <c r="Z691">
        <v>21</v>
      </c>
      <c r="AA69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92" spans="1:27" x14ac:dyDescent="0.3">
      <c r="A692" t="s">
        <v>904</v>
      </c>
      <c r="B692">
        <v>12275</v>
      </c>
      <c r="C692">
        <v>1612</v>
      </c>
      <c r="D692">
        <f>IFERROR(tinder[[#This Row],[Tinder Opened]]/tinder[[#This Row],[Days on Tinder]],0)</f>
        <v>7.6147642679900747</v>
      </c>
      <c r="E692">
        <f>tinder[[#This Row],[Engagement]]/MAX(tinder[Engagement])</f>
        <v>3.8265147075327008E-2</v>
      </c>
      <c r="F69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92">
        <v>282</v>
      </c>
      <c r="H692">
        <f>IFERROR(tinder[[#This Row],[Conversations]]/tinder[[#This Row],[Tinder Opened]],0)</f>
        <v>2.2973523421588593E-2</v>
      </c>
      <c r="I692">
        <f>tinder[[#This Row],[Conversations]]/MAX(tinder[Conversations])</f>
        <v>2.2306597057427623E-2</v>
      </c>
      <c r="J692">
        <f>(tinder[[#This Row],[Norm Engagement]]*2)+(tinder[[#This Row],[Norm Swipes]]*1)+(tinder[[#This Row],[Norm Conversations]]*2)</f>
        <v>0.42421977334967359</v>
      </c>
      <c r="K69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92">
        <v>48</v>
      </c>
      <c r="M692">
        <v>17</v>
      </c>
      <c r="N692">
        <v>1131</v>
      </c>
      <c r="O692">
        <v>1562</v>
      </c>
      <c r="P692">
        <v>924</v>
      </c>
      <c r="Q692">
        <f>tinder[[#This Row],[All Swipes]]/MAX(tinder[All Swipes])</f>
        <v>0.30307628508416429</v>
      </c>
      <c r="R692">
        <f>tinder[[#This Row],[Swipe Right (LIKE)]]+tinder[[#This Row],[Swipe Left (PASS)]]</f>
        <v>257256</v>
      </c>
      <c r="S692">
        <v>49246</v>
      </c>
      <c r="T692">
        <v>208010</v>
      </c>
      <c r="U692" t="s">
        <v>75</v>
      </c>
      <c r="V692" s="1">
        <v>42583</v>
      </c>
      <c r="W692" t="s">
        <v>7</v>
      </c>
      <c r="X692" t="s">
        <v>1295</v>
      </c>
      <c r="Y692" t="s">
        <v>905</v>
      </c>
      <c r="Z692">
        <v>22</v>
      </c>
      <c r="AA69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93" spans="1:27" x14ac:dyDescent="0.3">
      <c r="A693" t="s">
        <v>1250</v>
      </c>
      <c r="B693">
        <v>1500</v>
      </c>
      <c r="C693">
        <v>197</v>
      </c>
      <c r="D693">
        <f>IFERROR(tinder[[#This Row],[Tinder Opened]]/tinder[[#This Row],[Days on Tinder]],0)</f>
        <v>7.6142131979695433</v>
      </c>
      <c r="E693">
        <f>tinder[[#This Row],[Engagement]]/MAX(tinder[Engagement])</f>
        <v>3.8262377879243935E-2</v>
      </c>
      <c r="F69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93">
        <v>19</v>
      </c>
      <c r="H693">
        <f>IFERROR(tinder[[#This Row],[Conversations]]/tinder[[#This Row],[Tinder Opened]],0)</f>
        <v>1.2666666666666666E-2</v>
      </c>
      <c r="I693">
        <f>tinder[[#This Row],[Conversations]]/MAX(tinder[Conversations])</f>
        <v>1.5029267520961873E-3</v>
      </c>
      <c r="J693">
        <f>(tinder[[#This Row],[Norm Engagement]]*2)+(tinder[[#This Row],[Norm Swipes]]*1)+(tinder[[#This Row],[Norm Conversations]]*2)</f>
        <v>0.10190294908662324</v>
      </c>
      <c r="K69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93">
        <v>6</v>
      </c>
      <c r="M693">
        <v>0</v>
      </c>
      <c r="N693">
        <v>24</v>
      </c>
      <c r="O693">
        <v>112</v>
      </c>
      <c r="P693">
        <v>43</v>
      </c>
      <c r="Q693">
        <f>tinder[[#This Row],[All Swipes]]/MAX(tinder[All Swipes])</f>
        <v>2.2372339823942999E-2</v>
      </c>
      <c r="R693">
        <f>tinder[[#This Row],[Swipe Right (LIKE)]]+tinder[[#This Row],[Swipe Left (PASS)]]</f>
        <v>18990</v>
      </c>
      <c r="S693">
        <v>8136</v>
      </c>
      <c r="T693">
        <v>10854</v>
      </c>
      <c r="U693" t="s">
        <v>8</v>
      </c>
      <c r="V693" s="1">
        <v>43674</v>
      </c>
      <c r="W693" t="s">
        <v>12</v>
      </c>
      <c r="X693" t="s">
        <v>1295</v>
      </c>
      <c r="Y693" t="s">
        <v>8</v>
      </c>
      <c r="Z693">
        <v>20</v>
      </c>
      <c r="AA69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94" spans="1:27" x14ac:dyDescent="0.3">
      <c r="A694" t="s">
        <v>994</v>
      </c>
      <c r="B694">
        <v>2103</v>
      </c>
      <c r="C694">
        <v>277</v>
      </c>
      <c r="D694">
        <f>IFERROR(tinder[[#This Row],[Tinder Opened]]/tinder[[#This Row],[Days on Tinder]],0)</f>
        <v>7.5920577617328524</v>
      </c>
      <c r="E694">
        <f>tinder[[#This Row],[Engagement]]/MAX(tinder[Engagement])</f>
        <v>3.8151044028808305E-2</v>
      </c>
      <c r="F69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94">
        <v>85</v>
      </c>
      <c r="H694">
        <f>IFERROR(tinder[[#This Row],[Conversations]]/tinder[[#This Row],[Tinder Opened]],0)</f>
        <v>4.0418449833571089E-2</v>
      </c>
      <c r="I694">
        <f>tinder[[#This Row],[Conversations]]/MAX(tinder[Conversations])</f>
        <v>6.723619680430312E-3</v>
      </c>
      <c r="J694">
        <f>(tinder[[#This Row],[Norm Engagement]]*2)+(tinder[[#This Row],[Norm Swipes]]*1)+(tinder[[#This Row],[Norm Conversations]]*2)</f>
        <v>0.13618695347642149</v>
      </c>
      <c r="K69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94">
        <v>11</v>
      </c>
      <c r="M694">
        <v>2</v>
      </c>
      <c r="N694">
        <v>176</v>
      </c>
      <c r="O694">
        <v>867</v>
      </c>
      <c r="P694">
        <v>615</v>
      </c>
      <c r="Q694">
        <f>tinder[[#This Row],[All Swipes]]/MAX(tinder[All Swipes])</f>
        <v>4.6437626057944242E-2</v>
      </c>
      <c r="R694">
        <f>tinder[[#This Row],[Swipe Right (LIKE)]]+tinder[[#This Row],[Swipe Left (PASS)]]</f>
        <v>39417</v>
      </c>
      <c r="S694">
        <v>4906</v>
      </c>
      <c r="T694">
        <v>34511</v>
      </c>
      <c r="U694" t="s">
        <v>991</v>
      </c>
      <c r="V694" s="1">
        <v>42920</v>
      </c>
      <c r="W694" t="s">
        <v>12</v>
      </c>
      <c r="X694" t="s">
        <v>1295</v>
      </c>
      <c r="Y694" t="s">
        <v>995</v>
      </c>
      <c r="Z694">
        <v>21</v>
      </c>
      <c r="AA69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95" spans="1:27" x14ac:dyDescent="0.3">
      <c r="A695" t="s">
        <v>950</v>
      </c>
      <c r="B695">
        <v>5828</v>
      </c>
      <c r="C695">
        <v>769</v>
      </c>
      <c r="D695">
        <f>IFERROR(tinder[[#This Row],[Tinder Opened]]/tinder[[#This Row],[Days on Tinder]],0)</f>
        <v>7.5786736020806238</v>
      </c>
      <c r="E695">
        <f>tinder[[#This Row],[Engagement]]/MAX(tinder[Engagement])</f>
        <v>3.8083786945128761E-2</v>
      </c>
      <c r="F69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95">
        <v>385</v>
      </c>
      <c r="H695">
        <f>IFERROR(tinder[[#This Row],[Conversations]]/tinder[[#This Row],[Tinder Opened]],0)</f>
        <v>6.606039807824296E-2</v>
      </c>
      <c r="I695">
        <f>tinder[[#This Row],[Conversations]]/MAX(tinder[Conversations])</f>
        <v>3.0454042081949059E-2</v>
      </c>
      <c r="J695">
        <f>(tinder[[#This Row],[Norm Engagement]]*2)+(tinder[[#This Row],[Norm Swipes]]*1)+(tinder[[#This Row],[Norm Conversations]]*2)</f>
        <v>0.19773073524402954</v>
      </c>
      <c r="K69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95">
        <v>181</v>
      </c>
      <c r="M695">
        <v>4</v>
      </c>
      <c r="N695">
        <v>464</v>
      </c>
      <c r="O695">
        <v>2107</v>
      </c>
      <c r="P695">
        <v>2154</v>
      </c>
      <c r="Q695">
        <f>tinder[[#This Row],[All Swipes]]/MAX(tinder[All Swipes])</f>
        <v>6.0655077189873896E-2</v>
      </c>
      <c r="R695">
        <f>tinder[[#This Row],[Swipe Right (LIKE)]]+tinder[[#This Row],[Swipe Left (PASS)]]</f>
        <v>51485</v>
      </c>
      <c r="S695">
        <v>41095</v>
      </c>
      <c r="T695">
        <v>10390</v>
      </c>
      <c r="U695" t="s">
        <v>238</v>
      </c>
      <c r="V695" s="1">
        <v>42031</v>
      </c>
      <c r="W695" t="s">
        <v>7</v>
      </c>
      <c r="X695" t="s">
        <v>1295</v>
      </c>
      <c r="Y695" t="s">
        <v>8</v>
      </c>
      <c r="Z695">
        <v>19</v>
      </c>
      <c r="AA69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96" spans="1:27" x14ac:dyDescent="0.3">
      <c r="A696" t="s">
        <v>341</v>
      </c>
      <c r="B696">
        <v>6100</v>
      </c>
      <c r="C696">
        <v>805</v>
      </c>
      <c r="D696">
        <f>IFERROR(tinder[[#This Row],[Tinder Opened]]/tinder[[#This Row],[Days on Tinder]],0)</f>
        <v>7.5776397515527947</v>
      </c>
      <c r="E696">
        <f>tinder[[#This Row],[Engagement]]/MAX(tinder[Engagement])</f>
        <v>3.80785917163457E-2</v>
      </c>
      <c r="F69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96">
        <v>99</v>
      </c>
      <c r="H696">
        <f>IFERROR(tinder[[#This Row],[Conversations]]/tinder[[#This Row],[Tinder Opened]],0)</f>
        <v>1.6229508196721313E-2</v>
      </c>
      <c r="I696">
        <f>tinder[[#This Row],[Conversations]]/MAX(tinder[Conversations])</f>
        <v>7.8310393925011858E-3</v>
      </c>
      <c r="J696">
        <f>(tinder[[#This Row],[Norm Engagement]]*2)+(tinder[[#This Row],[Norm Swipes]]*1)+(tinder[[#This Row],[Norm Conversations]]*2)</f>
        <v>0.12802852311758256</v>
      </c>
      <c r="K69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96">
        <v>36</v>
      </c>
      <c r="M696">
        <v>1</v>
      </c>
      <c r="N696">
        <v>216</v>
      </c>
      <c r="O696">
        <v>514</v>
      </c>
      <c r="P696">
        <v>448</v>
      </c>
      <c r="Q696">
        <f>tinder[[#This Row],[All Swipes]]/MAX(tinder[All Swipes])</f>
        <v>3.6209260899888789E-2</v>
      </c>
      <c r="R696">
        <f>tinder[[#This Row],[Swipe Right (LIKE)]]+tinder[[#This Row],[Swipe Left (PASS)]]</f>
        <v>30735</v>
      </c>
      <c r="S696">
        <v>21232</v>
      </c>
      <c r="T696">
        <v>9503</v>
      </c>
      <c r="U696" t="s">
        <v>8</v>
      </c>
      <c r="V696" s="1">
        <v>43005</v>
      </c>
      <c r="W696" t="s">
        <v>7</v>
      </c>
      <c r="X696" t="s">
        <v>1295</v>
      </c>
      <c r="Y696" t="s">
        <v>58</v>
      </c>
      <c r="Z696">
        <v>24</v>
      </c>
      <c r="AA69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97" spans="1:27" x14ac:dyDescent="0.3">
      <c r="A697" t="s">
        <v>1221</v>
      </c>
      <c r="B697">
        <v>4395</v>
      </c>
      <c r="C697">
        <v>580</v>
      </c>
      <c r="D697">
        <f>IFERROR(tinder[[#This Row],[Tinder Opened]]/tinder[[#This Row],[Days on Tinder]],0)</f>
        <v>7.5775862068965516</v>
      </c>
      <c r="E697">
        <f>tinder[[#This Row],[Engagement]]/MAX(tinder[Engagement])</f>
        <v>3.8078322647721367E-2</v>
      </c>
      <c r="F69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97">
        <v>160</v>
      </c>
      <c r="H697">
        <f>IFERROR(tinder[[#This Row],[Conversations]]/tinder[[#This Row],[Tinder Opened]],0)</f>
        <v>3.6405005688282137E-2</v>
      </c>
      <c r="I697">
        <f>tinder[[#This Row],[Conversations]]/MAX(tinder[Conversations])</f>
        <v>1.2656225280809999E-2</v>
      </c>
      <c r="J697">
        <f>(tinder[[#This Row],[Norm Engagement]]*2)+(tinder[[#This Row],[Norm Swipes]]*1)+(tinder[[#This Row],[Norm Conversations]]*2)</f>
        <v>0.15099808682801522</v>
      </c>
      <c r="K69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97">
        <v>38</v>
      </c>
      <c r="M697">
        <v>18</v>
      </c>
      <c r="N697">
        <v>740</v>
      </c>
      <c r="O697">
        <v>2072</v>
      </c>
      <c r="P697">
        <v>2065</v>
      </c>
      <c r="Q697">
        <f>tinder[[#This Row],[All Swipes]]/MAX(tinder[All Swipes])</f>
        <v>4.952899097095248E-2</v>
      </c>
      <c r="R697">
        <f>tinder[[#This Row],[Swipe Right (LIKE)]]+tinder[[#This Row],[Swipe Left (PASS)]]</f>
        <v>42041</v>
      </c>
      <c r="S697">
        <v>13685</v>
      </c>
      <c r="T697">
        <v>28356</v>
      </c>
      <c r="U697" t="s">
        <v>8</v>
      </c>
      <c r="V697" s="1">
        <v>42964</v>
      </c>
      <c r="W697" t="s">
        <v>7</v>
      </c>
      <c r="X697" t="s">
        <v>1295</v>
      </c>
      <c r="Y697" t="s">
        <v>1222</v>
      </c>
      <c r="Z697">
        <v>22</v>
      </c>
      <c r="AA69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698" spans="1:27" x14ac:dyDescent="0.3">
      <c r="A698" t="s">
        <v>624</v>
      </c>
      <c r="B698">
        <v>1809</v>
      </c>
      <c r="C698">
        <v>239</v>
      </c>
      <c r="D698">
        <f>IFERROR(tinder[[#This Row],[Tinder Opened]]/tinder[[#This Row],[Days on Tinder]],0)</f>
        <v>7.5690376569037658</v>
      </c>
      <c r="E698">
        <f>tinder[[#This Row],[Engagement]]/MAX(tinder[Engagement])</f>
        <v>3.8035365110069178E-2</v>
      </c>
      <c r="F69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98">
        <v>98</v>
      </c>
      <c r="H698">
        <f>IFERROR(tinder[[#This Row],[Conversations]]/tinder[[#This Row],[Tinder Opened]],0)</f>
        <v>5.4173576561636266E-2</v>
      </c>
      <c r="I698">
        <f>tinder[[#This Row],[Conversations]]/MAX(tinder[Conversations])</f>
        <v>7.7519379844961239E-3</v>
      </c>
      <c r="J698">
        <f>(tinder[[#This Row],[Norm Engagement]]*2)+(tinder[[#This Row],[Norm Swipes]]*1)+(tinder[[#This Row],[Norm Conversations]]*2)</f>
        <v>0.11327070993835305</v>
      </c>
      <c r="K69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698">
        <v>18</v>
      </c>
      <c r="M698">
        <v>1</v>
      </c>
      <c r="N698">
        <v>255</v>
      </c>
      <c r="O698">
        <v>1476</v>
      </c>
      <c r="P698">
        <v>1427</v>
      </c>
      <c r="Q698">
        <f>tinder[[#This Row],[All Swipes]]/MAX(tinder[All Swipes])</f>
        <v>2.1696103749222446E-2</v>
      </c>
      <c r="R698">
        <f>tinder[[#This Row],[Swipe Right (LIKE)]]+tinder[[#This Row],[Swipe Left (PASS)]]</f>
        <v>18416</v>
      </c>
      <c r="S698">
        <v>4675</v>
      </c>
      <c r="T698">
        <v>13741</v>
      </c>
      <c r="U698" t="s">
        <v>238</v>
      </c>
      <c r="V698" s="1">
        <v>43944</v>
      </c>
      <c r="W698" t="s">
        <v>12</v>
      </c>
      <c r="X698" t="s">
        <v>1295</v>
      </c>
      <c r="Y698" t="s">
        <v>8</v>
      </c>
      <c r="Z698">
        <v>18</v>
      </c>
      <c r="AA69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699" spans="1:27" x14ac:dyDescent="0.3">
      <c r="A699" t="s">
        <v>51</v>
      </c>
      <c r="B699">
        <v>9719</v>
      </c>
      <c r="C699">
        <v>1286</v>
      </c>
      <c r="D699">
        <f>IFERROR(tinder[[#This Row],[Tinder Opened]]/tinder[[#This Row],[Days on Tinder]],0)</f>
        <v>7.5575427682737173</v>
      </c>
      <c r="E699">
        <f>tinder[[#This Row],[Engagement]]/MAX(tinder[Engagement])</f>
        <v>3.7977601850621698E-2</v>
      </c>
      <c r="F69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699">
        <v>1275</v>
      </c>
      <c r="H699">
        <f>IFERROR(tinder[[#This Row],[Conversations]]/tinder[[#This Row],[Tinder Opened]],0)</f>
        <v>0.13118633604280275</v>
      </c>
      <c r="I699">
        <f>tinder[[#This Row],[Conversations]]/MAX(tinder[Conversations])</f>
        <v>0.10085429520645467</v>
      </c>
      <c r="J699">
        <f>(tinder[[#This Row],[Norm Engagement]]*2)+(tinder[[#This Row],[Norm Swipes]]*1)+(tinder[[#This Row],[Norm Conversations]]*2)</f>
        <v>0.38454090293396764</v>
      </c>
      <c r="K69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699">
        <v>138</v>
      </c>
      <c r="M699">
        <v>66</v>
      </c>
      <c r="N699">
        <v>2650</v>
      </c>
      <c r="O699">
        <v>25761</v>
      </c>
      <c r="P699">
        <v>16256</v>
      </c>
      <c r="Q699">
        <f>tinder[[#This Row],[All Swipes]]/MAX(tinder[All Swipes])</f>
        <v>0.10687710881981489</v>
      </c>
      <c r="R699">
        <f>tinder[[#This Row],[Swipe Right (LIKE)]]+tinder[[#This Row],[Swipe Left (PASS)]]</f>
        <v>90719</v>
      </c>
      <c r="S699">
        <v>41721</v>
      </c>
      <c r="T699">
        <v>48998</v>
      </c>
      <c r="U699" t="s">
        <v>8</v>
      </c>
      <c r="V699" s="1">
        <v>42585</v>
      </c>
      <c r="W699" t="s">
        <v>7</v>
      </c>
      <c r="X699" t="s">
        <v>1295</v>
      </c>
      <c r="Y699" t="s">
        <v>52</v>
      </c>
      <c r="Z699">
        <v>33</v>
      </c>
      <c r="AA699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00" spans="1:27" x14ac:dyDescent="0.3">
      <c r="A700" t="s">
        <v>219</v>
      </c>
      <c r="B700">
        <v>2519</v>
      </c>
      <c r="C700">
        <v>334</v>
      </c>
      <c r="D700">
        <f>IFERROR(tinder[[#This Row],[Tinder Opened]]/tinder[[#This Row],[Days on Tinder]],0)</f>
        <v>7.5419161676646711</v>
      </c>
      <c r="E700">
        <f>tinder[[#This Row],[Engagement]]/MAX(tinder[Engagement])</f>
        <v>3.7899076219420458E-2</v>
      </c>
      <c r="F70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00">
        <v>121</v>
      </c>
      <c r="H700">
        <f>IFERROR(tinder[[#This Row],[Conversations]]/tinder[[#This Row],[Tinder Opened]],0)</f>
        <v>4.8034934497816595E-2</v>
      </c>
      <c r="I700">
        <f>tinder[[#This Row],[Conversations]]/MAX(tinder[Conversations])</f>
        <v>9.5712703686125621E-3</v>
      </c>
      <c r="J700">
        <f>(tinder[[#This Row],[Norm Engagement]]*2)+(tinder[[#This Row],[Norm Swipes]]*1)+(tinder[[#This Row],[Norm Conversations]]*2)</f>
        <v>0.10539525576678063</v>
      </c>
      <c r="K70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00">
        <v>21</v>
      </c>
      <c r="M700">
        <v>43</v>
      </c>
      <c r="N700">
        <v>355</v>
      </c>
      <c r="O700">
        <v>1066</v>
      </c>
      <c r="P700">
        <v>1387</v>
      </c>
      <c r="Q700">
        <f>tinder[[#This Row],[All Swipes]]/MAX(tinder[All Swipes])</f>
        <v>1.0454562590714596E-2</v>
      </c>
      <c r="R700">
        <f>tinder[[#This Row],[Swipe Right (LIKE)]]+tinder[[#This Row],[Swipe Left (PASS)]]</f>
        <v>8874</v>
      </c>
      <c r="S700">
        <v>645</v>
      </c>
      <c r="T700">
        <v>8229</v>
      </c>
      <c r="U700" t="s">
        <v>8</v>
      </c>
      <c r="V700" s="1">
        <v>43004</v>
      </c>
      <c r="W700" t="s">
        <v>7</v>
      </c>
      <c r="X700" t="s">
        <v>1296</v>
      </c>
      <c r="Y700" t="s">
        <v>19</v>
      </c>
      <c r="Z700">
        <v>22</v>
      </c>
      <c r="AA70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01" spans="1:27" x14ac:dyDescent="0.3">
      <c r="A701" t="s">
        <v>840</v>
      </c>
      <c r="B701">
        <v>3987</v>
      </c>
      <c r="C701">
        <v>529</v>
      </c>
      <c r="D701">
        <f>IFERROR(tinder[[#This Row],[Tinder Opened]]/tinder[[#This Row],[Days on Tinder]],0)</f>
        <v>7.5368620037807181</v>
      </c>
      <c r="E701">
        <f>tinder[[#This Row],[Engagement]]/MAX(tinder[Engagement])</f>
        <v>3.7873678410958379E-2</v>
      </c>
      <c r="F70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01">
        <v>17</v>
      </c>
      <c r="H701">
        <f>IFERROR(tinder[[#This Row],[Conversations]]/tinder[[#This Row],[Tinder Opened]],0)</f>
        <v>4.2638575369952341E-3</v>
      </c>
      <c r="I701">
        <f>tinder[[#This Row],[Conversations]]/MAX(tinder[Conversations])</f>
        <v>1.3447239360860623E-3</v>
      </c>
      <c r="J701">
        <f>(tinder[[#This Row],[Norm Engagement]]*2)+(tinder[[#This Row],[Norm Swipes]]*1)+(tinder[[#This Row],[Norm Conversations]]*2)</f>
        <v>0.17330895602017132</v>
      </c>
      <c r="K70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01">
        <v>7</v>
      </c>
      <c r="M701">
        <v>2</v>
      </c>
      <c r="N701">
        <v>67</v>
      </c>
      <c r="O701">
        <v>64</v>
      </c>
      <c r="P701">
        <v>74</v>
      </c>
      <c r="Q701">
        <f>tinder[[#This Row],[All Swipes]]/MAX(tinder[All Swipes])</f>
        <v>9.4872151326082454E-2</v>
      </c>
      <c r="R701">
        <f>tinder[[#This Row],[Swipe Right (LIKE)]]+tinder[[#This Row],[Swipe Left (PASS)]]</f>
        <v>80529</v>
      </c>
      <c r="S701">
        <v>2959</v>
      </c>
      <c r="T701">
        <v>77570</v>
      </c>
      <c r="U701" t="s">
        <v>10</v>
      </c>
      <c r="V701" s="1">
        <v>43635</v>
      </c>
      <c r="W701" t="s">
        <v>12</v>
      </c>
      <c r="X701" t="s">
        <v>1295</v>
      </c>
      <c r="Y701" t="s">
        <v>841</v>
      </c>
      <c r="Z701">
        <v>24</v>
      </c>
      <c r="AA70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02" spans="1:27" x14ac:dyDescent="0.3">
      <c r="A702" t="s">
        <v>1180</v>
      </c>
      <c r="B702">
        <v>11525</v>
      </c>
      <c r="C702">
        <v>1532</v>
      </c>
      <c r="D702">
        <f>IFERROR(tinder[[#This Row],[Tinder Opened]]/tinder[[#This Row],[Days on Tinder]],0)</f>
        <v>7.5228459530026113</v>
      </c>
      <c r="E702">
        <f>tinder[[#This Row],[Engagement]]/MAX(tinder[Engagement])</f>
        <v>3.7803245994987994E-2</v>
      </c>
      <c r="F70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02">
        <v>195</v>
      </c>
      <c r="H702">
        <f>IFERROR(tinder[[#This Row],[Conversations]]/tinder[[#This Row],[Tinder Opened]],0)</f>
        <v>1.6919739696312365E-2</v>
      </c>
      <c r="I702">
        <f>tinder[[#This Row],[Conversations]]/MAX(tinder[Conversations])</f>
        <v>1.5424774560987186E-2</v>
      </c>
      <c r="J702">
        <f>(tinder[[#This Row],[Norm Engagement]]*2)+(tinder[[#This Row],[Norm Swipes]]*1)+(tinder[[#This Row],[Norm Conversations]]*2)</f>
        <v>0.2386330971523643</v>
      </c>
      <c r="K70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02">
        <v>33</v>
      </c>
      <c r="M702">
        <v>25</v>
      </c>
      <c r="N702">
        <v>677</v>
      </c>
      <c r="O702">
        <v>3125</v>
      </c>
      <c r="P702">
        <v>2858</v>
      </c>
      <c r="Q702">
        <f>tinder[[#This Row],[All Swipes]]/MAX(tinder[All Swipes])</f>
        <v>0.13217705604041394</v>
      </c>
      <c r="R702">
        <f>tinder[[#This Row],[Swipe Right (LIKE)]]+tinder[[#This Row],[Swipe Left (PASS)]]</f>
        <v>112194</v>
      </c>
      <c r="S702">
        <v>57720</v>
      </c>
      <c r="T702">
        <v>54474</v>
      </c>
      <c r="U702" t="s">
        <v>10</v>
      </c>
      <c r="V702" s="1">
        <v>41626</v>
      </c>
      <c r="W702" t="s">
        <v>7</v>
      </c>
      <c r="X702" t="s">
        <v>1295</v>
      </c>
      <c r="Y702" t="s">
        <v>1181</v>
      </c>
      <c r="Z702">
        <v>20</v>
      </c>
      <c r="AA70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03" spans="1:27" x14ac:dyDescent="0.3">
      <c r="A703" t="s">
        <v>317</v>
      </c>
      <c r="B703">
        <v>754</v>
      </c>
      <c r="C703">
        <v>101</v>
      </c>
      <c r="D703">
        <f>IFERROR(tinder[[#This Row],[Tinder Opened]]/tinder[[#This Row],[Days on Tinder]],0)</f>
        <v>7.4653465346534658</v>
      </c>
      <c r="E703">
        <f>tinder[[#This Row],[Engagement]]/MAX(tinder[Engagement])</f>
        <v>3.7514304194238519E-2</v>
      </c>
      <c r="F70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03">
        <v>2</v>
      </c>
      <c r="H703">
        <f>IFERROR(tinder[[#This Row],[Conversations]]/tinder[[#This Row],[Tinder Opened]],0)</f>
        <v>2.6525198938992041E-3</v>
      </c>
      <c r="I703">
        <f>tinder[[#This Row],[Conversations]]/MAX(tinder[Conversations])</f>
        <v>1.5820281601012498E-4</v>
      </c>
      <c r="J703">
        <f>(tinder[[#This Row],[Norm Engagement]]*2)+(tinder[[#This Row],[Norm Swipes]]*1)+(tinder[[#This Row],[Norm Conversations]]*2)</f>
        <v>7.7152237258513529E-2</v>
      </c>
      <c r="K70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03">
        <v>0</v>
      </c>
      <c r="M703">
        <v>0</v>
      </c>
      <c r="N703">
        <v>2</v>
      </c>
      <c r="O703">
        <v>922</v>
      </c>
      <c r="P703">
        <v>899</v>
      </c>
      <c r="Q703">
        <f>tinder[[#This Row],[All Swipes]]/MAX(tinder[All Swipes])</f>
        <v>1.8072232380162486E-3</v>
      </c>
      <c r="R703">
        <f>tinder[[#This Row],[Swipe Right (LIKE)]]+tinder[[#This Row],[Swipe Left (PASS)]]</f>
        <v>1534</v>
      </c>
      <c r="S703">
        <v>669</v>
      </c>
      <c r="T703">
        <v>865</v>
      </c>
      <c r="U703" t="s">
        <v>8</v>
      </c>
      <c r="V703" s="1">
        <v>44081</v>
      </c>
      <c r="W703" t="s">
        <v>12</v>
      </c>
      <c r="X703" t="s">
        <v>1295</v>
      </c>
      <c r="Y703" t="s">
        <v>8</v>
      </c>
      <c r="Z703">
        <v>28</v>
      </c>
      <c r="AA70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04" spans="1:27" x14ac:dyDescent="0.3">
      <c r="A704" t="s">
        <v>269</v>
      </c>
      <c r="B704">
        <v>2924</v>
      </c>
      <c r="C704">
        <v>393</v>
      </c>
      <c r="D704">
        <f>IFERROR(tinder[[#This Row],[Tinder Opened]]/tinder[[#This Row],[Days on Tinder]],0)</f>
        <v>7.440203562340967</v>
      </c>
      <c r="E704">
        <f>tinder[[#This Row],[Engagement]]/MAX(tinder[Engagement])</f>
        <v>3.7387957599703349E-2</v>
      </c>
      <c r="F70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04">
        <v>14</v>
      </c>
      <c r="H704">
        <f>IFERROR(tinder[[#This Row],[Conversations]]/tinder[[#This Row],[Tinder Opened]],0)</f>
        <v>4.7879616963064295E-3</v>
      </c>
      <c r="I704">
        <f>tinder[[#This Row],[Conversations]]/MAX(tinder[Conversations])</f>
        <v>1.1074197120708748E-3</v>
      </c>
      <c r="J704">
        <f>(tinder[[#This Row],[Norm Engagement]]*2)+(tinder[[#This Row],[Norm Swipes]]*1)+(tinder[[#This Row],[Norm Conversations]]*2)</f>
        <v>9.340184960762038E-2</v>
      </c>
      <c r="K70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04">
        <v>1</v>
      </c>
      <c r="M704">
        <v>5</v>
      </c>
      <c r="N704">
        <v>97</v>
      </c>
      <c r="O704">
        <v>249</v>
      </c>
      <c r="P704">
        <v>234</v>
      </c>
      <c r="Q704">
        <f>tinder[[#This Row],[All Swipes]]/MAX(tinder[All Swipes])</f>
        <v>1.6411094984071929E-2</v>
      </c>
      <c r="R704">
        <f>tinder[[#This Row],[Swipe Right (LIKE)]]+tinder[[#This Row],[Swipe Left (PASS)]]</f>
        <v>13930</v>
      </c>
      <c r="S704">
        <v>7291</v>
      </c>
      <c r="T704">
        <v>6639</v>
      </c>
      <c r="U704" t="s">
        <v>270</v>
      </c>
      <c r="V704" s="1">
        <v>43640</v>
      </c>
      <c r="W704" t="s">
        <v>12</v>
      </c>
      <c r="X704" t="s">
        <v>1295</v>
      </c>
      <c r="Y704" t="s">
        <v>271</v>
      </c>
      <c r="Z704">
        <v>23</v>
      </c>
      <c r="AA70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05" spans="1:27" x14ac:dyDescent="0.3">
      <c r="A705" t="s">
        <v>1069</v>
      </c>
      <c r="B705">
        <v>2683</v>
      </c>
      <c r="C705">
        <v>361</v>
      </c>
      <c r="D705">
        <f>IFERROR(tinder[[#This Row],[Tinder Opened]]/tinder[[#This Row],[Days on Tinder]],0)</f>
        <v>7.43213296398892</v>
      </c>
      <c r="E705">
        <f>tinder[[#This Row],[Engagement]]/MAX(tinder[Engagement])</f>
        <v>3.7347401829090049E-2</v>
      </c>
      <c r="F70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05">
        <v>35</v>
      </c>
      <c r="H705">
        <f>IFERROR(tinder[[#This Row],[Conversations]]/tinder[[#This Row],[Tinder Opened]],0)</f>
        <v>1.3045098770033545E-2</v>
      </c>
      <c r="I705">
        <f>tinder[[#This Row],[Conversations]]/MAX(tinder[Conversations])</f>
        <v>2.7685492801771874E-3</v>
      </c>
      <c r="J705">
        <f>(tinder[[#This Row],[Norm Engagement]]*2)+(tinder[[#This Row],[Norm Swipes]]*1)+(tinder[[#This Row],[Norm Conversations]]*2)</f>
        <v>8.2936846517416687E-2</v>
      </c>
      <c r="K70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05">
        <v>7</v>
      </c>
      <c r="M705">
        <v>0</v>
      </c>
      <c r="N705">
        <v>40</v>
      </c>
      <c r="O705">
        <v>1094</v>
      </c>
      <c r="P705">
        <v>1023</v>
      </c>
      <c r="Q705">
        <f>tinder[[#This Row],[All Swipes]]/MAX(tinder[All Swipes])</f>
        <v>2.7049442988822075E-3</v>
      </c>
      <c r="R705">
        <f>tinder[[#This Row],[Swipe Right (LIKE)]]+tinder[[#This Row],[Swipe Left (PASS)]]</f>
        <v>2296</v>
      </c>
      <c r="S705">
        <v>439</v>
      </c>
      <c r="T705">
        <v>1857</v>
      </c>
      <c r="U705" t="s">
        <v>8</v>
      </c>
      <c r="V705" s="1">
        <v>43418</v>
      </c>
      <c r="W705" t="s">
        <v>12</v>
      </c>
      <c r="X705" t="s">
        <v>1295</v>
      </c>
      <c r="Y705" t="s">
        <v>8</v>
      </c>
      <c r="Z705">
        <v>23</v>
      </c>
      <c r="AA70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06" spans="1:27" x14ac:dyDescent="0.3">
      <c r="A706" t="s">
        <v>384</v>
      </c>
      <c r="B706">
        <v>13305</v>
      </c>
      <c r="C706">
        <v>1792</v>
      </c>
      <c r="D706">
        <f>IFERROR(tinder[[#This Row],[Tinder Opened]]/tinder[[#This Row],[Days on Tinder]],0)</f>
        <v>7.4246651785714288</v>
      </c>
      <c r="E706">
        <f>tinder[[#This Row],[Engagement]]/MAX(tinder[Engagement])</f>
        <v>3.7309875269203159E-2</v>
      </c>
      <c r="F70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06">
        <v>508</v>
      </c>
      <c r="H706">
        <f>IFERROR(tinder[[#This Row],[Conversations]]/tinder[[#This Row],[Tinder Opened]],0)</f>
        <v>3.8181134911687335E-2</v>
      </c>
      <c r="I706">
        <f>tinder[[#This Row],[Conversations]]/MAX(tinder[Conversations])</f>
        <v>4.0183515266571747E-2</v>
      </c>
      <c r="J706">
        <f>(tinder[[#This Row],[Norm Engagement]]*2)+(tinder[[#This Row],[Norm Swipes]]*1)+(tinder[[#This Row],[Norm Conversations]]*2)</f>
        <v>0.3757378036724433</v>
      </c>
      <c r="K70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06">
        <v>138</v>
      </c>
      <c r="M706">
        <v>55</v>
      </c>
      <c r="N706">
        <v>1210</v>
      </c>
      <c r="O706">
        <v>1650</v>
      </c>
      <c r="P706">
        <v>1719</v>
      </c>
      <c r="Q706">
        <f>tinder[[#This Row],[All Swipes]]/MAX(tinder[All Swipes])</f>
        <v>0.22075102260089349</v>
      </c>
      <c r="R706">
        <f>tinder[[#This Row],[Swipe Right (LIKE)]]+tinder[[#This Row],[Swipe Left (PASS)]]</f>
        <v>187377</v>
      </c>
      <c r="S706">
        <v>7973</v>
      </c>
      <c r="T706">
        <v>179404</v>
      </c>
      <c r="U706" t="s">
        <v>8</v>
      </c>
      <c r="V706" s="1">
        <v>41754</v>
      </c>
      <c r="W706" t="s">
        <v>7</v>
      </c>
      <c r="X706" t="s">
        <v>1295</v>
      </c>
      <c r="Y706" t="s">
        <v>291</v>
      </c>
      <c r="Z706">
        <v>33</v>
      </c>
      <c r="AA706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07" spans="1:27" x14ac:dyDescent="0.3">
      <c r="A707" t="s">
        <v>674</v>
      </c>
      <c r="B707">
        <v>1826</v>
      </c>
      <c r="C707">
        <v>246</v>
      </c>
      <c r="D707">
        <f>IFERROR(tinder[[#This Row],[Tinder Opened]]/tinder[[#This Row],[Days on Tinder]],0)</f>
        <v>7.4227642276422765</v>
      </c>
      <c r="E707">
        <f>tinder[[#This Row],[Engagement]]/MAX(tinder[Engagement])</f>
        <v>3.7300322751971239E-2</v>
      </c>
      <c r="F70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07">
        <v>129</v>
      </c>
      <c r="H707">
        <f>IFERROR(tinder[[#This Row],[Conversations]]/tinder[[#This Row],[Tinder Opened]],0)</f>
        <v>7.0646221248630889E-2</v>
      </c>
      <c r="I707">
        <f>tinder[[#This Row],[Conversations]]/MAX(tinder[Conversations])</f>
        <v>1.020408163265306E-2</v>
      </c>
      <c r="J707">
        <f>(tinder[[#This Row],[Norm Engagement]]*2)+(tinder[[#This Row],[Norm Swipes]]*1)+(tinder[[#This Row],[Norm Conversations]]*2)</f>
        <v>0.11721150051869723</v>
      </c>
      <c r="K70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07">
        <v>32</v>
      </c>
      <c r="M707">
        <v>2</v>
      </c>
      <c r="N707">
        <v>266</v>
      </c>
      <c r="O707">
        <v>1617</v>
      </c>
      <c r="P707">
        <v>1546</v>
      </c>
      <c r="Q707">
        <f>tinder[[#This Row],[All Swipes]]/MAX(tinder[All Swipes])</f>
        <v>2.2202691749448642E-2</v>
      </c>
      <c r="R707">
        <f>tinder[[#This Row],[Swipe Right (LIKE)]]+tinder[[#This Row],[Swipe Left (PASS)]]</f>
        <v>18846</v>
      </c>
      <c r="S707">
        <v>4907</v>
      </c>
      <c r="T707">
        <v>13939</v>
      </c>
      <c r="U707" t="s">
        <v>238</v>
      </c>
      <c r="V707" s="1">
        <v>43944</v>
      </c>
      <c r="W707" t="s">
        <v>12</v>
      </c>
      <c r="X707" t="s">
        <v>1295</v>
      </c>
      <c r="Y707" t="s">
        <v>675</v>
      </c>
      <c r="Z707">
        <v>18</v>
      </c>
      <c r="AA70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08" spans="1:27" x14ac:dyDescent="0.3">
      <c r="A708" t="s">
        <v>648</v>
      </c>
      <c r="B708">
        <v>5929</v>
      </c>
      <c r="C708">
        <v>800</v>
      </c>
      <c r="D708">
        <f>IFERROR(tinder[[#This Row],[Tinder Opened]]/tinder[[#This Row],[Days on Tinder]],0)</f>
        <v>7.4112499999999999</v>
      </c>
      <c r="E708">
        <f>tinder[[#This Row],[Engagement]]/MAX(tinder[Engagement])</f>
        <v>3.724246231155779E-2</v>
      </c>
      <c r="F70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08">
        <v>538</v>
      </c>
      <c r="H708">
        <f>IFERROR(tinder[[#This Row],[Conversations]]/tinder[[#This Row],[Tinder Opened]],0)</f>
        <v>9.0740428402766068E-2</v>
      </c>
      <c r="I708">
        <f>tinder[[#This Row],[Conversations]]/MAX(tinder[Conversations])</f>
        <v>4.2556557506723616E-2</v>
      </c>
      <c r="J708">
        <f>(tinder[[#This Row],[Norm Engagement]]*2)+(tinder[[#This Row],[Norm Swipes]]*1)+(tinder[[#This Row],[Norm Conversations]]*2)</f>
        <v>0.18941015439406031</v>
      </c>
      <c r="K70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08">
        <v>97</v>
      </c>
      <c r="M708">
        <v>144</v>
      </c>
      <c r="N708">
        <v>1764</v>
      </c>
      <c r="O708">
        <v>2732</v>
      </c>
      <c r="P708">
        <v>2887</v>
      </c>
      <c r="Q708">
        <f>tinder[[#This Row],[All Swipes]]/MAX(tinder[All Swipes])</f>
        <v>2.9812114757497503E-2</v>
      </c>
      <c r="R708">
        <f>tinder[[#This Row],[Swipe Right (LIKE)]]+tinder[[#This Row],[Swipe Left (PASS)]]</f>
        <v>25305</v>
      </c>
      <c r="S708">
        <v>4708</v>
      </c>
      <c r="T708">
        <v>20597</v>
      </c>
      <c r="U708" t="s">
        <v>8</v>
      </c>
      <c r="V708" s="1">
        <v>41947</v>
      </c>
      <c r="W708" t="s">
        <v>12</v>
      </c>
      <c r="X708" t="s">
        <v>1295</v>
      </c>
      <c r="Y708" t="s">
        <v>649</v>
      </c>
      <c r="Z708">
        <v>15</v>
      </c>
      <c r="AA70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09" spans="1:27" x14ac:dyDescent="0.3">
      <c r="A709" t="s">
        <v>831</v>
      </c>
      <c r="B709">
        <v>5724</v>
      </c>
      <c r="C709">
        <v>774</v>
      </c>
      <c r="D709">
        <f>IFERROR(tinder[[#This Row],[Tinder Opened]]/tinder[[#This Row],[Days on Tinder]],0)</f>
        <v>7.3953488372093021</v>
      </c>
      <c r="E709">
        <f>tinder[[#This Row],[Engagement]]/MAX(tinder[Engagement])</f>
        <v>3.7162556970901019E-2</v>
      </c>
      <c r="F70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09">
        <v>33</v>
      </c>
      <c r="H709">
        <f>IFERROR(tinder[[#This Row],[Conversations]]/tinder[[#This Row],[Tinder Opened]],0)</f>
        <v>5.7651991614255764E-3</v>
      </c>
      <c r="I709">
        <f>tinder[[#This Row],[Conversations]]/MAX(tinder[Conversations])</f>
        <v>2.6103464641670624E-3</v>
      </c>
      <c r="J709">
        <f>(tinder[[#This Row],[Norm Engagement]]*2)+(tinder[[#This Row],[Norm Swipes]]*1)+(tinder[[#This Row],[Norm Conversations]]*2)</f>
        <v>0.19280003393465897</v>
      </c>
      <c r="K70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09">
        <v>16</v>
      </c>
      <c r="M709">
        <v>0</v>
      </c>
      <c r="N709">
        <v>55</v>
      </c>
      <c r="O709">
        <v>87</v>
      </c>
      <c r="P709">
        <v>71</v>
      </c>
      <c r="Q709">
        <f>tinder[[#This Row],[All Swipes]]/MAX(tinder[All Swipes])</f>
        <v>0.11325422706452282</v>
      </c>
      <c r="R709">
        <f>tinder[[#This Row],[Swipe Right (LIKE)]]+tinder[[#This Row],[Swipe Left (PASS)]]</f>
        <v>96132</v>
      </c>
      <c r="S709">
        <v>1969</v>
      </c>
      <c r="T709">
        <v>94163</v>
      </c>
      <c r="U709" t="s">
        <v>61</v>
      </c>
      <c r="V709" s="1">
        <v>43449</v>
      </c>
      <c r="W709" t="s">
        <v>12</v>
      </c>
      <c r="X709" t="s">
        <v>1295</v>
      </c>
      <c r="Y709" t="s">
        <v>8</v>
      </c>
      <c r="Z709">
        <v>23</v>
      </c>
      <c r="AA70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10" spans="1:27" x14ac:dyDescent="0.3">
      <c r="A710" t="s">
        <v>767</v>
      </c>
      <c r="B710">
        <v>214</v>
      </c>
      <c r="C710">
        <v>29</v>
      </c>
      <c r="D710">
        <f>IFERROR(tinder[[#This Row],[Tinder Opened]]/tinder[[#This Row],[Days on Tinder]],0)</f>
        <v>7.3793103448275863</v>
      </c>
      <c r="E710">
        <f>tinder[[#This Row],[Engagement]]/MAX(tinder[Engagement])</f>
        <v>3.7081961531796916E-2</v>
      </c>
      <c r="F71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10">
        <v>8</v>
      </c>
      <c r="H710">
        <f>IFERROR(tinder[[#This Row],[Conversations]]/tinder[[#This Row],[Tinder Opened]],0)</f>
        <v>3.7383177570093455E-2</v>
      </c>
      <c r="I710">
        <f>tinder[[#This Row],[Conversations]]/MAX(tinder[Conversations])</f>
        <v>6.3281126404049991E-4</v>
      </c>
      <c r="J710">
        <f>(tinder[[#This Row],[Norm Engagement]]*2)+(tinder[[#This Row],[Norm Swipes]]*1)+(tinder[[#This Row],[Norm Conversations]]*2)</f>
        <v>7.9506989937681502E-2</v>
      </c>
      <c r="K71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10">
        <v>3</v>
      </c>
      <c r="M710">
        <v>0</v>
      </c>
      <c r="N710">
        <v>2</v>
      </c>
      <c r="O710">
        <v>22</v>
      </c>
      <c r="P710">
        <v>16</v>
      </c>
      <c r="Q710">
        <f>tinder[[#This Row],[All Swipes]]/MAX(tinder[All Swipes])</f>
        <v>4.0774443460066725E-3</v>
      </c>
      <c r="R710">
        <f>tinder[[#This Row],[Swipe Right (LIKE)]]+tinder[[#This Row],[Swipe Left (PASS)]]</f>
        <v>3461</v>
      </c>
      <c r="S710">
        <v>770</v>
      </c>
      <c r="T710">
        <v>2691</v>
      </c>
      <c r="U710" t="s">
        <v>10</v>
      </c>
      <c r="V710" s="1">
        <v>44255</v>
      </c>
      <c r="W710" t="s">
        <v>12</v>
      </c>
      <c r="X710" t="s">
        <v>1295</v>
      </c>
      <c r="Y710" t="s">
        <v>768</v>
      </c>
      <c r="Z710">
        <v>27</v>
      </c>
      <c r="AA71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11" spans="1:27" x14ac:dyDescent="0.3">
      <c r="A711" t="s">
        <v>829</v>
      </c>
      <c r="B711">
        <v>10805</v>
      </c>
      <c r="C711">
        <v>1466</v>
      </c>
      <c r="D711">
        <f>IFERROR(tinder[[#This Row],[Tinder Opened]]/tinder[[#This Row],[Days on Tinder]],0)</f>
        <v>7.3703956343792632</v>
      </c>
      <c r="E711">
        <f>tinder[[#This Row],[Engagement]]/MAX(tinder[Engagement])</f>
        <v>3.7037163991855596E-2</v>
      </c>
      <c r="F71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11">
        <v>369</v>
      </c>
      <c r="H711">
        <f>IFERROR(tinder[[#This Row],[Conversations]]/tinder[[#This Row],[Tinder Opened]],0)</f>
        <v>3.4150856085145766E-2</v>
      </c>
      <c r="I711">
        <f>tinder[[#This Row],[Conversations]]/MAX(tinder[Conversations])</f>
        <v>2.9188419553868059E-2</v>
      </c>
      <c r="J711">
        <f>(tinder[[#This Row],[Norm Engagement]]*2)+(tinder[[#This Row],[Norm Swipes]]*1)+(tinder[[#This Row],[Norm Conversations]]*2)</f>
        <v>0.50595143098845208</v>
      </c>
      <c r="K71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11">
        <v>196</v>
      </c>
      <c r="M711">
        <v>1</v>
      </c>
      <c r="N711">
        <v>468</v>
      </c>
      <c r="O711">
        <v>2869</v>
      </c>
      <c r="P711">
        <v>2974</v>
      </c>
      <c r="Q711">
        <f>tinder[[#This Row],[All Swipes]]/MAX(tinder[All Swipes])</f>
        <v>0.37350026389700475</v>
      </c>
      <c r="R711">
        <f>tinder[[#This Row],[Swipe Right (LIKE)]]+tinder[[#This Row],[Swipe Left (PASS)]]</f>
        <v>317033</v>
      </c>
      <c r="S711">
        <v>117835</v>
      </c>
      <c r="T711">
        <v>199198</v>
      </c>
      <c r="U711" t="s">
        <v>8</v>
      </c>
      <c r="V711" s="1">
        <v>42624</v>
      </c>
      <c r="W711" t="s">
        <v>7</v>
      </c>
      <c r="X711" t="s">
        <v>1295</v>
      </c>
      <c r="Y711" t="s">
        <v>8</v>
      </c>
      <c r="Z711">
        <v>18</v>
      </c>
      <c r="AA71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12" spans="1:27" x14ac:dyDescent="0.3">
      <c r="A712" t="s">
        <v>128</v>
      </c>
      <c r="B712">
        <v>1827</v>
      </c>
      <c r="C712">
        <v>248</v>
      </c>
      <c r="D712">
        <f>IFERROR(tinder[[#This Row],[Tinder Opened]]/tinder[[#This Row],[Days on Tinder]],0)</f>
        <v>7.366935483870968</v>
      </c>
      <c r="E712">
        <f>tinder[[#This Row],[Engagement]]/MAX(tinder[Engagement])</f>
        <v>3.7019776300859134E-2</v>
      </c>
      <c r="F71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12">
        <v>496</v>
      </c>
      <c r="H712">
        <f>IFERROR(tinder[[#This Row],[Conversations]]/tinder[[#This Row],[Tinder Opened]],0)</f>
        <v>0.27148330596606457</v>
      </c>
      <c r="I712">
        <f>tinder[[#This Row],[Conversations]]/MAX(tinder[Conversations])</f>
        <v>3.9234298370510998E-2</v>
      </c>
      <c r="J712">
        <f>(tinder[[#This Row],[Norm Engagement]]*2)+(tinder[[#This Row],[Norm Swipes]]*1)+(tinder[[#This Row],[Norm Conversations]]*2)</f>
        <v>0.2325007508017137</v>
      </c>
      <c r="K71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12">
        <v>120</v>
      </c>
      <c r="M712">
        <v>240</v>
      </c>
      <c r="N712">
        <v>1479</v>
      </c>
      <c r="O712">
        <v>822</v>
      </c>
      <c r="P712">
        <v>1963</v>
      </c>
      <c r="Q712">
        <f>tinder[[#This Row],[All Swipes]]/MAX(tinder[All Swipes])</f>
        <v>7.9992601458973439E-2</v>
      </c>
      <c r="R712">
        <f>tinder[[#This Row],[Swipe Right (LIKE)]]+tinder[[#This Row],[Swipe Left (PASS)]]</f>
        <v>67899</v>
      </c>
      <c r="S712">
        <v>3854</v>
      </c>
      <c r="T712">
        <v>64045</v>
      </c>
      <c r="U712" t="s">
        <v>10</v>
      </c>
      <c r="V712" s="1">
        <v>43413</v>
      </c>
      <c r="W712" t="s">
        <v>12</v>
      </c>
      <c r="X712" t="s">
        <v>1296</v>
      </c>
      <c r="Y712" t="s">
        <v>129</v>
      </c>
      <c r="Z712">
        <v>29</v>
      </c>
      <c r="AA71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13" spans="1:27" x14ac:dyDescent="0.3">
      <c r="A713" t="s">
        <v>1136</v>
      </c>
      <c r="B713">
        <v>6787</v>
      </c>
      <c r="C713">
        <v>922</v>
      </c>
      <c r="D713">
        <f>IFERROR(tinder[[#This Row],[Tinder Opened]]/tinder[[#This Row],[Days on Tinder]],0)</f>
        <v>7.3611713665943599</v>
      </c>
      <c r="E713">
        <f>tinder[[#This Row],[Engagement]]/MAX(tinder[Engagement])</f>
        <v>3.6990810887408847E-2</v>
      </c>
      <c r="F71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13">
        <v>96</v>
      </c>
      <c r="H713">
        <f>IFERROR(tinder[[#This Row],[Conversations]]/tinder[[#This Row],[Tinder Opened]],0)</f>
        <v>1.4144688374834243E-2</v>
      </c>
      <c r="I713">
        <f>tinder[[#This Row],[Conversations]]/MAX(tinder[Conversations])</f>
        <v>7.5937351684859994E-3</v>
      </c>
      <c r="J713">
        <f>(tinder[[#This Row],[Norm Engagement]]*2)+(tinder[[#This Row],[Norm Swipes]]*1)+(tinder[[#This Row],[Norm Conversations]]*2)</f>
        <v>0.12561515344899352</v>
      </c>
      <c r="K71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13">
        <v>6</v>
      </c>
      <c r="M713">
        <v>1</v>
      </c>
      <c r="N713">
        <v>484</v>
      </c>
      <c r="O713">
        <v>4589</v>
      </c>
      <c r="P713">
        <v>4499</v>
      </c>
      <c r="Q713">
        <f>tinder[[#This Row],[All Swipes]]/MAX(tinder[All Swipes])</f>
        <v>3.6446061337203822E-2</v>
      </c>
      <c r="R713">
        <f>tinder[[#This Row],[Swipe Right (LIKE)]]+tinder[[#This Row],[Swipe Left (PASS)]]</f>
        <v>30936</v>
      </c>
      <c r="S713">
        <v>14291</v>
      </c>
      <c r="T713">
        <v>16645</v>
      </c>
      <c r="U713" t="s">
        <v>440</v>
      </c>
      <c r="V713" s="1">
        <v>41921</v>
      </c>
      <c r="W713" t="s">
        <v>7</v>
      </c>
      <c r="X713" t="s">
        <v>1295</v>
      </c>
      <c r="Y713" t="s">
        <v>8</v>
      </c>
      <c r="Z713">
        <v>26</v>
      </c>
      <c r="AA71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14" spans="1:27" x14ac:dyDescent="0.3">
      <c r="A714" t="s">
        <v>666</v>
      </c>
      <c r="B714">
        <v>572</v>
      </c>
      <c r="C714">
        <v>78</v>
      </c>
      <c r="D714">
        <f>IFERROR(tinder[[#This Row],[Tinder Opened]]/tinder[[#This Row],[Days on Tinder]],0)</f>
        <v>7.333333333333333</v>
      </c>
      <c r="E714">
        <f>tinder[[#This Row],[Engagement]]/MAX(tinder[Engagement])</f>
        <v>3.6850921273031821E-2</v>
      </c>
      <c r="F71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14">
        <v>7</v>
      </c>
      <c r="H714">
        <f>IFERROR(tinder[[#This Row],[Conversations]]/tinder[[#This Row],[Tinder Opened]],0)</f>
        <v>1.2237762237762238E-2</v>
      </c>
      <c r="I714">
        <f>tinder[[#This Row],[Conversations]]/MAX(tinder[Conversations])</f>
        <v>5.5370985603543741E-4</v>
      </c>
      <c r="J714">
        <f>(tinder[[#This Row],[Norm Engagement]]*2)+(tinder[[#This Row],[Norm Swipes]]*1)+(tinder[[#This Row],[Norm Conversations]]*2)</f>
        <v>8.5462925714054283E-2</v>
      </c>
      <c r="K71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14">
        <v>4</v>
      </c>
      <c r="M714">
        <v>1</v>
      </c>
      <c r="N714">
        <v>15</v>
      </c>
      <c r="O714">
        <v>18</v>
      </c>
      <c r="P714">
        <v>15</v>
      </c>
      <c r="Q714">
        <f>tinder[[#This Row],[All Swipes]]/MAX(tinder[All Swipes])</f>
        <v>1.0653663455919775E-2</v>
      </c>
      <c r="R714">
        <f>tinder[[#This Row],[Swipe Right (LIKE)]]+tinder[[#This Row],[Swipe Left (PASS)]]</f>
        <v>9043</v>
      </c>
      <c r="S714">
        <v>4500</v>
      </c>
      <c r="T714">
        <v>4543</v>
      </c>
      <c r="U714" t="s">
        <v>10</v>
      </c>
      <c r="V714" s="1">
        <v>44214</v>
      </c>
      <c r="W714" t="s">
        <v>12</v>
      </c>
      <c r="X714" t="s">
        <v>1295</v>
      </c>
      <c r="Y714" t="s">
        <v>8</v>
      </c>
      <c r="Z714">
        <v>27</v>
      </c>
      <c r="AA71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15" spans="1:27" x14ac:dyDescent="0.3">
      <c r="A715" t="s">
        <v>237</v>
      </c>
      <c r="B715">
        <v>88</v>
      </c>
      <c r="C715">
        <v>12</v>
      </c>
      <c r="D715">
        <f>IFERROR(tinder[[#This Row],[Tinder Opened]]/tinder[[#This Row],[Days on Tinder]],0)</f>
        <v>7.333333333333333</v>
      </c>
      <c r="E715">
        <f>tinder[[#This Row],[Engagement]]/MAX(tinder[Engagement])</f>
        <v>3.6850921273031821E-2</v>
      </c>
      <c r="F71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15">
        <v>1</v>
      </c>
      <c r="H715">
        <f>IFERROR(tinder[[#This Row],[Conversations]]/tinder[[#This Row],[Tinder Opened]],0)</f>
        <v>1.1363636363636364E-2</v>
      </c>
      <c r="I715">
        <f>tinder[[#This Row],[Conversations]]/MAX(tinder[Conversations])</f>
        <v>7.9101408005062489E-5</v>
      </c>
      <c r="J715">
        <f>(tinder[[#This Row],[Norm Engagement]]*2)+(tinder[[#This Row],[Norm Swipes]]*1)+(tinder[[#This Row],[Norm Conversations]]*2)</f>
        <v>7.8778661410781617E-2</v>
      </c>
      <c r="K71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15">
        <v>0</v>
      </c>
      <c r="M715">
        <v>0</v>
      </c>
      <c r="N715">
        <v>1</v>
      </c>
      <c r="O715">
        <v>8</v>
      </c>
      <c r="P715">
        <v>2</v>
      </c>
      <c r="Q715">
        <f>tinder[[#This Row],[All Swipes]]/MAX(tinder[All Swipes])</f>
        <v>4.9186160487078474E-3</v>
      </c>
      <c r="R715">
        <f>tinder[[#This Row],[Swipe Right (LIKE)]]+tinder[[#This Row],[Swipe Left (PASS)]]</f>
        <v>4175</v>
      </c>
      <c r="S715">
        <v>452</v>
      </c>
      <c r="T715">
        <v>3723</v>
      </c>
      <c r="U715" t="s">
        <v>238</v>
      </c>
      <c r="V715" s="1">
        <v>44153</v>
      </c>
      <c r="W715" t="s">
        <v>12</v>
      </c>
      <c r="X715" t="s">
        <v>1295</v>
      </c>
      <c r="Y715" t="s">
        <v>8</v>
      </c>
      <c r="Z715">
        <v>24</v>
      </c>
      <c r="AA71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16" spans="1:27" x14ac:dyDescent="0.3">
      <c r="A716" t="s">
        <v>860</v>
      </c>
      <c r="B716">
        <v>1334</v>
      </c>
      <c r="C716">
        <v>182</v>
      </c>
      <c r="D716">
        <f>IFERROR(tinder[[#This Row],[Tinder Opened]]/tinder[[#This Row],[Days on Tinder]],0)</f>
        <v>7.3296703296703294</v>
      </c>
      <c r="E716">
        <f>tinder[[#This Row],[Engagement]]/MAX(tinder[Engagement])</f>
        <v>3.6832514219448893E-2</v>
      </c>
      <c r="F71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16">
        <v>79</v>
      </c>
      <c r="H716">
        <f>IFERROR(tinder[[#This Row],[Conversations]]/tinder[[#This Row],[Tinder Opened]],0)</f>
        <v>5.9220389805097452E-2</v>
      </c>
      <c r="I716">
        <f>tinder[[#This Row],[Conversations]]/MAX(tinder[Conversations])</f>
        <v>6.2490112323999366E-3</v>
      </c>
      <c r="J716">
        <f>(tinder[[#This Row],[Norm Engagement]]*2)+(tinder[[#This Row],[Norm Swipes]]*1)+(tinder[[#This Row],[Norm Conversations]]*2)</f>
        <v>0.11740774940136971</v>
      </c>
      <c r="K71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16">
        <v>23</v>
      </c>
      <c r="M716">
        <v>1</v>
      </c>
      <c r="N716">
        <v>67</v>
      </c>
      <c r="O716">
        <v>842</v>
      </c>
      <c r="P716">
        <v>720</v>
      </c>
      <c r="Q716">
        <f>tinder[[#This Row],[All Swipes]]/MAX(tinder[All Swipes])</f>
        <v>3.1244698497672051E-2</v>
      </c>
      <c r="R716">
        <f>tinder[[#This Row],[Swipe Right (LIKE)]]+tinder[[#This Row],[Swipe Left (PASS)]]</f>
        <v>26521</v>
      </c>
      <c r="S716">
        <v>4523</v>
      </c>
      <c r="T716">
        <v>21998</v>
      </c>
      <c r="U716" t="s">
        <v>88</v>
      </c>
      <c r="V716" s="1">
        <v>44102</v>
      </c>
      <c r="W716" t="s">
        <v>12</v>
      </c>
      <c r="X716" t="s">
        <v>1295</v>
      </c>
      <c r="Y716" t="s">
        <v>861</v>
      </c>
      <c r="Z716">
        <v>20</v>
      </c>
      <c r="AA71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17" spans="1:27" x14ac:dyDescent="0.3">
      <c r="A717" t="s">
        <v>718</v>
      </c>
      <c r="B717">
        <v>1589</v>
      </c>
      <c r="C717">
        <v>217</v>
      </c>
      <c r="D717">
        <f>IFERROR(tinder[[#This Row],[Tinder Opened]]/tinder[[#This Row],[Days on Tinder]],0)</f>
        <v>7.32258064516129</v>
      </c>
      <c r="E717">
        <f>tinder[[#This Row],[Engagement]]/MAX(tinder[Engagement])</f>
        <v>3.6796887664127087E-2</v>
      </c>
      <c r="F71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17">
        <v>171</v>
      </c>
      <c r="H717">
        <f>IFERROR(tinder[[#This Row],[Conversations]]/tinder[[#This Row],[Tinder Opened]],0)</f>
        <v>0.10761485210824417</v>
      </c>
      <c r="I717">
        <f>tinder[[#This Row],[Conversations]]/MAX(tinder[Conversations])</f>
        <v>1.3526340768865686E-2</v>
      </c>
      <c r="J717">
        <f>(tinder[[#This Row],[Norm Engagement]]*2)+(tinder[[#This Row],[Norm Swipes]]*1)+(tinder[[#This Row],[Norm Conversations]]*2)</f>
        <v>0.12078274081916267</v>
      </c>
      <c r="K71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17">
        <v>21</v>
      </c>
      <c r="M717">
        <v>116</v>
      </c>
      <c r="N717">
        <v>291</v>
      </c>
      <c r="O717">
        <v>442</v>
      </c>
      <c r="P717">
        <v>693</v>
      </c>
      <c r="Q717">
        <f>tinder[[#This Row],[All Swipes]]/MAX(tinder[All Swipes])</f>
        <v>2.0136283953177132E-2</v>
      </c>
      <c r="R717">
        <f>tinder[[#This Row],[Swipe Right (LIKE)]]+tinder[[#This Row],[Swipe Left (PASS)]]</f>
        <v>17092</v>
      </c>
      <c r="S717">
        <v>11248</v>
      </c>
      <c r="T717">
        <v>5844</v>
      </c>
      <c r="U717" t="s">
        <v>69</v>
      </c>
      <c r="V717" s="1">
        <v>44068</v>
      </c>
      <c r="W717" t="s">
        <v>12</v>
      </c>
      <c r="X717" t="s">
        <v>1295</v>
      </c>
      <c r="Y717" t="s">
        <v>719</v>
      </c>
      <c r="Z717">
        <v>24</v>
      </c>
      <c r="AA71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18" spans="1:27" x14ac:dyDescent="0.3">
      <c r="A718" t="s">
        <v>1112</v>
      </c>
      <c r="B718">
        <v>8898</v>
      </c>
      <c r="C718">
        <v>1217</v>
      </c>
      <c r="D718">
        <f>IFERROR(tinder[[#This Row],[Tinder Opened]]/tinder[[#This Row],[Days on Tinder]],0)</f>
        <v>7.3114215283483981</v>
      </c>
      <c r="E718">
        <f>tinder[[#This Row],[Engagement]]/MAX(tinder[Engagement])</f>
        <v>3.6740811700243209E-2</v>
      </c>
      <c r="F71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18">
        <v>419</v>
      </c>
      <c r="H718">
        <f>IFERROR(tinder[[#This Row],[Conversations]]/tinder[[#This Row],[Tinder Opened]],0)</f>
        <v>4.7089233535625982E-2</v>
      </c>
      <c r="I718">
        <f>tinder[[#This Row],[Conversations]]/MAX(tinder[Conversations])</f>
        <v>3.3143489954121183E-2</v>
      </c>
      <c r="J718">
        <f>(tinder[[#This Row],[Norm Engagement]]*2)+(tinder[[#This Row],[Norm Swipes]]*1)+(tinder[[#This Row],[Norm Conversations]]*2)</f>
        <v>0.20022340152176907</v>
      </c>
      <c r="K71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18">
        <v>175</v>
      </c>
      <c r="M718">
        <v>61</v>
      </c>
      <c r="N718">
        <v>1219</v>
      </c>
      <c r="O718">
        <v>1292</v>
      </c>
      <c r="P718">
        <v>1150</v>
      </c>
      <c r="Q718">
        <f>tinder[[#This Row],[All Swipes]]/MAX(tinder[All Swipes])</f>
        <v>6.0454798213040284E-2</v>
      </c>
      <c r="R718">
        <f>tinder[[#This Row],[Swipe Right (LIKE)]]+tinder[[#This Row],[Swipe Left (PASS)]]</f>
        <v>51315</v>
      </c>
      <c r="S718">
        <v>15416</v>
      </c>
      <c r="T718">
        <v>35899</v>
      </c>
      <c r="U718" t="s">
        <v>8</v>
      </c>
      <c r="V718" s="1">
        <v>41610</v>
      </c>
      <c r="W718" t="s">
        <v>7</v>
      </c>
      <c r="X718" t="s">
        <v>1295</v>
      </c>
      <c r="Y718" t="s">
        <v>8</v>
      </c>
      <c r="Z718">
        <v>23</v>
      </c>
      <c r="AA71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19" spans="1:27" x14ac:dyDescent="0.3">
      <c r="A719" t="s">
        <v>424</v>
      </c>
      <c r="B719">
        <v>1051</v>
      </c>
      <c r="C719">
        <v>144</v>
      </c>
      <c r="D719">
        <f>IFERROR(tinder[[#This Row],[Tinder Opened]]/tinder[[#This Row],[Days on Tinder]],0)</f>
        <v>7.2986111111111107</v>
      </c>
      <c r="E719">
        <f>tinder[[#This Row],[Engagement]]/MAX(tinder[Engagement])</f>
        <v>3.6676437744276938E-2</v>
      </c>
      <c r="F71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19">
        <v>23</v>
      </c>
      <c r="H719">
        <f>IFERROR(tinder[[#This Row],[Conversations]]/tinder[[#This Row],[Tinder Opened]],0)</f>
        <v>2.1883920076117985E-2</v>
      </c>
      <c r="I719">
        <f>tinder[[#This Row],[Conversations]]/MAX(tinder[Conversations])</f>
        <v>1.8193323841164373E-3</v>
      </c>
      <c r="J719">
        <f>(tinder[[#This Row],[Norm Engagement]]*2)+(tinder[[#This Row],[Norm Swipes]]*1)+(tinder[[#This Row],[Norm Conversations]]*2)</f>
        <v>9.0143978476612957E-2</v>
      </c>
      <c r="K71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19">
        <v>10</v>
      </c>
      <c r="M719">
        <v>0</v>
      </c>
      <c r="N719">
        <v>43</v>
      </c>
      <c r="O719">
        <v>583</v>
      </c>
      <c r="P719">
        <v>574</v>
      </c>
      <c r="Q719">
        <f>tinder[[#This Row],[All Swipes]]/MAX(tinder[All Swipes])</f>
        <v>1.3152438219826205E-2</v>
      </c>
      <c r="R719">
        <f>tinder[[#This Row],[Swipe Right (LIKE)]]+tinder[[#This Row],[Swipe Left (PASS)]]</f>
        <v>11164</v>
      </c>
      <c r="S719">
        <v>4278</v>
      </c>
      <c r="T719">
        <v>6886</v>
      </c>
      <c r="U719" t="s">
        <v>8</v>
      </c>
      <c r="V719" s="1">
        <v>43757</v>
      </c>
      <c r="W719" t="s">
        <v>12</v>
      </c>
      <c r="X719" t="s">
        <v>1295</v>
      </c>
      <c r="Y719" t="s">
        <v>8</v>
      </c>
      <c r="Z719">
        <v>22</v>
      </c>
      <c r="AA71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20" spans="1:27" x14ac:dyDescent="0.3">
      <c r="A720" t="s">
        <v>154</v>
      </c>
      <c r="B720">
        <v>7884</v>
      </c>
      <c r="C720">
        <v>1083</v>
      </c>
      <c r="D720">
        <f>IFERROR(tinder[[#This Row],[Tinder Opened]]/tinder[[#This Row],[Days on Tinder]],0)</f>
        <v>7.2797783933518003</v>
      </c>
      <c r="E720">
        <f>tinder[[#This Row],[Engagement]]/MAX(tinder[Engagement])</f>
        <v>3.658180097161709E-2</v>
      </c>
      <c r="F72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20">
        <v>91</v>
      </c>
      <c r="H720">
        <f>IFERROR(tinder[[#This Row],[Conversations]]/tinder[[#This Row],[Tinder Opened]],0)</f>
        <v>1.1542364282090309E-2</v>
      </c>
      <c r="I720">
        <f>tinder[[#This Row],[Conversations]]/MAX(tinder[Conversations])</f>
        <v>7.1982281284606866E-3</v>
      </c>
      <c r="J720">
        <f>(tinder[[#This Row],[Norm Engagement]]*2)+(tinder[[#This Row],[Norm Swipes]]*1)+(tinder[[#This Row],[Norm Conversations]]*2)</f>
        <v>0.34199800470446273</v>
      </c>
      <c r="K72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20">
        <v>41</v>
      </c>
      <c r="M720">
        <v>9</v>
      </c>
      <c r="N720">
        <v>210</v>
      </c>
      <c r="O720">
        <v>317</v>
      </c>
      <c r="P720">
        <v>304</v>
      </c>
      <c r="Q720">
        <f>tinder[[#This Row],[All Swipes]]/MAX(tinder[All Swipes])</f>
        <v>0.25443794650430718</v>
      </c>
      <c r="R720">
        <f>tinder[[#This Row],[Swipe Right (LIKE)]]+tinder[[#This Row],[Swipe Left (PASS)]]</f>
        <v>215971</v>
      </c>
      <c r="S720">
        <v>83555</v>
      </c>
      <c r="T720">
        <v>132416</v>
      </c>
      <c r="U720" t="s">
        <v>14</v>
      </c>
      <c r="V720" s="1">
        <v>42216</v>
      </c>
      <c r="W720" t="s">
        <v>7</v>
      </c>
      <c r="X720" t="s">
        <v>1295</v>
      </c>
      <c r="Y720" t="s">
        <v>8</v>
      </c>
      <c r="Z720">
        <v>22</v>
      </c>
      <c r="AA72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21" spans="1:27" x14ac:dyDescent="0.3">
      <c r="A721" t="s">
        <v>334</v>
      </c>
      <c r="B721">
        <v>5487</v>
      </c>
      <c r="C721">
        <v>757</v>
      </c>
      <c r="D721">
        <f>IFERROR(tinder[[#This Row],[Tinder Opened]]/tinder[[#This Row],[Days on Tinder]],0)</f>
        <v>7.2483487450462354</v>
      </c>
      <c r="E721">
        <f>tinder[[#This Row],[Engagement]]/MAX(tinder[Engagement])</f>
        <v>3.6423863040433345E-2</v>
      </c>
      <c r="F72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21">
        <v>944</v>
      </c>
      <c r="H721">
        <f>IFERROR(tinder[[#This Row],[Conversations]]/tinder[[#This Row],[Tinder Opened]],0)</f>
        <v>0.17204301075268819</v>
      </c>
      <c r="I721">
        <f>tinder[[#This Row],[Conversations]]/MAX(tinder[Conversations])</f>
        <v>7.4671729156778985E-2</v>
      </c>
      <c r="J721">
        <f>(tinder[[#This Row],[Norm Engagement]]*2)+(tinder[[#This Row],[Norm Swipes]]*1)+(tinder[[#This Row],[Norm Conversations]]*2)</f>
        <v>0.31789979497669452</v>
      </c>
      <c r="K72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21">
        <v>336</v>
      </c>
      <c r="M721">
        <v>268</v>
      </c>
      <c r="N721">
        <v>2956</v>
      </c>
      <c r="O721">
        <v>2203</v>
      </c>
      <c r="P721">
        <v>4511</v>
      </c>
      <c r="Q721">
        <f>tinder[[#This Row],[All Swipes]]/MAX(tinder[All Swipes])</f>
        <v>9.5708610582269885E-2</v>
      </c>
      <c r="R721">
        <f>tinder[[#This Row],[Swipe Right (LIKE)]]+tinder[[#This Row],[Swipe Left (PASS)]]</f>
        <v>81239</v>
      </c>
      <c r="S721">
        <v>9148</v>
      </c>
      <c r="T721">
        <v>72091</v>
      </c>
      <c r="U721" t="s">
        <v>75</v>
      </c>
      <c r="V721" s="1">
        <v>42457</v>
      </c>
      <c r="W721" t="s">
        <v>7</v>
      </c>
      <c r="X721" t="s">
        <v>1296</v>
      </c>
      <c r="Y721" t="s">
        <v>335</v>
      </c>
      <c r="Z721">
        <v>23</v>
      </c>
      <c r="AA72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22" spans="1:27" x14ac:dyDescent="0.3">
      <c r="A722" t="s">
        <v>1229</v>
      </c>
      <c r="B722">
        <v>65</v>
      </c>
      <c r="C722">
        <v>9</v>
      </c>
      <c r="D722">
        <f>IFERROR(tinder[[#This Row],[Tinder Opened]]/tinder[[#This Row],[Days on Tinder]],0)</f>
        <v>7.2222222222222223</v>
      </c>
      <c r="E722">
        <f>tinder[[#This Row],[Engagement]]/MAX(tinder[Engagement])</f>
        <v>3.6292573981016193E-2</v>
      </c>
      <c r="F72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22">
        <v>8</v>
      </c>
      <c r="H722">
        <f>IFERROR(tinder[[#This Row],[Conversations]]/tinder[[#This Row],[Tinder Opened]],0)</f>
        <v>0.12307692307692308</v>
      </c>
      <c r="I722">
        <f>tinder[[#This Row],[Conversations]]/MAX(tinder[Conversations])</f>
        <v>6.3281126404049991E-4</v>
      </c>
      <c r="J722">
        <f>(tinder[[#This Row],[Norm Engagement]]*2)+(tinder[[#This Row],[Norm Swipes]]*1)+(tinder[[#This Row],[Norm Conversations]]*2)</f>
        <v>7.4603583820682093E-2</v>
      </c>
      <c r="K72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722">
        <v>6</v>
      </c>
      <c r="M722">
        <v>0</v>
      </c>
      <c r="N722">
        <v>1</v>
      </c>
      <c r="O722">
        <v>44</v>
      </c>
      <c r="P722">
        <v>46</v>
      </c>
      <c r="Q722">
        <f>tinder[[#This Row],[All Swipes]]/MAX(tinder[All Swipes])</f>
        <v>7.5281333056869803E-4</v>
      </c>
      <c r="R722">
        <f>tinder[[#This Row],[Swipe Right (LIKE)]]+tinder[[#This Row],[Swipe Left (PASS)]]</f>
        <v>639</v>
      </c>
      <c r="S722">
        <v>358</v>
      </c>
      <c r="T722">
        <v>281</v>
      </c>
      <c r="U722" t="s">
        <v>8</v>
      </c>
      <c r="V722" s="1">
        <v>44290</v>
      </c>
      <c r="W722" t="s">
        <v>12</v>
      </c>
      <c r="X722" t="s">
        <v>1295</v>
      </c>
      <c r="Y722" t="s">
        <v>8</v>
      </c>
      <c r="Z722">
        <v>21</v>
      </c>
      <c r="AA72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23" spans="1:27" x14ac:dyDescent="0.3">
      <c r="A723" t="s">
        <v>451</v>
      </c>
      <c r="B723">
        <v>1436</v>
      </c>
      <c r="C723">
        <v>199</v>
      </c>
      <c r="D723">
        <f>IFERROR(tinder[[#This Row],[Tinder Opened]]/tinder[[#This Row],[Days on Tinder]],0)</f>
        <v>7.21608040201005</v>
      </c>
      <c r="E723">
        <f>tinder[[#This Row],[Engagement]]/MAX(tinder[Engagement])</f>
        <v>3.626171056286457E-2</v>
      </c>
      <c r="F72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23">
        <v>15</v>
      </c>
      <c r="H723">
        <f>IFERROR(tinder[[#This Row],[Conversations]]/tinder[[#This Row],[Tinder Opened]],0)</f>
        <v>1.0445682451253482E-2</v>
      </c>
      <c r="I723">
        <f>tinder[[#This Row],[Conversations]]/MAX(tinder[Conversations])</f>
        <v>1.1865211200759373E-3</v>
      </c>
      <c r="J723">
        <f>(tinder[[#This Row],[Norm Engagement]]*2)+(tinder[[#This Row],[Norm Swipes]]*1)+(tinder[[#This Row],[Norm Conversations]]*2)</f>
        <v>8.1624658875861983E-2</v>
      </c>
      <c r="K72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23">
        <v>4</v>
      </c>
      <c r="M723">
        <v>1</v>
      </c>
      <c r="N723">
        <v>24</v>
      </c>
      <c r="O723">
        <v>88</v>
      </c>
      <c r="P723">
        <v>73</v>
      </c>
      <c r="Q723">
        <f>tinder[[#This Row],[All Swipes]]/MAX(tinder[All Swipes])</f>
        <v>6.7281955099809613E-3</v>
      </c>
      <c r="R723">
        <f>tinder[[#This Row],[Swipe Right (LIKE)]]+tinder[[#This Row],[Swipe Left (PASS)]]</f>
        <v>5711</v>
      </c>
      <c r="S723">
        <v>2443</v>
      </c>
      <c r="T723">
        <v>3268</v>
      </c>
      <c r="U723" t="s">
        <v>238</v>
      </c>
      <c r="V723" s="1">
        <v>43595</v>
      </c>
      <c r="W723" t="s">
        <v>12</v>
      </c>
      <c r="X723" t="s">
        <v>1295</v>
      </c>
      <c r="Y723" t="s">
        <v>8</v>
      </c>
      <c r="Z723">
        <v>27</v>
      </c>
      <c r="AA72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24" spans="1:27" x14ac:dyDescent="0.3">
      <c r="A724" t="s">
        <v>91</v>
      </c>
      <c r="B724">
        <v>9285</v>
      </c>
      <c r="C724">
        <v>1296</v>
      </c>
      <c r="D724">
        <f>IFERROR(tinder[[#This Row],[Tinder Opened]]/tinder[[#This Row],[Days on Tinder]],0)</f>
        <v>7.1643518518518521</v>
      </c>
      <c r="E724">
        <f>tinder[[#This Row],[Engagement]]/MAX(tinder[Engagement])</f>
        <v>3.6001768099758052E-2</v>
      </c>
      <c r="F72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24">
        <v>946</v>
      </c>
      <c r="H724">
        <f>IFERROR(tinder[[#This Row],[Conversations]]/tinder[[#This Row],[Tinder Opened]],0)</f>
        <v>0.10188476036618202</v>
      </c>
      <c r="I724">
        <f>tinder[[#This Row],[Conversations]]/MAX(tinder[Conversations])</f>
        <v>7.4829931972789115E-2</v>
      </c>
      <c r="J724">
        <f>(tinder[[#This Row],[Norm Engagement]]*2)+(tinder[[#This Row],[Norm Swipes]]*1)+(tinder[[#This Row],[Norm Conversations]]*2)</f>
        <v>0.25335695917319934</v>
      </c>
      <c r="K72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24">
        <v>315</v>
      </c>
      <c r="M724">
        <v>66</v>
      </c>
      <c r="N724">
        <v>3395</v>
      </c>
      <c r="O724">
        <v>5372</v>
      </c>
      <c r="P724">
        <v>4965</v>
      </c>
      <c r="Q724">
        <f>tinder[[#This Row],[All Swipes]]/MAX(tinder[All Swipes])</f>
        <v>3.1693559028105028E-2</v>
      </c>
      <c r="R724">
        <f>tinder[[#This Row],[Swipe Right (LIKE)]]+tinder[[#This Row],[Swipe Left (PASS)]]</f>
        <v>26902</v>
      </c>
      <c r="S724">
        <v>16500</v>
      </c>
      <c r="T724">
        <v>10402</v>
      </c>
      <c r="U724" t="s">
        <v>8</v>
      </c>
      <c r="V724" s="1">
        <v>41590</v>
      </c>
      <c r="W724" t="s">
        <v>7</v>
      </c>
      <c r="X724" t="s">
        <v>1295</v>
      </c>
      <c r="Y724" t="s">
        <v>92</v>
      </c>
      <c r="Z724">
        <v>21</v>
      </c>
      <c r="AA72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25" spans="1:27" x14ac:dyDescent="0.3">
      <c r="A725" t="s">
        <v>668</v>
      </c>
      <c r="B725">
        <v>136</v>
      </c>
      <c r="C725">
        <v>19</v>
      </c>
      <c r="D725">
        <f>IFERROR(tinder[[#This Row],[Tinder Opened]]/tinder[[#This Row],[Days on Tinder]],0)</f>
        <v>7.1578947368421053</v>
      </c>
      <c r="E725">
        <f>tinder[[#This Row],[Engagement]]/MAX(tinder[Engagement])</f>
        <v>3.596932028563872E-2</v>
      </c>
      <c r="F72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25">
        <v>25</v>
      </c>
      <c r="H725">
        <f>IFERROR(tinder[[#This Row],[Conversations]]/tinder[[#This Row],[Tinder Opened]],0)</f>
        <v>0.18382352941176472</v>
      </c>
      <c r="I725">
        <f>tinder[[#This Row],[Conversations]]/MAX(tinder[Conversations])</f>
        <v>1.9775352001265623E-3</v>
      </c>
      <c r="J725">
        <f>(tinder[[#This Row],[Norm Engagement]]*2)+(tinder[[#This Row],[Norm Swipes]]*1)+(tinder[[#This Row],[Norm Conversations]]*2)</f>
        <v>8.0527224006157624E-2</v>
      </c>
      <c r="K72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25">
        <v>5</v>
      </c>
      <c r="M725">
        <v>1</v>
      </c>
      <c r="N725">
        <v>15</v>
      </c>
      <c r="O725">
        <v>163</v>
      </c>
      <c r="P725">
        <v>194</v>
      </c>
      <c r="Q725">
        <f>tinder[[#This Row],[All Swipes]]/MAX(tinder[All Swipes])</f>
        <v>4.633513034627057E-3</v>
      </c>
      <c r="R725">
        <f>tinder[[#This Row],[Swipe Right (LIKE)]]+tinder[[#This Row],[Swipe Left (PASS)]]</f>
        <v>3933</v>
      </c>
      <c r="S725">
        <v>335</v>
      </c>
      <c r="T725">
        <v>3598</v>
      </c>
      <c r="U725" t="s">
        <v>669</v>
      </c>
      <c r="V725" s="1">
        <v>44235</v>
      </c>
      <c r="W725" t="s">
        <v>12</v>
      </c>
      <c r="X725" t="s">
        <v>1295</v>
      </c>
      <c r="Y725" t="s">
        <v>8</v>
      </c>
      <c r="Z725">
        <v>18</v>
      </c>
      <c r="AA72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26" spans="1:27" x14ac:dyDescent="0.3">
      <c r="A726" t="s">
        <v>934</v>
      </c>
      <c r="B726">
        <v>2029</v>
      </c>
      <c r="C726">
        <v>284</v>
      </c>
      <c r="D726">
        <f>IFERROR(tinder[[#This Row],[Tinder Opened]]/tinder[[#This Row],[Days on Tinder]],0)</f>
        <v>7.144366197183099</v>
      </c>
      <c r="E726">
        <f>tinder[[#This Row],[Engagement]]/MAX(tinder[Engagement])</f>
        <v>3.590133767428693E-2</v>
      </c>
      <c r="F72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26">
        <v>104</v>
      </c>
      <c r="H726">
        <f>IFERROR(tinder[[#This Row],[Conversations]]/tinder[[#This Row],[Tinder Opened]],0)</f>
        <v>5.1256776737309016E-2</v>
      </c>
      <c r="I726">
        <f>tinder[[#This Row],[Conversations]]/MAX(tinder[Conversations])</f>
        <v>8.2265464325264985E-3</v>
      </c>
      <c r="J726">
        <f>(tinder[[#This Row],[Norm Engagement]]*2)+(tinder[[#This Row],[Norm Swipes]]*1)+(tinder[[#This Row],[Norm Conversations]]*2)</f>
        <v>9.600303028220239E-2</v>
      </c>
      <c r="K72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26">
        <v>13</v>
      </c>
      <c r="M726">
        <v>1</v>
      </c>
      <c r="N726">
        <v>51</v>
      </c>
      <c r="O726">
        <v>3172</v>
      </c>
      <c r="P726">
        <v>2639</v>
      </c>
      <c r="Q726">
        <f>tinder[[#This Row],[All Swipes]]/MAX(tinder[All Swipes])</f>
        <v>7.7472620685755215E-3</v>
      </c>
      <c r="R726">
        <f>tinder[[#This Row],[Swipe Right (LIKE)]]+tinder[[#This Row],[Swipe Left (PASS)]]</f>
        <v>6576</v>
      </c>
      <c r="S726">
        <v>1509</v>
      </c>
      <c r="T726">
        <v>5067</v>
      </c>
      <c r="U726" t="s">
        <v>147</v>
      </c>
      <c r="V726" s="1">
        <v>43916</v>
      </c>
      <c r="W726" t="s">
        <v>12</v>
      </c>
      <c r="X726" t="s">
        <v>1295</v>
      </c>
      <c r="Y726" t="s">
        <v>8</v>
      </c>
      <c r="Z726">
        <v>25</v>
      </c>
      <c r="AA72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27" spans="1:27" x14ac:dyDescent="0.3">
      <c r="A727" t="s">
        <v>359</v>
      </c>
      <c r="B727">
        <v>6636</v>
      </c>
      <c r="C727">
        <v>931</v>
      </c>
      <c r="D727">
        <f>IFERROR(tinder[[#This Row],[Tinder Opened]]/tinder[[#This Row],[Days on Tinder]],0)</f>
        <v>7.1278195488721803</v>
      </c>
      <c r="E727">
        <f>tinder[[#This Row],[Engagement]]/MAX(tinder[Engagement])</f>
        <v>3.5818188687799901E-2</v>
      </c>
      <c r="F72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27">
        <v>17</v>
      </c>
      <c r="H727">
        <f>IFERROR(tinder[[#This Row],[Conversations]]/tinder[[#This Row],[Tinder Opened]],0)</f>
        <v>2.5617842073538278E-3</v>
      </c>
      <c r="I727">
        <f>tinder[[#This Row],[Conversations]]/MAX(tinder[Conversations])</f>
        <v>1.3447239360860623E-3</v>
      </c>
      <c r="J727">
        <f>(tinder[[#This Row],[Norm Engagement]]*2)+(tinder[[#This Row],[Norm Swipes]]*1)+(tinder[[#This Row],[Norm Conversations]]*2)</f>
        <v>0.14147111939868331</v>
      </c>
      <c r="K72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27">
        <v>9</v>
      </c>
      <c r="M727">
        <v>0</v>
      </c>
      <c r="N727">
        <v>63</v>
      </c>
      <c r="O727">
        <v>87</v>
      </c>
      <c r="P727">
        <v>87</v>
      </c>
      <c r="Q727">
        <f>tinder[[#This Row],[All Swipes]]/MAX(tinder[All Swipes])</f>
        <v>6.7145294150911389E-2</v>
      </c>
      <c r="R727">
        <f>tinder[[#This Row],[Swipe Right (LIKE)]]+tinder[[#This Row],[Swipe Left (PASS)]]</f>
        <v>56994</v>
      </c>
      <c r="S727">
        <v>2376</v>
      </c>
      <c r="T727">
        <v>54618</v>
      </c>
      <c r="U727" t="s">
        <v>8</v>
      </c>
      <c r="V727" s="1">
        <v>42415</v>
      </c>
      <c r="W727" t="s">
        <v>7</v>
      </c>
      <c r="X727" t="s">
        <v>1295</v>
      </c>
      <c r="Y727" t="s">
        <v>8</v>
      </c>
      <c r="Z727">
        <v>32</v>
      </c>
      <c r="AA727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28" spans="1:27" x14ac:dyDescent="0.3">
      <c r="A728" t="s">
        <v>804</v>
      </c>
      <c r="B728">
        <v>335</v>
      </c>
      <c r="C728">
        <v>47</v>
      </c>
      <c r="D728">
        <f>IFERROR(tinder[[#This Row],[Tinder Opened]]/tinder[[#This Row],[Days on Tinder]],0)</f>
        <v>7.1276595744680851</v>
      </c>
      <c r="E728">
        <f>tinder[[#This Row],[Engagement]]/MAX(tinder[Engagement])</f>
        <v>3.5817384796322037E-2</v>
      </c>
      <c r="F72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28">
        <v>77</v>
      </c>
      <c r="H728">
        <f>IFERROR(tinder[[#This Row],[Conversations]]/tinder[[#This Row],[Tinder Opened]],0)</f>
        <v>0.2298507462686567</v>
      </c>
      <c r="I728">
        <f>tinder[[#This Row],[Conversations]]/MAX(tinder[Conversations])</f>
        <v>6.090808416389812E-3</v>
      </c>
      <c r="J728">
        <f>(tinder[[#This Row],[Norm Engagement]]*2)+(tinder[[#This Row],[Norm Swipes]]*1)+(tinder[[#This Row],[Norm Conversations]]*2)</f>
        <v>8.820956468785042E-2</v>
      </c>
      <c r="K72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28">
        <v>30</v>
      </c>
      <c r="M728">
        <v>3</v>
      </c>
      <c r="N728">
        <v>36</v>
      </c>
      <c r="O728">
        <v>878</v>
      </c>
      <c r="P728">
        <v>585</v>
      </c>
      <c r="Q728">
        <f>tinder[[#This Row],[All Swipes]]/MAX(tinder[All Swipes])</f>
        <v>4.3931782624267212E-3</v>
      </c>
      <c r="R728">
        <f>tinder[[#This Row],[Swipe Right (LIKE)]]+tinder[[#This Row],[Swipe Left (PASS)]]</f>
        <v>3729</v>
      </c>
      <c r="S728">
        <v>1314</v>
      </c>
      <c r="T728">
        <v>2415</v>
      </c>
      <c r="U728" t="s">
        <v>10</v>
      </c>
      <c r="V728" s="1">
        <v>44213</v>
      </c>
      <c r="W728" t="s">
        <v>12</v>
      </c>
      <c r="X728" t="s">
        <v>1295</v>
      </c>
      <c r="Y728" t="s">
        <v>805</v>
      </c>
      <c r="Z728">
        <v>23</v>
      </c>
      <c r="AA72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29" spans="1:27" x14ac:dyDescent="0.3">
      <c r="A729" t="s">
        <v>494</v>
      </c>
      <c r="B729">
        <v>669</v>
      </c>
      <c r="C729">
        <v>94</v>
      </c>
      <c r="D729">
        <f>IFERROR(tinder[[#This Row],[Tinder Opened]]/tinder[[#This Row],[Days on Tinder]],0)</f>
        <v>7.1170212765957448</v>
      </c>
      <c r="E729">
        <f>tinder[[#This Row],[Engagement]]/MAX(tinder[Engagement])</f>
        <v>3.5763926013043942E-2</v>
      </c>
      <c r="F72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29">
        <v>61</v>
      </c>
      <c r="H729">
        <f>IFERROR(tinder[[#This Row],[Conversations]]/tinder[[#This Row],[Tinder Opened]],0)</f>
        <v>9.1180866965620333E-2</v>
      </c>
      <c r="I729">
        <f>tinder[[#This Row],[Conversations]]/MAX(tinder[Conversations])</f>
        <v>4.825185888308812E-3</v>
      </c>
      <c r="J729">
        <f>(tinder[[#This Row],[Norm Engagement]]*2)+(tinder[[#This Row],[Norm Swipes]]*1)+(tinder[[#This Row],[Norm Conversations]]*2)</f>
        <v>8.9728958001872347E-2</v>
      </c>
      <c r="K72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29">
        <v>22</v>
      </c>
      <c r="M729">
        <v>3</v>
      </c>
      <c r="N729">
        <v>87</v>
      </c>
      <c r="O729">
        <v>199</v>
      </c>
      <c r="P729">
        <v>200</v>
      </c>
      <c r="Q729">
        <f>tinder[[#This Row],[All Swipes]]/MAX(tinder[All Swipes])</f>
        <v>8.5507341991668401E-3</v>
      </c>
      <c r="R729">
        <f>tinder[[#This Row],[Swipe Right (LIKE)]]+tinder[[#This Row],[Swipe Left (PASS)]]</f>
        <v>7258</v>
      </c>
      <c r="S729">
        <v>1869</v>
      </c>
      <c r="T729">
        <v>5389</v>
      </c>
      <c r="U729" t="s">
        <v>8</v>
      </c>
      <c r="V729" s="1">
        <v>44156</v>
      </c>
      <c r="W729" t="s">
        <v>12</v>
      </c>
      <c r="X729" t="s">
        <v>1295</v>
      </c>
      <c r="Y729" t="s">
        <v>8</v>
      </c>
      <c r="Z729">
        <v>20</v>
      </c>
      <c r="AA72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30" spans="1:27" x14ac:dyDescent="0.3">
      <c r="A730" t="s">
        <v>162</v>
      </c>
      <c r="B730">
        <v>1096</v>
      </c>
      <c r="C730">
        <v>154</v>
      </c>
      <c r="D730">
        <f>IFERROR(tinder[[#This Row],[Tinder Opened]]/tinder[[#This Row],[Days on Tinder]],0)</f>
        <v>7.116883116883117</v>
      </c>
      <c r="E730">
        <f>tinder[[#This Row],[Engagement]]/MAX(tinder[Engagement])</f>
        <v>3.5763231743131244E-2</v>
      </c>
      <c r="F73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30">
        <v>20</v>
      </c>
      <c r="H730">
        <f>IFERROR(tinder[[#This Row],[Conversations]]/tinder[[#This Row],[Tinder Opened]],0)</f>
        <v>1.824817518248175E-2</v>
      </c>
      <c r="I730">
        <f>tinder[[#This Row],[Conversations]]/MAX(tinder[Conversations])</f>
        <v>1.5820281601012498E-3</v>
      </c>
      <c r="J730">
        <f>(tinder[[#This Row],[Norm Engagement]]*2)+(tinder[[#This Row],[Norm Swipes]]*1)+(tinder[[#This Row],[Norm Conversations]]*2)</f>
        <v>7.8802129389696218E-2</v>
      </c>
      <c r="K73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30">
        <v>4</v>
      </c>
      <c r="M730">
        <v>1</v>
      </c>
      <c r="N730">
        <v>80</v>
      </c>
      <c r="O730">
        <v>250</v>
      </c>
      <c r="P730">
        <v>292</v>
      </c>
      <c r="Q730">
        <f>tinder[[#This Row],[All Swipes]]/MAX(tinder[All Swipes])</f>
        <v>4.1116095832312302E-3</v>
      </c>
      <c r="R730">
        <f>tinder[[#This Row],[Swipe Right (LIKE)]]+tinder[[#This Row],[Swipe Left (PASS)]]</f>
        <v>3490</v>
      </c>
      <c r="S730">
        <v>2034</v>
      </c>
      <c r="T730">
        <v>1456</v>
      </c>
      <c r="U730" t="s">
        <v>122</v>
      </c>
      <c r="V730" s="1">
        <v>43652</v>
      </c>
      <c r="W730" t="s">
        <v>12</v>
      </c>
      <c r="X730" t="s">
        <v>1295</v>
      </c>
      <c r="Y730" t="s">
        <v>8</v>
      </c>
      <c r="Z730">
        <v>33</v>
      </c>
      <c r="AA73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31" spans="1:27" x14ac:dyDescent="0.3">
      <c r="A731" t="s">
        <v>1071</v>
      </c>
      <c r="B731">
        <v>6670</v>
      </c>
      <c r="C731">
        <v>940</v>
      </c>
      <c r="D731">
        <f>IFERROR(tinder[[#This Row],[Tinder Opened]]/tinder[[#This Row],[Days on Tinder]],0)</f>
        <v>7.0957446808510642</v>
      </c>
      <c r="E731">
        <f>tinder[[#This Row],[Engagement]]/MAX(tinder[Engagement])</f>
        <v>3.565700844648776E-2</v>
      </c>
      <c r="F73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31">
        <v>1490</v>
      </c>
      <c r="H731">
        <f>IFERROR(tinder[[#This Row],[Conversations]]/tinder[[#This Row],[Tinder Opened]],0)</f>
        <v>0.22338830584707647</v>
      </c>
      <c r="I731">
        <f>tinder[[#This Row],[Conversations]]/MAX(tinder[Conversations])</f>
        <v>0.11786109792754311</v>
      </c>
      <c r="J731">
        <f>(tinder[[#This Row],[Norm Engagement]]*2)+(tinder[[#This Row],[Norm Swipes]]*1)+(tinder[[#This Row],[Norm Conversations]]*2)</f>
        <v>0.40137703572972094</v>
      </c>
      <c r="K73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31">
        <v>537</v>
      </c>
      <c r="M731">
        <v>5</v>
      </c>
      <c r="N731">
        <v>1740</v>
      </c>
      <c r="O731">
        <v>9721</v>
      </c>
      <c r="P731">
        <v>8489</v>
      </c>
      <c r="Q731">
        <f>tinder[[#This Row],[All Swipes]]/MAX(tinder[All Swipes])</f>
        <v>9.4340822981659161E-2</v>
      </c>
      <c r="R731">
        <f>tinder[[#This Row],[Swipe Right (LIKE)]]+tinder[[#This Row],[Swipe Left (PASS)]]</f>
        <v>80078</v>
      </c>
      <c r="S731">
        <v>57765</v>
      </c>
      <c r="T731">
        <v>22313</v>
      </c>
      <c r="U731" t="s">
        <v>8</v>
      </c>
      <c r="V731" s="1">
        <v>43159</v>
      </c>
      <c r="W731" t="s">
        <v>12</v>
      </c>
      <c r="X731" t="s">
        <v>1295</v>
      </c>
      <c r="Y731" t="s">
        <v>8</v>
      </c>
      <c r="Z731">
        <v>20</v>
      </c>
      <c r="AA73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32" spans="1:27" x14ac:dyDescent="0.3">
      <c r="A732" t="s">
        <v>1163</v>
      </c>
      <c r="B732">
        <v>6309</v>
      </c>
      <c r="C732">
        <v>890</v>
      </c>
      <c r="D732">
        <f>IFERROR(tinder[[#This Row],[Tinder Opened]]/tinder[[#This Row],[Days on Tinder]],0)</f>
        <v>7.0887640449438205</v>
      </c>
      <c r="E732">
        <f>tinder[[#This Row],[Engagement]]/MAX(tinder[Engagement])</f>
        <v>3.5621929874089547E-2</v>
      </c>
      <c r="F73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32">
        <v>521</v>
      </c>
      <c r="H732">
        <f>IFERROR(tinder[[#This Row],[Conversations]]/tinder[[#This Row],[Tinder Opened]],0)</f>
        <v>8.2580440640355052E-2</v>
      </c>
      <c r="I732">
        <f>tinder[[#This Row],[Conversations]]/MAX(tinder[Conversations])</f>
        <v>4.1211833570637554E-2</v>
      </c>
      <c r="J732">
        <f>(tinder[[#This Row],[Norm Engagement]]*2)+(tinder[[#This Row],[Norm Swipes]]*1)+(tinder[[#This Row],[Norm Conversations]]*2)</f>
        <v>0.22190257429666613</v>
      </c>
      <c r="K73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32">
        <v>101</v>
      </c>
      <c r="M732">
        <v>233</v>
      </c>
      <c r="N732">
        <v>2283</v>
      </c>
      <c r="O732">
        <v>1991</v>
      </c>
      <c r="P732">
        <v>2437</v>
      </c>
      <c r="Q732">
        <f>tinder[[#This Row],[All Swipes]]/MAX(tinder[All Swipes])</f>
        <v>6.8235047407211924E-2</v>
      </c>
      <c r="R732">
        <f>tinder[[#This Row],[Swipe Right (LIKE)]]+tinder[[#This Row],[Swipe Left (PASS)]]</f>
        <v>57919</v>
      </c>
      <c r="S732">
        <v>12130</v>
      </c>
      <c r="T732">
        <v>45789</v>
      </c>
      <c r="U732" t="s">
        <v>8</v>
      </c>
      <c r="V732" s="1">
        <v>43020</v>
      </c>
      <c r="W732" t="s">
        <v>7</v>
      </c>
      <c r="X732" t="s">
        <v>1295</v>
      </c>
      <c r="Y732" t="s">
        <v>8</v>
      </c>
      <c r="Z732">
        <v>19</v>
      </c>
      <c r="AA73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33" spans="1:27" x14ac:dyDescent="0.3">
      <c r="A733" t="s">
        <v>429</v>
      </c>
      <c r="B733">
        <v>5011</v>
      </c>
      <c r="C733">
        <v>709</v>
      </c>
      <c r="D733">
        <f>IFERROR(tinder[[#This Row],[Tinder Opened]]/tinder[[#This Row],[Days on Tinder]],0)</f>
        <v>7.0677009873060648</v>
      </c>
      <c r="E733">
        <f>tinder[[#This Row],[Engagement]]/MAX(tinder[Engagement])</f>
        <v>3.5516085363347057E-2</v>
      </c>
      <c r="F73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33">
        <v>62</v>
      </c>
      <c r="H733">
        <f>IFERROR(tinder[[#This Row],[Conversations]]/tinder[[#This Row],[Tinder Opened]],0)</f>
        <v>1.237277988425464E-2</v>
      </c>
      <c r="I733">
        <f>tinder[[#This Row],[Conversations]]/MAX(tinder[Conversations])</f>
        <v>4.9042872963138747E-3</v>
      </c>
      <c r="J733">
        <f>(tinder[[#This Row],[Norm Engagement]]*2)+(tinder[[#This Row],[Norm Swipes]]*1)+(tinder[[#This Row],[Norm Conversations]]*2)</f>
        <v>0.18316563080687157</v>
      </c>
      <c r="K73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33">
        <v>37</v>
      </c>
      <c r="M733">
        <v>1</v>
      </c>
      <c r="N733">
        <v>110</v>
      </c>
      <c r="O733">
        <v>190</v>
      </c>
      <c r="P733">
        <v>125</v>
      </c>
      <c r="Q733">
        <f>tinder[[#This Row],[All Swipes]]/MAX(tinder[All Swipes])</f>
        <v>0.10232488548754971</v>
      </c>
      <c r="R733">
        <f>tinder[[#This Row],[Swipe Right (LIKE)]]+tinder[[#This Row],[Swipe Left (PASS)]]</f>
        <v>86855</v>
      </c>
      <c r="S733">
        <v>48500</v>
      </c>
      <c r="T733">
        <v>38355</v>
      </c>
      <c r="U733" t="s">
        <v>10</v>
      </c>
      <c r="V733" s="1">
        <v>43443</v>
      </c>
      <c r="W733" t="s">
        <v>12</v>
      </c>
      <c r="X733" t="s">
        <v>1295</v>
      </c>
      <c r="Y733" t="s">
        <v>430</v>
      </c>
      <c r="Z733">
        <v>20</v>
      </c>
      <c r="AA73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34" spans="1:27" x14ac:dyDescent="0.3">
      <c r="A734" t="s">
        <v>1022</v>
      </c>
      <c r="B734">
        <v>9056</v>
      </c>
      <c r="C734">
        <v>1285</v>
      </c>
      <c r="D734">
        <f>IFERROR(tinder[[#This Row],[Tinder Opened]]/tinder[[#This Row],[Days on Tinder]],0)</f>
        <v>7.0474708171206224</v>
      </c>
      <c r="E734">
        <f>tinder[[#This Row],[Engagement]]/MAX(tinder[Engagement])</f>
        <v>3.5414426216686543E-2</v>
      </c>
      <c r="F73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34">
        <v>254</v>
      </c>
      <c r="H734">
        <f>IFERROR(tinder[[#This Row],[Conversations]]/tinder[[#This Row],[Tinder Opened]],0)</f>
        <v>2.8047703180212016E-2</v>
      </c>
      <c r="I734">
        <f>tinder[[#This Row],[Conversations]]/MAX(tinder[Conversations])</f>
        <v>2.0091757633285873E-2</v>
      </c>
      <c r="J734">
        <f>(tinder[[#This Row],[Norm Engagement]]*2)+(tinder[[#This Row],[Norm Swipes]]*1)+(tinder[[#This Row],[Norm Conversations]]*2)</f>
        <v>0.34285766750579205</v>
      </c>
      <c r="K73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34">
        <v>48</v>
      </c>
      <c r="M734">
        <v>6</v>
      </c>
      <c r="N734">
        <v>596</v>
      </c>
      <c r="O734">
        <v>2660</v>
      </c>
      <c r="P734">
        <v>2613</v>
      </c>
      <c r="Q734">
        <f>tinder[[#This Row],[All Swipes]]/MAX(tinder[All Swipes])</f>
        <v>0.2318452998058472</v>
      </c>
      <c r="R734">
        <f>tinder[[#This Row],[Swipe Right (LIKE)]]+tinder[[#This Row],[Swipe Left (PASS)]]</f>
        <v>196794</v>
      </c>
      <c r="S734">
        <v>23652</v>
      </c>
      <c r="T734">
        <v>173142</v>
      </c>
      <c r="U734" t="s">
        <v>8</v>
      </c>
      <c r="V734" s="1">
        <v>41921</v>
      </c>
      <c r="W734" t="s">
        <v>7</v>
      </c>
      <c r="X734" t="s">
        <v>1295</v>
      </c>
      <c r="Y734" t="s">
        <v>8</v>
      </c>
      <c r="Z734">
        <v>19</v>
      </c>
      <c r="AA73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35" spans="1:27" x14ac:dyDescent="0.3">
      <c r="A735" t="s">
        <v>344</v>
      </c>
      <c r="B735">
        <v>2013</v>
      </c>
      <c r="C735">
        <v>286</v>
      </c>
      <c r="D735">
        <f>IFERROR(tinder[[#This Row],[Tinder Opened]]/tinder[[#This Row],[Days on Tinder]],0)</f>
        <v>7.0384615384615383</v>
      </c>
      <c r="E735">
        <f>tinder[[#This Row],[Engagement]]/MAX(tinder[Engagement])</f>
        <v>3.5369153459605722E-2</v>
      </c>
      <c r="F73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35">
        <v>78</v>
      </c>
      <c r="H735">
        <f>IFERROR(tinder[[#This Row],[Conversations]]/tinder[[#This Row],[Tinder Opened]],0)</f>
        <v>3.8748137108792845E-2</v>
      </c>
      <c r="I735">
        <f>tinder[[#This Row],[Conversations]]/MAX(tinder[Conversations])</f>
        <v>6.1699098243948739E-3</v>
      </c>
      <c r="J735">
        <f>(tinder[[#This Row],[Norm Engagement]]*2)+(tinder[[#This Row],[Norm Swipes]]*1)+(tinder[[#This Row],[Norm Conversations]]*2)</f>
        <v>0.13418814334431078</v>
      </c>
      <c r="K73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35">
        <v>4</v>
      </c>
      <c r="M735">
        <v>0</v>
      </c>
      <c r="N735">
        <v>355</v>
      </c>
      <c r="O735">
        <v>1198</v>
      </c>
      <c r="P735">
        <v>824</v>
      </c>
      <c r="Q735">
        <f>tinder[[#This Row],[All Swipes]]/MAX(tinder[All Swipes])</f>
        <v>5.1110016776309587E-2</v>
      </c>
      <c r="R735">
        <f>tinder[[#This Row],[Swipe Right (LIKE)]]+tinder[[#This Row],[Swipe Left (PASS)]]</f>
        <v>43383</v>
      </c>
      <c r="S735">
        <v>18932</v>
      </c>
      <c r="T735">
        <v>24451</v>
      </c>
      <c r="U735" t="s">
        <v>140</v>
      </c>
      <c r="V735" s="1">
        <v>43045</v>
      </c>
      <c r="W735" t="s">
        <v>12</v>
      </c>
      <c r="X735" t="s">
        <v>1295</v>
      </c>
      <c r="Y735" t="s">
        <v>8</v>
      </c>
      <c r="Z735">
        <v>22</v>
      </c>
      <c r="AA73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36" spans="1:27" x14ac:dyDescent="0.3">
      <c r="A736" t="s">
        <v>1070</v>
      </c>
      <c r="B736">
        <v>2486</v>
      </c>
      <c r="C736">
        <v>354</v>
      </c>
      <c r="D736">
        <f>IFERROR(tinder[[#This Row],[Tinder Opened]]/tinder[[#This Row],[Days on Tinder]],0)</f>
        <v>7.0225988700564974</v>
      </c>
      <c r="E736">
        <f>tinder[[#This Row],[Engagement]]/MAX(tinder[Engagement])</f>
        <v>3.528944155807285E-2</v>
      </c>
      <c r="F73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Medium Engagement</v>
      </c>
      <c r="G736">
        <v>91</v>
      </c>
      <c r="H736">
        <f>IFERROR(tinder[[#This Row],[Conversations]]/tinder[[#This Row],[Tinder Opened]],0)</f>
        <v>3.6604987932421562E-2</v>
      </c>
      <c r="I736">
        <f>tinder[[#This Row],[Conversations]]/MAX(tinder[Conversations])</f>
        <v>7.1982281284606866E-3</v>
      </c>
      <c r="J736">
        <f>(tinder[[#This Row],[Norm Engagement]]*2)+(tinder[[#This Row],[Norm Swipes]]*1)+(tinder[[#This Row],[Norm Conversations]]*2)</f>
        <v>9.7867414923009585E-2</v>
      </c>
      <c r="K73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36">
        <v>23</v>
      </c>
      <c r="M736">
        <v>1</v>
      </c>
      <c r="N736">
        <v>93</v>
      </c>
      <c r="O736">
        <v>631</v>
      </c>
      <c r="P736">
        <v>463</v>
      </c>
      <c r="Q736">
        <f>tinder[[#This Row],[All Swipes]]/MAX(tinder[All Swipes])</f>
        <v>1.2892075549942508E-2</v>
      </c>
      <c r="R736">
        <f>tinder[[#This Row],[Swipe Right (LIKE)]]+tinder[[#This Row],[Swipe Left (PASS)]]</f>
        <v>10943</v>
      </c>
      <c r="S736">
        <v>8530</v>
      </c>
      <c r="T736">
        <v>2413</v>
      </c>
      <c r="U736" t="s">
        <v>311</v>
      </c>
      <c r="V736" s="1">
        <v>43334</v>
      </c>
      <c r="W736" t="s">
        <v>12</v>
      </c>
      <c r="X736" t="s">
        <v>1295</v>
      </c>
      <c r="Y736" t="s">
        <v>8</v>
      </c>
      <c r="Z736">
        <v>18</v>
      </c>
      <c r="AA73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37" spans="1:27" x14ac:dyDescent="0.3">
      <c r="A737" t="s">
        <v>229</v>
      </c>
      <c r="B737">
        <v>1727</v>
      </c>
      <c r="C737">
        <v>246</v>
      </c>
      <c r="D737">
        <f>IFERROR(tinder[[#This Row],[Tinder Opened]]/tinder[[#This Row],[Days on Tinder]],0)</f>
        <v>7.0203252032520327</v>
      </c>
      <c r="E737">
        <f>tinder[[#This Row],[Engagement]]/MAX(tinder[Engagement])</f>
        <v>3.5278016096743886E-2</v>
      </c>
      <c r="F73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37">
        <v>37</v>
      </c>
      <c r="H737">
        <f>IFERROR(tinder[[#This Row],[Conversations]]/tinder[[#This Row],[Tinder Opened]],0)</f>
        <v>2.1424435437174292E-2</v>
      </c>
      <c r="I737">
        <f>tinder[[#This Row],[Conversations]]/MAX(tinder[Conversations])</f>
        <v>2.9267520961873119E-3</v>
      </c>
      <c r="J737">
        <f>(tinder[[#This Row],[Norm Engagement]]*2)+(tinder[[#This Row],[Norm Swipes]]*1)+(tinder[[#This Row],[Norm Conversations]]*2)</f>
        <v>0.11657489613402926</v>
      </c>
      <c r="K73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37">
        <v>9</v>
      </c>
      <c r="M737">
        <v>2</v>
      </c>
      <c r="N737">
        <v>84</v>
      </c>
      <c r="O737">
        <v>200</v>
      </c>
      <c r="P737">
        <v>258</v>
      </c>
      <c r="Q737">
        <f>tinder[[#This Row],[All Swipes]]/MAX(tinder[All Swipes])</f>
        <v>4.0165359748166859E-2</v>
      </c>
      <c r="R737">
        <f>tinder[[#This Row],[Swipe Right (LIKE)]]+tinder[[#This Row],[Swipe Left (PASS)]]</f>
        <v>34093</v>
      </c>
      <c r="S737">
        <v>10517</v>
      </c>
      <c r="T737">
        <v>23576</v>
      </c>
      <c r="U737" t="s">
        <v>75</v>
      </c>
      <c r="V737" s="1">
        <v>43827</v>
      </c>
      <c r="W737" t="s">
        <v>12</v>
      </c>
      <c r="X737" t="s">
        <v>1295</v>
      </c>
      <c r="Y737" t="s">
        <v>8</v>
      </c>
      <c r="Z737">
        <v>32</v>
      </c>
      <c r="AA737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38" spans="1:27" x14ac:dyDescent="0.3">
      <c r="A738" t="s">
        <v>1115</v>
      </c>
      <c r="B738">
        <v>3282</v>
      </c>
      <c r="C738">
        <v>472</v>
      </c>
      <c r="D738">
        <f>IFERROR(tinder[[#This Row],[Tinder Opened]]/tinder[[#This Row],[Days on Tinder]],0)</f>
        <v>6.9533898305084749</v>
      </c>
      <c r="E738">
        <f>tinder[[#This Row],[Engagement]]/MAX(tinder[Engagement])</f>
        <v>3.4941657439741078E-2</v>
      </c>
      <c r="F73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38">
        <v>139</v>
      </c>
      <c r="H738">
        <f>IFERROR(tinder[[#This Row],[Conversations]]/tinder[[#This Row],[Tinder Opened]],0)</f>
        <v>4.2352224253503962E-2</v>
      </c>
      <c r="I738">
        <f>tinder[[#This Row],[Conversations]]/MAX(tinder[Conversations])</f>
        <v>1.0995095712703686E-2</v>
      </c>
      <c r="J738">
        <f>(tinder[[#This Row],[Norm Engagement]]*2)+(tinder[[#This Row],[Norm Swipes]]*1)+(tinder[[#This Row],[Norm Conversations]]*2)</f>
        <v>0.10622997460897428</v>
      </c>
      <c r="K73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38">
        <v>46</v>
      </c>
      <c r="M738">
        <v>0</v>
      </c>
      <c r="N738">
        <v>204</v>
      </c>
      <c r="O738">
        <v>1589</v>
      </c>
      <c r="P738">
        <v>963</v>
      </c>
      <c r="Q738">
        <f>tinder[[#This Row],[All Swipes]]/MAX(tinder[All Swipes])</f>
        <v>1.4356468304084749E-2</v>
      </c>
      <c r="R738">
        <f>tinder[[#This Row],[Swipe Right (LIKE)]]+tinder[[#This Row],[Swipe Left (PASS)]]</f>
        <v>12186</v>
      </c>
      <c r="S738">
        <v>9806</v>
      </c>
      <c r="T738">
        <v>2380</v>
      </c>
      <c r="U738" t="s">
        <v>61</v>
      </c>
      <c r="V738" s="1">
        <v>43134</v>
      </c>
      <c r="W738" t="s">
        <v>7</v>
      </c>
      <c r="X738" t="s">
        <v>1295</v>
      </c>
      <c r="Y738" t="s">
        <v>8</v>
      </c>
      <c r="Z738">
        <v>21</v>
      </c>
      <c r="AA73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39" spans="1:27" x14ac:dyDescent="0.3">
      <c r="A739" t="s">
        <v>710</v>
      </c>
      <c r="B739">
        <v>3100</v>
      </c>
      <c r="C739">
        <v>450</v>
      </c>
      <c r="D739">
        <f>IFERROR(tinder[[#This Row],[Tinder Opened]]/tinder[[#This Row],[Days on Tinder]],0)</f>
        <v>6.8888888888888893</v>
      </c>
      <c r="E739">
        <f>tinder[[#This Row],[Engagement]]/MAX(tinder[Engagement])</f>
        <v>3.461753210496929E-2</v>
      </c>
      <c r="F73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39">
        <v>45</v>
      </c>
      <c r="H739">
        <f>IFERROR(tinder[[#This Row],[Conversations]]/tinder[[#This Row],[Tinder Opened]],0)</f>
        <v>1.4516129032258065E-2</v>
      </c>
      <c r="I739">
        <f>tinder[[#This Row],[Conversations]]/MAX(tinder[Conversations])</f>
        <v>3.559563360227812E-3</v>
      </c>
      <c r="J739">
        <f>(tinder[[#This Row],[Norm Engagement]]*2)+(tinder[[#This Row],[Norm Swipes]]*1)+(tinder[[#This Row],[Norm Conversations]]*2)</f>
        <v>0.12987815843336303</v>
      </c>
      <c r="K73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39">
        <v>16</v>
      </c>
      <c r="M739">
        <v>2</v>
      </c>
      <c r="N739">
        <v>110</v>
      </c>
      <c r="O739">
        <v>396</v>
      </c>
      <c r="P739">
        <v>380</v>
      </c>
      <c r="Q739">
        <f>tinder[[#This Row],[All Swipes]]/MAX(tinder[All Swipes])</f>
        <v>5.3523967502968839E-2</v>
      </c>
      <c r="R739">
        <f>tinder[[#This Row],[Swipe Right (LIKE)]]+tinder[[#This Row],[Swipe Left (PASS)]]</f>
        <v>45432</v>
      </c>
      <c r="S739">
        <v>6006</v>
      </c>
      <c r="T739">
        <v>39426</v>
      </c>
      <c r="U739" t="s">
        <v>8</v>
      </c>
      <c r="V739" s="1">
        <v>43358</v>
      </c>
      <c r="W739" t="s">
        <v>12</v>
      </c>
      <c r="X739" t="s">
        <v>1295</v>
      </c>
      <c r="Y739" t="s">
        <v>8</v>
      </c>
      <c r="Z739">
        <v>24</v>
      </c>
      <c r="AA73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40" spans="1:27" x14ac:dyDescent="0.3">
      <c r="A740" t="s">
        <v>97</v>
      </c>
      <c r="B740">
        <v>5798</v>
      </c>
      <c r="C740">
        <v>843</v>
      </c>
      <c r="D740">
        <f>IFERROR(tinder[[#This Row],[Tinder Opened]]/tinder[[#This Row],[Days on Tinder]],0)</f>
        <v>6.8778173190984582</v>
      </c>
      <c r="E740">
        <f>tinder[[#This Row],[Engagement]]/MAX(tinder[Engagement])</f>
        <v>3.4561896075871651E-2</v>
      </c>
      <c r="F74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40">
        <v>847</v>
      </c>
      <c r="H740">
        <f>IFERROR(tinder[[#This Row],[Conversations]]/tinder[[#This Row],[Tinder Opened]],0)</f>
        <v>0.14608485684718869</v>
      </c>
      <c r="I740">
        <f>tinder[[#This Row],[Conversations]]/MAX(tinder[Conversations])</f>
        <v>6.6998892580287933E-2</v>
      </c>
      <c r="J740">
        <f>(tinder[[#This Row],[Norm Engagement]]*2)+(tinder[[#This Row],[Norm Swipes]]*1)+(tinder[[#This Row],[Norm Conversations]]*2)</f>
        <v>0.26469793779562767</v>
      </c>
      <c r="K74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40">
        <v>397</v>
      </c>
      <c r="M740">
        <v>45</v>
      </c>
      <c r="N740">
        <v>1847</v>
      </c>
      <c r="O740">
        <v>2517</v>
      </c>
      <c r="P740">
        <v>1659</v>
      </c>
      <c r="Q740">
        <f>tinder[[#This Row],[All Swipes]]/MAX(tinder[All Swipes])</f>
        <v>6.1576360483308515E-2</v>
      </c>
      <c r="R740">
        <f>tinder[[#This Row],[Swipe Right (LIKE)]]+tinder[[#This Row],[Swipe Left (PASS)]]</f>
        <v>52267</v>
      </c>
      <c r="S740">
        <v>50459</v>
      </c>
      <c r="T740">
        <v>1808</v>
      </c>
      <c r="U740" t="s">
        <v>10</v>
      </c>
      <c r="V740" s="1">
        <v>42107</v>
      </c>
      <c r="W740" t="s">
        <v>7</v>
      </c>
      <c r="X740" t="s">
        <v>1295</v>
      </c>
      <c r="Y740" t="s">
        <v>98</v>
      </c>
      <c r="Z740">
        <v>17</v>
      </c>
      <c r="AA74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41" spans="1:27" x14ac:dyDescent="0.3">
      <c r="A741" t="s">
        <v>913</v>
      </c>
      <c r="B741">
        <v>3473</v>
      </c>
      <c r="C741">
        <v>505</v>
      </c>
      <c r="D741">
        <f>IFERROR(tinder[[#This Row],[Tinder Opened]]/tinder[[#This Row],[Days on Tinder]],0)</f>
        <v>6.8772277227722771</v>
      </c>
      <c r="E741">
        <f>tinder[[#This Row],[Engagement]]/MAX(tinder[Engagement])</f>
        <v>3.4558933280262702E-2</v>
      </c>
      <c r="F74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41">
        <v>163</v>
      </c>
      <c r="H741">
        <f>IFERROR(tinder[[#This Row],[Conversations]]/tinder[[#This Row],[Tinder Opened]],0)</f>
        <v>4.6933486898934638E-2</v>
      </c>
      <c r="I741">
        <f>tinder[[#This Row],[Conversations]]/MAX(tinder[Conversations])</f>
        <v>1.2893529504825186E-2</v>
      </c>
      <c r="J741">
        <f>(tinder[[#This Row],[Norm Engagement]]*2)+(tinder[[#This Row],[Norm Swipes]]*1)+(tinder[[#This Row],[Norm Conversations]]*2)</f>
        <v>0.14944324718522545</v>
      </c>
      <c r="K74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41">
        <v>94</v>
      </c>
      <c r="M741">
        <v>13</v>
      </c>
      <c r="N741">
        <v>408</v>
      </c>
      <c r="O741">
        <v>685</v>
      </c>
      <c r="P741">
        <v>524</v>
      </c>
      <c r="Q741">
        <f>tinder[[#This Row],[All Swipes]]/MAX(tinder[All Swipes])</f>
        <v>5.4538321615049672E-2</v>
      </c>
      <c r="R741">
        <f>tinder[[#This Row],[Swipe Right (LIKE)]]+tinder[[#This Row],[Swipe Left (PASS)]]</f>
        <v>46293</v>
      </c>
      <c r="S741">
        <v>22722</v>
      </c>
      <c r="T741">
        <v>23571</v>
      </c>
      <c r="U741" t="s">
        <v>27</v>
      </c>
      <c r="V741" s="1">
        <v>42902</v>
      </c>
      <c r="W741" t="s">
        <v>12</v>
      </c>
      <c r="X741" t="s">
        <v>1295</v>
      </c>
      <c r="Y741" t="s">
        <v>8</v>
      </c>
      <c r="Z741">
        <v>31</v>
      </c>
      <c r="AA741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42" spans="1:27" x14ac:dyDescent="0.3">
      <c r="A742" t="s">
        <v>1118</v>
      </c>
      <c r="B742">
        <v>5223</v>
      </c>
      <c r="C742">
        <v>762</v>
      </c>
      <c r="D742">
        <f>IFERROR(tinder[[#This Row],[Tinder Opened]]/tinder[[#This Row],[Days on Tinder]],0)</f>
        <v>6.8543307086614176</v>
      </c>
      <c r="E742">
        <f>tinder[[#This Row],[Engagement]]/MAX(tinder[Engagement])</f>
        <v>3.4443872907846319E-2</v>
      </c>
      <c r="F74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42">
        <v>327</v>
      </c>
      <c r="H742">
        <f>IFERROR(tinder[[#This Row],[Conversations]]/tinder[[#This Row],[Tinder Opened]],0)</f>
        <v>6.2607696726019527E-2</v>
      </c>
      <c r="I742">
        <f>tinder[[#This Row],[Conversations]]/MAX(tinder[Conversations])</f>
        <v>2.5866160417655434E-2</v>
      </c>
      <c r="J742">
        <f>(tinder[[#This Row],[Norm Engagement]]*2)+(tinder[[#This Row],[Norm Swipes]]*1)+(tinder[[#This Row],[Norm Conversations]]*2)</f>
        <v>0.28431867742177125</v>
      </c>
      <c r="K74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42">
        <v>142</v>
      </c>
      <c r="M742">
        <v>36</v>
      </c>
      <c r="N742">
        <v>856</v>
      </c>
      <c r="O742">
        <v>765</v>
      </c>
      <c r="P742">
        <v>638</v>
      </c>
      <c r="Q742">
        <f>tinder[[#This Row],[All Swipes]]/MAX(tinder[All Swipes])</f>
        <v>0.16369861077076775</v>
      </c>
      <c r="R742">
        <f>tinder[[#This Row],[Swipe Right (LIKE)]]+tinder[[#This Row],[Swipe Left (PASS)]]</f>
        <v>138950</v>
      </c>
      <c r="S742">
        <v>111691</v>
      </c>
      <c r="T742">
        <v>27259</v>
      </c>
      <c r="U742" t="s">
        <v>10</v>
      </c>
      <c r="V742" s="1">
        <v>43195</v>
      </c>
      <c r="W742" t="s">
        <v>12</v>
      </c>
      <c r="X742" t="s">
        <v>1295</v>
      </c>
      <c r="Y742" t="s">
        <v>1119</v>
      </c>
      <c r="Z742">
        <v>22</v>
      </c>
      <c r="AA74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43" spans="1:27" x14ac:dyDescent="0.3">
      <c r="A743" t="s">
        <v>1024</v>
      </c>
      <c r="B743">
        <v>459</v>
      </c>
      <c r="C743">
        <v>67</v>
      </c>
      <c r="D743">
        <f>IFERROR(tinder[[#This Row],[Tinder Opened]]/tinder[[#This Row],[Days on Tinder]],0)</f>
        <v>6.8507462686567164</v>
      </c>
      <c r="E743">
        <f>tinder[[#This Row],[Engagement]]/MAX(tinder[Engagement])</f>
        <v>3.4425860646516163E-2</v>
      </c>
      <c r="F74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43">
        <v>84</v>
      </c>
      <c r="H743">
        <f>IFERROR(tinder[[#This Row],[Conversations]]/tinder[[#This Row],[Tinder Opened]],0)</f>
        <v>0.18300653594771241</v>
      </c>
      <c r="I743">
        <f>tinder[[#This Row],[Conversations]]/MAX(tinder[Conversations])</f>
        <v>6.6445182724252493E-3</v>
      </c>
      <c r="J743">
        <f>(tinder[[#This Row],[Norm Engagement]]*2)+(tinder[[#This Row],[Norm Swipes]]*1)+(tinder[[#This Row],[Norm Conversations]]*2)</f>
        <v>8.9334307441094829E-2</v>
      </c>
      <c r="K74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43">
        <v>7</v>
      </c>
      <c r="M743">
        <v>39</v>
      </c>
      <c r="N743">
        <v>61</v>
      </c>
      <c r="O743">
        <v>633</v>
      </c>
      <c r="P743">
        <v>782</v>
      </c>
      <c r="Q743">
        <f>tinder[[#This Row],[All Swipes]]/MAX(tinder[All Swipes])</f>
        <v>7.1935496032120034E-3</v>
      </c>
      <c r="R743">
        <f>tinder[[#This Row],[Swipe Right (LIKE)]]+tinder[[#This Row],[Swipe Left (PASS)]]</f>
        <v>6106</v>
      </c>
      <c r="S743">
        <v>103</v>
      </c>
      <c r="T743">
        <v>6003</v>
      </c>
      <c r="U743" t="s">
        <v>27</v>
      </c>
      <c r="V743" s="1">
        <v>44129</v>
      </c>
      <c r="W743" t="s">
        <v>12</v>
      </c>
      <c r="X743" t="s">
        <v>1296</v>
      </c>
      <c r="Y743" t="s">
        <v>1025</v>
      </c>
      <c r="Z743">
        <v>24</v>
      </c>
      <c r="AA74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44" spans="1:27" x14ac:dyDescent="0.3">
      <c r="A744" t="s">
        <v>1141</v>
      </c>
      <c r="B744">
        <v>6120</v>
      </c>
      <c r="C744">
        <v>895</v>
      </c>
      <c r="D744">
        <f>IFERROR(tinder[[#This Row],[Tinder Opened]]/tinder[[#This Row],[Days on Tinder]],0)</f>
        <v>6.8379888268156428</v>
      </c>
      <c r="E744">
        <f>tinder[[#This Row],[Engagement]]/MAX(tinder[Engagement])</f>
        <v>3.4361752898571067E-2</v>
      </c>
      <c r="F74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44">
        <v>106</v>
      </c>
      <c r="H744">
        <f>IFERROR(tinder[[#This Row],[Conversations]]/tinder[[#This Row],[Tinder Opened]],0)</f>
        <v>1.7320261437908498E-2</v>
      </c>
      <c r="I744">
        <f>tinder[[#This Row],[Conversations]]/MAX(tinder[Conversations])</f>
        <v>8.3847492485366239E-3</v>
      </c>
      <c r="J744">
        <f>(tinder[[#This Row],[Norm Engagement]]*2)+(tinder[[#This Row],[Norm Swipes]]*1)+(tinder[[#This Row],[Norm Conversations]]*2)</f>
        <v>0.22137168707116586</v>
      </c>
      <c r="K74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44">
        <v>35</v>
      </c>
      <c r="M744">
        <v>4</v>
      </c>
      <c r="N744">
        <v>282</v>
      </c>
      <c r="O744">
        <v>642</v>
      </c>
      <c r="P744">
        <v>474</v>
      </c>
      <c r="Q744">
        <f>tinder[[#This Row],[All Swipes]]/MAX(tinder[All Swipes])</f>
        <v>0.13587868277695048</v>
      </c>
      <c r="R744">
        <f>tinder[[#This Row],[Swipe Right (LIKE)]]+tinder[[#This Row],[Swipe Left (PASS)]]</f>
        <v>115336</v>
      </c>
      <c r="S744">
        <v>52421</v>
      </c>
      <c r="T744">
        <v>62915</v>
      </c>
      <c r="U744" t="s">
        <v>69</v>
      </c>
      <c r="V744" s="1">
        <v>42719</v>
      </c>
      <c r="W744" t="s">
        <v>12</v>
      </c>
      <c r="X744" t="s">
        <v>1295</v>
      </c>
      <c r="Y744" t="s">
        <v>1142</v>
      </c>
      <c r="Z744">
        <v>22</v>
      </c>
      <c r="AA74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45" spans="1:27" x14ac:dyDescent="0.3">
      <c r="A745" t="s">
        <v>1092</v>
      </c>
      <c r="B745">
        <v>4635</v>
      </c>
      <c r="C745">
        <v>679</v>
      </c>
      <c r="D745">
        <f>IFERROR(tinder[[#This Row],[Tinder Opened]]/tinder[[#This Row],[Days on Tinder]],0)</f>
        <v>6.8262150220913105</v>
      </c>
      <c r="E745">
        <f>tinder[[#This Row],[Engagement]]/MAX(tinder[Engagement])</f>
        <v>3.4302588050710105E-2</v>
      </c>
      <c r="F74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45">
        <v>291</v>
      </c>
      <c r="H745">
        <f>IFERROR(tinder[[#This Row],[Conversations]]/tinder[[#This Row],[Tinder Opened]],0)</f>
        <v>6.2783171521035602E-2</v>
      </c>
      <c r="I745">
        <f>tinder[[#This Row],[Conversations]]/MAX(tinder[Conversations])</f>
        <v>2.3018509729473186E-2</v>
      </c>
      <c r="J745">
        <f>(tinder[[#This Row],[Norm Engagement]]*2)+(tinder[[#This Row],[Norm Swipes]]*1)+(tinder[[#This Row],[Norm Conversations]]*2)</f>
        <v>0.12728568955670971</v>
      </c>
      <c r="K74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45">
        <v>111</v>
      </c>
      <c r="M745">
        <v>26</v>
      </c>
      <c r="N745">
        <v>1224</v>
      </c>
      <c r="O745">
        <v>2201</v>
      </c>
      <c r="P745">
        <v>2715</v>
      </c>
      <c r="Q745">
        <f>tinder[[#This Row],[All Swipes]]/MAX(tinder[All Swipes])</f>
        <v>1.2643493996343142E-2</v>
      </c>
      <c r="R745">
        <f>tinder[[#This Row],[Swipe Right (LIKE)]]+tinder[[#This Row],[Swipe Left (PASS)]]</f>
        <v>10732</v>
      </c>
      <c r="S745">
        <v>2567</v>
      </c>
      <c r="T745">
        <v>8165</v>
      </c>
      <c r="U745" t="s">
        <v>10</v>
      </c>
      <c r="V745" s="1">
        <v>42363</v>
      </c>
      <c r="W745" t="s">
        <v>7</v>
      </c>
      <c r="X745" t="s">
        <v>1296</v>
      </c>
      <c r="Y745" t="s">
        <v>1093</v>
      </c>
      <c r="Z745">
        <v>22</v>
      </c>
      <c r="AA74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46" spans="1:27" x14ac:dyDescent="0.3">
      <c r="A746" t="s">
        <v>749</v>
      </c>
      <c r="B746">
        <v>860</v>
      </c>
      <c r="C746">
        <v>126</v>
      </c>
      <c r="D746">
        <f>IFERROR(tinder[[#This Row],[Tinder Opened]]/tinder[[#This Row],[Days on Tinder]],0)</f>
        <v>6.8253968253968251</v>
      </c>
      <c r="E746">
        <f>tinder[[#This Row],[Engagement]]/MAX(tinder[Engagement])</f>
        <v>3.4298476509531786E-2</v>
      </c>
      <c r="F74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46">
        <v>115</v>
      </c>
      <c r="H746">
        <f>IFERROR(tinder[[#This Row],[Conversations]]/tinder[[#This Row],[Tinder Opened]],0)</f>
        <v>0.13372093023255813</v>
      </c>
      <c r="I746">
        <f>tinder[[#This Row],[Conversations]]/MAX(tinder[Conversations])</f>
        <v>9.0966619205821858E-3</v>
      </c>
      <c r="J746">
        <f>(tinder[[#This Row],[Norm Engagement]]*2)+(tinder[[#This Row],[Norm Swipes]]*1)+(tinder[[#This Row],[Norm Conversations]]*2)</f>
        <v>0.11738230151574811</v>
      </c>
      <c r="K74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46">
        <v>59</v>
      </c>
      <c r="M746">
        <v>4</v>
      </c>
      <c r="N746">
        <v>118</v>
      </c>
      <c r="O746">
        <v>472</v>
      </c>
      <c r="P746">
        <v>424</v>
      </c>
      <c r="Q746">
        <f>tinder[[#This Row],[All Swipes]]/MAX(tinder[All Swipes])</f>
        <v>3.0592024655520161E-2</v>
      </c>
      <c r="R746">
        <f>tinder[[#This Row],[Swipe Right (LIKE)]]+tinder[[#This Row],[Swipe Left (PASS)]]</f>
        <v>25967</v>
      </c>
      <c r="S746">
        <v>24117</v>
      </c>
      <c r="T746">
        <v>1850</v>
      </c>
      <c r="U746" t="s">
        <v>75</v>
      </c>
      <c r="V746" s="1">
        <v>44150</v>
      </c>
      <c r="W746" t="s">
        <v>12</v>
      </c>
      <c r="X746" t="s">
        <v>1295</v>
      </c>
      <c r="Y746" t="s">
        <v>8</v>
      </c>
      <c r="Z746">
        <v>28</v>
      </c>
      <c r="AA74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47" spans="1:27" x14ac:dyDescent="0.3">
      <c r="A747" t="s">
        <v>519</v>
      </c>
      <c r="B747">
        <v>4363</v>
      </c>
      <c r="C747">
        <v>640</v>
      </c>
      <c r="D747">
        <f>IFERROR(tinder[[#This Row],[Tinder Opened]]/tinder[[#This Row],[Days on Tinder]],0)</f>
        <v>6.8171875000000002</v>
      </c>
      <c r="E747">
        <f>tinder[[#This Row],[Engagement]]/MAX(tinder[Engagement])</f>
        <v>3.425722361809045E-2</v>
      </c>
      <c r="F74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47">
        <v>81</v>
      </c>
      <c r="H747">
        <f>IFERROR(tinder[[#This Row],[Conversations]]/tinder[[#This Row],[Tinder Opened]],0)</f>
        <v>1.8565207426082971E-2</v>
      </c>
      <c r="I747">
        <f>tinder[[#This Row],[Conversations]]/MAX(tinder[Conversations])</f>
        <v>6.407214048410062E-3</v>
      </c>
      <c r="J747">
        <f>(tinder[[#This Row],[Norm Engagement]]*2)+(tinder[[#This Row],[Norm Swipes]]*1)+(tinder[[#This Row],[Norm Conversations]]*2)</f>
        <v>0.13785584937684561</v>
      </c>
      <c r="K74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47">
        <v>44</v>
      </c>
      <c r="M747">
        <v>0</v>
      </c>
      <c r="N747">
        <v>111</v>
      </c>
      <c r="O747">
        <v>503</v>
      </c>
      <c r="P747">
        <v>495</v>
      </c>
      <c r="Q747">
        <f>tinder[[#This Row],[All Swipes]]/MAX(tinder[All Swipes])</f>
        <v>5.6526974043844602E-2</v>
      </c>
      <c r="R747">
        <f>tinder[[#This Row],[Swipe Right (LIKE)]]+tinder[[#This Row],[Swipe Left (PASS)]]</f>
        <v>47981</v>
      </c>
      <c r="S747">
        <v>21377</v>
      </c>
      <c r="T747">
        <v>26604</v>
      </c>
      <c r="U747" t="s">
        <v>8</v>
      </c>
      <c r="V747" s="1">
        <v>43363</v>
      </c>
      <c r="W747" t="s">
        <v>12</v>
      </c>
      <c r="X747" t="s">
        <v>1295</v>
      </c>
      <c r="Y747" t="s">
        <v>8</v>
      </c>
      <c r="Z747">
        <v>21</v>
      </c>
      <c r="AA74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48" spans="1:27" x14ac:dyDescent="0.3">
      <c r="A748" t="s">
        <v>531</v>
      </c>
      <c r="B748">
        <v>828</v>
      </c>
      <c r="C748">
        <v>122</v>
      </c>
      <c r="D748">
        <f>IFERROR(tinder[[#This Row],[Tinder Opened]]/tinder[[#This Row],[Days on Tinder]],0)</f>
        <v>6.7868852459016393</v>
      </c>
      <c r="E748">
        <f>tinder[[#This Row],[Engagement]]/MAX(tinder[Engagement])</f>
        <v>3.4104950984430352E-2</v>
      </c>
      <c r="F74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48">
        <v>29</v>
      </c>
      <c r="H748">
        <f>IFERROR(tinder[[#This Row],[Conversations]]/tinder[[#This Row],[Tinder Opened]],0)</f>
        <v>3.5024154589371984E-2</v>
      </c>
      <c r="I748">
        <f>tinder[[#This Row],[Conversations]]/MAX(tinder[Conversations])</f>
        <v>2.2939408321468123E-3</v>
      </c>
      <c r="J748">
        <f>(tinder[[#This Row],[Norm Engagement]]*2)+(tinder[[#This Row],[Norm Swipes]]*1)+(tinder[[#This Row],[Norm Conversations]]*2)</f>
        <v>7.6411051997558391E-2</v>
      </c>
      <c r="K74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48">
        <v>8</v>
      </c>
      <c r="M748">
        <v>1</v>
      </c>
      <c r="N748">
        <v>41</v>
      </c>
      <c r="O748">
        <v>516</v>
      </c>
      <c r="P748">
        <v>432</v>
      </c>
      <c r="Q748">
        <f>tinder[[#This Row],[All Swipes]]/MAX(tinder[All Swipes])</f>
        <v>3.613268364404064E-3</v>
      </c>
      <c r="R748">
        <f>tinder[[#This Row],[Swipe Right (LIKE)]]+tinder[[#This Row],[Swipe Left (PASS)]]</f>
        <v>3067</v>
      </c>
      <c r="S748">
        <v>1784</v>
      </c>
      <c r="T748">
        <v>1283</v>
      </c>
      <c r="U748" t="s">
        <v>8</v>
      </c>
      <c r="V748" s="1">
        <v>43807</v>
      </c>
      <c r="W748" t="s">
        <v>12</v>
      </c>
      <c r="X748" t="s">
        <v>1295</v>
      </c>
      <c r="Y748" t="s">
        <v>173</v>
      </c>
      <c r="Z748">
        <v>33</v>
      </c>
      <c r="AA74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49" spans="1:27" x14ac:dyDescent="0.3">
      <c r="A749" t="s">
        <v>1165</v>
      </c>
      <c r="B749">
        <v>645</v>
      </c>
      <c r="C749">
        <v>96</v>
      </c>
      <c r="D749">
        <f>IFERROR(tinder[[#This Row],[Tinder Opened]]/tinder[[#This Row],[Days on Tinder]],0)</f>
        <v>6.71875</v>
      </c>
      <c r="E749">
        <f>tinder[[#This Row],[Engagement]]/MAX(tinder[Engagement])</f>
        <v>3.3762562814070349E-2</v>
      </c>
      <c r="F74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49">
        <v>26</v>
      </c>
      <c r="H749">
        <f>IFERROR(tinder[[#This Row],[Conversations]]/tinder[[#This Row],[Tinder Opened]],0)</f>
        <v>4.0310077519379844E-2</v>
      </c>
      <c r="I749">
        <f>tinder[[#This Row],[Conversations]]/MAX(tinder[Conversations])</f>
        <v>2.0566366081316246E-3</v>
      </c>
      <c r="J749">
        <f>(tinder[[#This Row],[Norm Engagement]]*2)+(tinder[[#This Row],[Norm Swipes]]*1)+(tinder[[#This Row],[Norm Conversations]]*2)</f>
        <v>9.2511002565351705E-2</v>
      </c>
      <c r="K74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49">
        <v>5</v>
      </c>
      <c r="M749">
        <v>7</v>
      </c>
      <c r="N749">
        <v>42</v>
      </c>
      <c r="O749">
        <v>123</v>
      </c>
      <c r="P749">
        <v>130</v>
      </c>
      <c r="Q749">
        <f>tinder[[#This Row],[All Swipes]]/MAX(tinder[All Swipes])</f>
        <v>2.0872603720947767E-2</v>
      </c>
      <c r="R749">
        <f>tinder[[#This Row],[Swipe Right (LIKE)]]+tinder[[#This Row],[Swipe Left (PASS)]]</f>
        <v>17717</v>
      </c>
      <c r="S749">
        <v>1964</v>
      </c>
      <c r="T749">
        <v>15753</v>
      </c>
      <c r="U749" t="s">
        <v>61</v>
      </c>
      <c r="V749" s="1">
        <v>44009</v>
      </c>
      <c r="W749" t="s">
        <v>12</v>
      </c>
      <c r="X749" t="s">
        <v>1295</v>
      </c>
      <c r="Y749" t="s">
        <v>1166</v>
      </c>
      <c r="Z749">
        <v>33</v>
      </c>
      <c r="AA749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50" spans="1:27" x14ac:dyDescent="0.3">
      <c r="A750" t="s">
        <v>371</v>
      </c>
      <c r="B750">
        <v>13269</v>
      </c>
      <c r="C750">
        <v>1977</v>
      </c>
      <c r="D750">
        <f>IFERROR(tinder[[#This Row],[Tinder Opened]]/tinder[[#This Row],[Days on Tinder]],0)</f>
        <v>6.7116843702579665</v>
      </c>
      <c r="E750">
        <f>tinder[[#This Row],[Engagement]]/MAX(tinder[Engagement])</f>
        <v>3.3727057136974707E-2</v>
      </c>
      <c r="F75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50">
        <v>97</v>
      </c>
      <c r="H750">
        <f>IFERROR(tinder[[#This Row],[Conversations]]/tinder[[#This Row],[Tinder Opened]],0)</f>
        <v>7.3102720627025398E-3</v>
      </c>
      <c r="I750">
        <f>tinder[[#This Row],[Conversations]]/MAX(tinder[Conversations])</f>
        <v>7.6728365764910612E-3</v>
      </c>
      <c r="J750">
        <f>(tinder[[#This Row],[Norm Engagement]]*2)+(tinder[[#This Row],[Norm Swipes]]*1)+(tinder[[#This Row],[Norm Conversations]]*2)</f>
        <v>0.14549535395725144</v>
      </c>
      <c r="K75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50">
        <v>50</v>
      </c>
      <c r="M750">
        <v>3</v>
      </c>
      <c r="N750">
        <v>136</v>
      </c>
      <c r="O750">
        <v>439</v>
      </c>
      <c r="P750">
        <v>439</v>
      </c>
      <c r="Q750">
        <f>tinder[[#This Row],[All Swipes]]/MAX(tinder[All Swipes])</f>
        <v>6.2695566530319879E-2</v>
      </c>
      <c r="R750">
        <f>tinder[[#This Row],[Swipe Right (LIKE)]]+tinder[[#This Row],[Swipe Left (PASS)]]</f>
        <v>53217</v>
      </c>
      <c r="S750">
        <v>18650</v>
      </c>
      <c r="T750">
        <v>34567</v>
      </c>
      <c r="U750" t="s">
        <v>65</v>
      </c>
      <c r="V750" s="1">
        <v>41814</v>
      </c>
      <c r="W750" t="s">
        <v>12</v>
      </c>
      <c r="X750" t="s">
        <v>1295</v>
      </c>
      <c r="Y750" t="s">
        <v>8</v>
      </c>
      <c r="Z750">
        <v>31</v>
      </c>
      <c r="AA75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51" spans="1:27" x14ac:dyDescent="0.3">
      <c r="A751" t="s">
        <v>160</v>
      </c>
      <c r="B751">
        <v>5963</v>
      </c>
      <c r="C751">
        <v>892</v>
      </c>
      <c r="D751">
        <f>IFERROR(tinder[[#This Row],[Tinder Opened]]/tinder[[#This Row],[Days on Tinder]],0)</f>
        <v>6.684977578475336</v>
      </c>
      <c r="E751">
        <f>tinder[[#This Row],[Engagement]]/MAX(tinder[Engagement])</f>
        <v>3.3592852153142394E-2</v>
      </c>
      <c r="F75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51">
        <v>55</v>
      </c>
      <c r="H751">
        <f>IFERROR(tinder[[#This Row],[Conversations]]/tinder[[#This Row],[Tinder Opened]],0)</f>
        <v>9.2235451953714565E-3</v>
      </c>
      <c r="I751">
        <f>tinder[[#This Row],[Conversations]]/MAX(tinder[Conversations])</f>
        <v>4.3505774402784365E-3</v>
      </c>
      <c r="J751">
        <f>(tinder[[#This Row],[Norm Engagement]]*2)+(tinder[[#This Row],[Norm Swipes]]*1)+(tinder[[#This Row],[Norm Conversations]]*2)</f>
        <v>0.15345137257961464</v>
      </c>
      <c r="K75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51">
        <v>14</v>
      </c>
      <c r="M751">
        <v>20</v>
      </c>
      <c r="N751">
        <v>174</v>
      </c>
      <c r="O751">
        <v>237</v>
      </c>
      <c r="P751">
        <v>250</v>
      </c>
      <c r="Q751">
        <f>tinder[[#This Row],[All Swipes]]/MAX(tinder[All Swipes])</f>
        <v>7.7564513392772996E-2</v>
      </c>
      <c r="R751">
        <f>tinder[[#This Row],[Swipe Right (LIKE)]]+tinder[[#This Row],[Swipe Left (PASS)]]</f>
        <v>65838</v>
      </c>
      <c r="S751">
        <v>850</v>
      </c>
      <c r="T751">
        <v>64988</v>
      </c>
      <c r="U751" t="s">
        <v>8</v>
      </c>
      <c r="V751" s="1">
        <v>42512</v>
      </c>
      <c r="W751" t="s">
        <v>12</v>
      </c>
      <c r="X751" t="s">
        <v>1296</v>
      </c>
      <c r="Y751" t="s">
        <v>8</v>
      </c>
      <c r="Z751">
        <v>19</v>
      </c>
      <c r="AA75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52" spans="1:27" x14ac:dyDescent="0.3">
      <c r="A752" t="s">
        <v>217</v>
      </c>
      <c r="B752">
        <v>2818</v>
      </c>
      <c r="C752">
        <v>422</v>
      </c>
      <c r="D752">
        <f>IFERROR(tinder[[#This Row],[Tinder Opened]]/tinder[[#This Row],[Days on Tinder]],0)</f>
        <v>6.6777251184834121</v>
      </c>
      <c r="E752">
        <f>tinder[[#This Row],[Engagement]]/MAX(tinder[Engagement])</f>
        <v>3.3556407630569912E-2</v>
      </c>
      <c r="F75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52">
        <v>241</v>
      </c>
      <c r="H752">
        <f>IFERROR(tinder[[#This Row],[Conversations]]/tinder[[#This Row],[Tinder Opened]],0)</f>
        <v>8.5521646557842446E-2</v>
      </c>
      <c r="I752">
        <f>tinder[[#This Row],[Conversations]]/MAX(tinder[Conversations])</f>
        <v>1.9063439329220059E-2</v>
      </c>
      <c r="J752">
        <f>(tinder[[#This Row],[Norm Engagement]]*2)+(tinder[[#This Row],[Norm Swipes]]*1)+(tinder[[#This Row],[Norm Conversations]]*2)</f>
        <v>0.13397972709520339</v>
      </c>
      <c r="K75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52">
        <v>45</v>
      </c>
      <c r="M752">
        <v>5</v>
      </c>
      <c r="N752">
        <v>418</v>
      </c>
      <c r="O752">
        <v>4072</v>
      </c>
      <c r="P752">
        <v>2823</v>
      </c>
      <c r="Q752">
        <f>tinder[[#This Row],[All Swipes]]/MAX(tinder[All Swipes])</f>
        <v>2.8740033175623458E-2</v>
      </c>
      <c r="R752">
        <f>tinder[[#This Row],[Swipe Right (LIKE)]]+tinder[[#This Row],[Swipe Left (PASS)]]</f>
        <v>24395</v>
      </c>
      <c r="S752">
        <v>17461</v>
      </c>
      <c r="T752">
        <v>6934</v>
      </c>
      <c r="U752" t="s">
        <v>8</v>
      </c>
      <c r="V752" s="1">
        <v>41613</v>
      </c>
      <c r="W752" t="s">
        <v>7</v>
      </c>
      <c r="X752" t="s">
        <v>1295</v>
      </c>
      <c r="Y752" t="s">
        <v>218</v>
      </c>
      <c r="Z752">
        <v>15</v>
      </c>
      <c r="AA75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53" spans="1:27" x14ac:dyDescent="0.3">
      <c r="A753" t="s">
        <v>102</v>
      </c>
      <c r="B753">
        <v>140</v>
      </c>
      <c r="C753">
        <v>21</v>
      </c>
      <c r="D753">
        <f>IFERROR(tinder[[#This Row],[Tinder Opened]]/tinder[[#This Row],[Days on Tinder]],0)</f>
        <v>6.666666666666667</v>
      </c>
      <c r="E753">
        <f>tinder[[#This Row],[Engagement]]/MAX(tinder[Engagement])</f>
        <v>3.3500837520938027E-2</v>
      </c>
      <c r="F75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53">
        <v>29</v>
      </c>
      <c r="H753">
        <f>IFERROR(tinder[[#This Row],[Conversations]]/tinder[[#This Row],[Tinder Opened]],0)</f>
        <v>0.20714285714285716</v>
      </c>
      <c r="I753">
        <f>tinder[[#This Row],[Conversations]]/MAX(tinder[Conversations])</f>
        <v>2.2939408321468123E-3</v>
      </c>
      <c r="J753">
        <f>(tinder[[#This Row],[Norm Engagement]]*2)+(tinder[[#This Row],[Norm Swipes]]*1)+(tinder[[#This Row],[Norm Conversations]]*2)</f>
        <v>7.3552290679139085E-2</v>
      </c>
      <c r="K75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753">
        <v>6</v>
      </c>
      <c r="M753">
        <v>14</v>
      </c>
      <c r="N753">
        <v>86</v>
      </c>
      <c r="O753">
        <v>77</v>
      </c>
      <c r="P753">
        <v>122</v>
      </c>
      <c r="Q753">
        <f>tinder[[#This Row],[All Swipes]]/MAX(tinder[All Swipes])</f>
        <v>1.9627339729694068E-3</v>
      </c>
      <c r="R753">
        <f>tinder[[#This Row],[Swipe Right (LIKE)]]+tinder[[#This Row],[Swipe Left (PASS)]]</f>
        <v>1666</v>
      </c>
      <c r="S753">
        <v>317</v>
      </c>
      <c r="T753">
        <v>1349</v>
      </c>
      <c r="U753" t="s">
        <v>8</v>
      </c>
      <c r="V753" s="1">
        <v>43869</v>
      </c>
      <c r="W753" t="s">
        <v>12</v>
      </c>
      <c r="X753" t="s">
        <v>1296</v>
      </c>
      <c r="Y753" t="s">
        <v>8</v>
      </c>
      <c r="Z753">
        <v>21</v>
      </c>
      <c r="AA75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54" spans="1:27" x14ac:dyDescent="0.3">
      <c r="A754" t="s">
        <v>1017</v>
      </c>
      <c r="B754">
        <v>5064</v>
      </c>
      <c r="C754">
        <v>760</v>
      </c>
      <c r="D754">
        <f>IFERROR(tinder[[#This Row],[Tinder Opened]]/tinder[[#This Row],[Days on Tinder]],0)</f>
        <v>6.6631578947368419</v>
      </c>
      <c r="E754">
        <f>tinder[[#This Row],[Engagement]]/MAX(tinder[Engagement])</f>
        <v>3.3483205501190161E-2</v>
      </c>
      <c r="F75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54">
        <v>52</v>
      </c>
      <c r="H754">
        <f>IFERROR(tinder[[#This Row],[Conversations]]/tinder[[#This Row],[Tinder Opened]],0)</f>
        <v>1.0268562401263823E-2</v>
      </c>
      <c r="I754">
        <f>tinder[[#This Row],[Conversations]]/MAX(tinder[Conversations])</f>
        <v>4.1132732162632493E-3</v>
      </c>
      <c r="J754">
        <f>(tinder[[#This Row],[Norm Engagement]]*2)+(tinder[[#This Row],[Norm Swipes]]*1)+(tinder[[#This Row],[Norm Conversations]]*2)</f>
        <v>0.12111339248796897</v>
      </c>
      <c r="K75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54">
        <v>6</v>
      </c>
      <c r="M754">
        <v>0</v>
      </c>
      <c r="N754">
        <v>74</v>
      </c>
      <c r="O754">
        <v>2642</v>
      </c>
      <c r="P754">
        <v>1429</v>
      </c>
      <c r="Q754">
        <f>tinder[[#This Row],[All Swipes]]/MAX(tinder[All Swipes])</f>
        <v>4.5920435053062147E-2</v>
      </c>
      <c r="R754">
        <f>tinder[[#This Row],[Swipe Right (LIKE)]]+tinder[[#This Row],[Swipe Left (PASS)]]</f>
        <v>38978</v>
      </c>
      <c r="S754">
        <v>5185</v>
      </c>
      <c r="T754">
        <v>33793</v>
      </c>
      <c r="U754" t="s">
        <v>8</v>
      </c>
      <c r="V754" s="1">
        <v>42612</v>
      </c>
      <c r="W754" t="s">
        <v>7</v>
      </c>
      <c r="X754" t="s">
        <v>1295</v>
      </c>
      <c r="Y754" t="s">
        <v>1018</v>
      </c>
      <c r="Z754">
        <v>20</v>
      </c>
      <c r="AA75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55" spans="1:27" x14ac:dyDescent="0.3">
      <c r="A755" t="s">
        <v>1218</v>
      </c>
      <c r="B755">
        <v>4198</v>
      </c>
      <c r="C755">
        <v>634</v>
      </c>
      <c r="D755">
        <f>IFERROR(tinder[[#This Row],[Tinder Opened]]/tinder[[#This Row],[Days on Tinder]],0)</f>
        <v>6.6214511041009461</v>
      </c>
      <c r="E755">
        <f>tinder[[#This Row],[Engagement]]/MAX(tinder[Engagement])</f>
        <v>3.3273623638698221E-2</v>
      </c>
      <c r="F75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55">
        <v>261</v>
      </c>
      <c r="H755">
        <f>IFERROR(tinder[[#This Row],[Conversations]]/tinder[[#This Row],[Tinder Opened]],0)</f>
        <v>6.2172463077656025E-2</v>
      </c>
      <c r="I755">
        <f>tinder[[#This Row],[Conversations]]/MAX(tinder[Conversations])</f>
        <v>2.064546748932131E-2</v>
      </c>
      <c r="J755">
        <f>(tinder[[#This Row],[Norm Engagement]]*2)+(tinder[[#This Row],[Norm Swipes]]*1)+(tinder[[#This Row],[Norm Conversations]]*2)</f>
        <v>0.1683236113714186</v>
      </c>
      <c r="K75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55">
        <v>58</v>
      </c>
      <c r="M755">
        <v>6</v>
      </c>
      <c r="N755">
        <v>291</v>
      </c>
      <c r="O755">
        <v>1888</v>
      </c>
      <c r="P755">
        <v>958</v>
      </c>
      <c r="Q755">
        <f>tinder[[#This Row],[All Swipes]]/MAX(tinder[All Swipes])</f>
        <v>6.048542911537954E-2</v>
      </c>
      <c r="R755">
        <f>tinder[[#This Row],[Swipe Right (LIKE)]]+tinder[[#This Row],[Swipe Left (PASS)]]</f>
        <v>51341</v>
      </c>
      <c r="S755">
        <v>6967</v>
      </c>
      <c r="T755">
        <v>44374</v>
      </c>
      <c r="U755" t="s">
        <v>10</v>
      </c>
      <c r="V755" s="1">
        <v>42805</v>
      </c>
      <c r="W755" t="s">
        <v>7</v>
      </c>
      <c r="X755" t="s">
        <v>1295</v>
      </c>
      <c r="Y755" t="s">
        <v>8</v>
      </c>
      <c r="Z755">
        <v>24</v>
      </c>
      <c r="AA75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56" spans="1:27" x14ac:dyDescent="0.3">
      <c r="A756" t="s">
        <v>758</v>
      </c>
      <c r="B756">
        <v>1074</v>
      </c>
      <c r="C756">
        <v>163</v>
      </c>
      <c r="D756">
        <f>IFERROR(tinder[[#This Row],[Tinder Opened]]/tinder[[#This Row],[Days on Tinder]],0)</f>
        <v>6.5889570552147241</v>
      </c>
      <c r="E756">
        <f>tinder[[#This Row],[Engagement]]/MAX(tinder[Engagement])</f>
        <v>3.3110336960878013E-2</v>
      </c>
      <c r="F75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56">
        <v>64</v>
      </c>
      <c r="H756">
        <f>IFERROR(tinder[[#This Row],[Conversations]]/tinder[[#This Row],[Tinder Opened]],0)</f>
        <v>5.9590316573556797E-2</v>
      </c>
      <c r="I756">
        <f>tinder[[#This Row],[Conversations]]/MAX(tinder[Conversations])</f>
        <v>5.0624901123239993E-3</v>
      </c>
      <c r="J756">
        <f>(tinder[[#This Row],[Norm Engagement]]*2)+(tinder[[#This Row],[Norm Swipes]]*1)+(tinder[[#This Row],[Norm Conversations]]*2)</f>
        <v>9.332813327026597E-2</v>
      </c>
      <c r="K75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56">
        <v>20</v>
      </c>
      <c r="M756">
        <v>12</v>
      </c>
      <c r="N756">
        <v>204</v>
      </c>
      <c r="O756">
        <v>274</v>
      </c>
      <c r="P756">
        <v>264</v>
      </c>
      <c r="Q756">
        <f>tinder[[#This Row],[All Swipes]]/MAX(tinder[All Swipes])</f>
        <v>1.6982479123861943E-2</v>
      </c>
      <c r="R756">
        <f>tinder[[#This Row],[Swipe Right (LIKE)]]+tinder[[#This Row],[Swipe Left (PASS)]]</f>
        <v>14415</v>
      </c>
      <c r="S756">
        <v>6631</v>
      </c>
      <c r="T756">
        <v>7784</v>
      </c>
      <c r="U756" t="s">
        <v>10</v>
      </c>
      <c r="V756" s="1">
        <v>44038</v>
      </c>
      <c r="W756" t="s">
        <v>12</v>
      </c>
      <c r="X756" t="s">
        <v>1295</v>
      </c>
      <c r="Y756" t="s">
        <v>8</v>
      </c>
      <c r="Z756">
        <v>24</v>
      </c>
      <c r="AA75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57" spans="1:27" x14ac:dyDescent="0.3">
      <c r="A757" t="s">
        <v>180</v>
      </c>
      <c r="B757">
        <v>2019</v>
      </c>
      <c r="C757">
        <v>307</v>
      </c>
      <c r="D757">
        <f>IFERROR(tinder[[#This Row],[Tinder Opened]]/tinder[[#This Row],[Days on Tinder]],0)</f>
        <v>6.5765472312703581</v>
      </c>
      <c r="E757">
        <f>tinder[[#This Row],[Engagement]]/MAX(tinder[Engagement])</f>
        <v>3.3047976036534463E-2</v>
      </c>
      <c r="F75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57">
        <v>282</v>
      </c>
      <c r="H757">
        <f>IFERROR(tinder[[#This Row],[Conversations]]/tinder[[#This Row],[Tinder Opened]],0)</f>
        <v>0.13967310549777118</v>
      </c>
      <c r="I757">
        <f>tinder[[#This Row],[Conversations]]/MAX(tinder[Conversations])</f>
        <v>2.2306597057427623E-2</v>
      </c>
      <c r="J757">
        <f>(tinder[[#This Row],[Norm Engagement]]*2)+(tinder[[#This Row],[Norm Swipes]]*1)+(tinder[[#This Row],[Norm Conversations]]*2)</f>
        <v>0.12575834412952752</v>
      </c>
      <c r="K75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57">
        <v>91</v>
      </c>
      <c r="M757">
        <v>15</v>
      </c>
      <c r="N757">
        <v>771</v>
      </c>
      <c r="O757">
        <v>1689</v>
      </c>
      <c r="P757">
        <v>2132</v>
      </c>
      <c r="Q757">
        <f>tinder[[#This Row],[All Swipes]]/MAX(tinder[All Swipes])</f>
        <v>1.5049197941603363E-2</v>
      </c>
      <c r="R757">
        <f>tinder[[#This Row],[Swipe Right (LIKE)]]+tinder[[#This Row],[Swipe Left (PASS)]]</f>
        <v>12774</v>
      </c>
      <c r="S757">
        <v>1943</v>
      </c>
      <c r="T757">
        <v>10831</v>
      </c>
      <c r="U757" t="s">
        <v>8</v>
      </c>
      <c r="V757" s="1">
        <v>43090</v>
      </c>
      <c r="W757" t="s">
        <v>12</v>
      </c>
      <c r="X757" t="s">
        <v>1296</v>
      </c>
      <c r="Y757" t="s">
        <v>8</v>
      </c>
      <c r="Z757">
        <v>30</v>
      </c>
      <c r="AA75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58" spans="1:27" x14ac:dyDescent="0.3">
      <c r="A758" t="s">
        <v>854</v>
      </c>
      <c r="B758">
        <v>1545</v>
      </c>
      <c r="C758">
        <v>235</v>
      </c>
      <c r="D758">
        <f>IFERROR(tinder[[#This Row],[Tinder Opened]]/tinder[[#This Row],[Days on Tinder]],0)</f>
        <v>6.5744680851063828</v>
      </c>
      <c r="E758">
        <f>tinder[[#This Row],[Engagement]]/MAX(tinder[Engagement])</f>
        <v>3.3037528065861223E-2</v>
      </c>
      <c r="F75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58">
        <v>2</v>
      </c>
      <c r="H758">
        <f>IFERROR(tinder[[#This Row],[Conversations]]/tinder[[#This Row],[Tinder Opened]],0)</f>
        <v>1.2944983818770227E-3</v>
      </c>
      <c r="I758">
        <f>tinder[[#This Row],[Conversations]]/MAX(tinder[Conversations])</f>
        <v>1.5820281601012498E-4</v>
      </c>
      <c r="J758">
        <f>(tinder[[#This Row],[Norm Engagement]]*2)+(tinder[[#This Row],[Norm Swipes]]*1)+(tinder[[#This Row],[Norm Conversations]]*2)</f>
        <v>7.8345760457452521E-2</v>
      </c>
      <c r="K75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58">
        <v>0</v>
      </c>
      <c r="M758">
        <v>0</v>
      </c>
      <c r="N758">
        <v>20</v>
      </c>
      <c r="O758">
        <v>58</v>
      </c>
      <c r="P758">
        <v>62</v>
      </c>
      <c r="Q758">
        <f>tinder[[#This Row],[All Swipes]]/MAX(tinder[All Swipes])</f>
        <v>1.1954298693709826E-2</v>
      </c>
      <c r="R758">
        <f>tinder[[#This Row],[Swipe Right (LIKE)]]+tinder[[#This Row],[Swipe Left (PASS)]]</f>
        <v>10147</v>
      </c>
      <c r="S758">
        <v>659</v>
      </c>
      <c r="T758">
        <v>9488</v>
      </c>
      <c r="U758" t="s">
        <v>311</v>
      </c>
      <c r="V758" s="1">
        <v>44052</v>
      </c>
      <c r="W758" t="s">
        <v>12</v>
      </c>
      <c r="X758" t="s">
        <v>1295</v>
      </c>
      <c r="Y758" t="s">
        <v>855</v>
      </c>
      <c r="Z758">
        <v>33</v>
      </c>
      <c r="AA75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59" spans="1:27" x14ac:dyDescent="0.3">
      <c r="A759" t="s">
        <v>1192</v>
      </c>
      <c r="B759">
        <v>2222</v>
      </c>
      <c r="C759">
        <v>338</v>
      </c>
      <c r="D759">
        <f>IFERROR(tinder[[#This Row],[Tinder Opened]]/tinder[[#This Row],[Days on Tinder]],0)</f>
        <v>6.5739644970414197</v>
      </c>
      <c r="E759">
        <f>tinder[[#This Row],[Engagement]]/MAX(tinder[Engagement])</f>
        <v>3.3034997472569945E-2</v>
      </c>
      <c r="F75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59">
        <v>68</v>
      </c>
      <c r="H759">
        <f>IFERROR(tinder[[#This Row],[Conversations]]/tinder[[#This Row],[Tinder Opened]],0)</f>
        <v>3.0603060306030602E-2</v>
      </c>
      <c r="I759">
        <f>tinder[[#This Row],[Conversations]]/MAX(tinder[Conversations])</f>
        <v>5.3788957443442493E-3</v>
      </c>
      <c r="J759">
        <f>(tinder[[#This Row],[Norm Engagement]]*2)+(tinder[[#This Row],[Norm Swipes]]*1)+(tinder[[#This Row],[Norm Conversations]]*2)</f>
        <v>0.23617445284916455</v>
      </c>
      <c r="K75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59">
        <v>25</v>
      </c>
      <c r="M759">
        <v>22</v>
      </c>
      <c r="N759">
        <v>42</v>
      </c>
      <c r="O759">
        <v>112</v>
      </c>
      <c r="P759">
        <v>173</v>
      </c>
      <c r="Q759">
        <f>tinder[[#This Row],[All Swipes]]/MAX(tinder[All Swipes])</f>
        <v>0.15934666641533618</v>
      </c>
      <c r="R759">
        <f>tinder[[#This Row],[Swipe Right (LIKE)]]+tinder[[#This Row],[Swipe Left (PASS)]]</f>
        <v>135256</v>
      </c>
      <c r="S759">
        <v>13546</v>
      </c>
      <c r="T759">
        <v>121710</v>
      </c>
      <c r="U759" t="s">
        <v>10</v>
      </c>
      <c r="V759" s="1">
        <v>43730</v>
      </c>
      <c r="W759" t="s">
        <v>12</v>
      </c>
      <c r="X759" t="s">
        <v>1295</v>
      </c>
      <c r="Y759" t="s">
        <v>1193</v>
      </c>
      <c r="Z759">
        <v>33</v>
      </c>
      <c r="AA759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60" spans="1:27" x14ac:dyDescent="0.3">
      <c r="A760" t="s">
        <v>967</v>
      </c>
      <c r="B760">
        <v>6524</v>
      </c>
      <c r="C760">
        <v>993</v>
      </c>
      <c r="D760">
        <f>IFERROR(tinder[[#This Row],[Tinder Opened]]/tinder[[#This Row],[Days on Tinder]],0)</f>
        <v>6.569989929506546</v>
      </c>
      <c r="E760">
        <f>tinder[[#This Row],[Engagement]]/MAX(tinder[Engagement])</f>
        <v>3.3015024771389678E-2</v>
      </c>
      <c r="F76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60">
        <v>89</v>
      </c>
      <c r="H760">
        <f>IFERROR(tinder[[#This Row],[Conversations]]/tinder[[#This Row],[Tinder Opened]],0)</f>
        <v>1.3641937461679951E-2</v>
      </c>
      <c r="I760">
        <f>tinder[[#This Row],[Conversations]]/MAX(tinder[Conversations])</f>
        <v>7.0400253124505621E-3</v>
      </c>
      <c r="J760">
        <f>(tinder[[#This Row],[Norm Engagement]]*2)+(tinder[[#This Row],[Norm Swipes]]*1)+(tinder[[#This Row],[Norm Conversations]]*2)</f>
        <v>0.24394301566408957</v>
      </c>
      <c r="K76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60">
        <v>32</v>
      </c>
      <c r="M760">
        <v>10</v>
      </c>
      <c r="N760">
        <v>389</v>
      </c>
      <c r="O760">
        <v>675</v>
      </c>
      <c r="P760">
        <v>640</v>
      </c>
      <c r="Q760">
        <f>tinder[[#This Row],[All Swipes]]/MAX(tinder[All Swipes])</f>
        <v>0.1638329154964091</v>
      </c>
      <c r="R760">
        <f>tinder[[#This Row],[Swipe Right (LIKE)]]+tinder[[#This Row],[Swipe Left (PASS)]]</f>
        <v>139064</v>
      </c>
      <c r="S760">
        <v>37964</v>
      </c>
      <c r="T760">
        <v>101100</v>
      </c>
      <c r="U760" t="s">
        <v>61</v>
      </c>
      <c r="V760" s="1">
        <v>42981</v>
      </c>
      <c r="W760" t="s">
        <v>12</v>
      </c>
      <c r="X760" t="s">
        <v>1295</v>
      </c>
      <c r="Y760" t="s">
        <v>8</v>
      </c>
      <c r="Z760">
        <v>26</v>
      </c>
      <c r="AA76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61" spans="1:27" x14ac:dyDescent="0.3">
      <c r="A761" t="s">
        <v>1156</v>
      </c>
      <c r="B761">
        <v>2817</v>
      </c>
      <c r="C761">
        <v>429</v>
      </c>
      <c r="D761">
        <f>IFERROR(tinder[[#This Row],[Tinder Opened]]/tinder[[#This Row],[Days on Tinder]],0)</f>
        <v>6.5664335664335667</v>
      </c>
      <c r="E761">
        <f>tinder[[#This Row],[Engagement]]/MAX(tinder[Engagement])</f>
        <v>3.299715360016868E-2</v>
      </c>
      <c r="F76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61">
        <v>60</v>
      </c>
      <c r="H761">
        <f>IFERROR(tinder[[#This Row],[Conversations]]/tinder[[#This Row],[Tinder Opened]],0)</f>
        <v>2.1299254526091587E-2</v>
      </c>
      <c r="I761">
        <f>tinder[[#This Row],[Conversations]]/MAX(tinder[Conversations])</f>
        <v>4.7460844803037493E-3</v>
      </c>
      <c r="J761">
        <f>(tinder[[#This Row],[Norm Engagement]]*2)+(tinder[[#This Row],[Norm Swipes]]*1)+(tinder[[#This Row],[Norm Conversations]]*2)</f>
        <v>9.1279062540089467E-2</v>
      </c>
      <c r="K76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61">
        <v>25</v>
      </c>
      <c r="M761">
        <v>0</v>
      </c>
      <c r="N761">
        <v>82</v>
      </c>
      <c r="O761">
        <v>960</v>
      </c>
      <c r="P761">
        <v>889</v>
      </c>
      <c r="Q761">
        <f>tinder[[#This Row],[All Swipes]]/MAX(tinder[All Swipes])</f>
        <v>1.5792586379144595E-2</v>
      </c>
      <c r="R761">
        <f>tinder[[#This Row],[Swipe Right (LIKE)]]+tinder[[#This Row],[Swipe Left (PASS)]]</f>
        <v>13405</v>
      </c>
      <c r="S761">
        <v>7525</v>
      </c>
      <c r="T761">
        <v>5880</v>
      </c>
      <c r="U761" t="s">
        <v>27</v>
      </c>
      <c r="V761" s="1">
        <v>42991</v>
      </c>
      <c r="W761" t="s">
        <v>7</v>
      </c>
      <c r="X761" t="s">
        <v>1295</v>
      </c>
      <c r="Y761" t="s">
        <v>1157</v>
      </c>
      <c r="Z761">
        <v>23</v>
      </c>
      <c r="AA76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62" spans="1:27" x14ac:dyDescent="0.3">
      <c r="A762" t="s">
        <v>577</v>
      </c>
      <c r="B762">
        <v>984</v>
      </c>
      <c r="C762">
        <v>150</v>
      </c>
      <c r="D762">
        <f>IFERROR(tinder[[#This Row],[Tinder Opened]]/tinder[[#This Row],[Days on Tinder]],0)</f>
        <v>6.56</v>
      </c>
      <c r="E762">
        <f>tinder[[#This Row],[Engagement]]/MAX(tinder[Engagement])</f>
        <v>3.296482412060301E-2</v>
      </c>
      <c r="F76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62">
        <v>67</v>
      </c>
      <c r="H762">
        <f>IFERROR(tinder[[#This Row],[Conversations]]/tinder[[#This Row],[Tinder Opened]],0)</f>
        <v>6.8089430894308939E-2</v>
      </c>
      <c r="I762">
        <f>tinder[[#This Row],[Conversations]]/MAX(tinder[Conversations])</f>
        <v>5.2997943363391866E-3</v>
      </c>
      <c r="J762">
        <f>(tinder[[#This Row],[Norm Engagement]]*2)+(tinder[[#This Row],[Norm Swipes]]*1)+(tinder[[#This Row],[Norm Conversations]]*2)</f>
        <v>8.3983149186980105E-2</v>
      </c>
      <c r="K76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62">
        <v>27</v>
      </c>
      <c r="M762">
        <v>3</v>
      </c>
      <c r="N762">
        <v>89</v>
      </c>
      <c r="O762">
        <v>395</v>
      </c>
      <c r="P762">
        <v>326</v>
      </c>
      <c r="Q762">
        <f>tinder[[#This Row],[All Swipes]]/MAX(tinder[All Swipes])</f>
        <v>7.4539122730957006E-3</v>
      </c>
      <c r="R762">
        <f>tinder[[#This Row],[Swipe Right (LIKE)]]+tinder[[#This Row],[Swipe Left (PASS)]]</f>
        <v>6327</v>
      </c>
      <c r="S762">
        <v>3748</v>
      </c>
      <c r="T762">
        <v>2579</v>
      </c>
      <c r="U762" t="s">
        <v>10</v>
      </c>
      <c r="V762" s="1">
        <v>41857</v>
      </c>
      <c r="W762" t="s">
        <v>7</v>
      </c>
      <c r="X762" t="s">
        <v>1295</v>
      </c>
      <c r="Y762" t="s">
        <v>578</v>
      </c>
      <c r="Z762">
        <v>23</v>
      </c>
      <c r="AA76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63" spans="1:27" x14ac:dyDescent="0.3">
      <c r="A763" t="s">
        <v>641</v>
      </c>
      <c r="B763">
        <v>2483</v>
      </c>
      <c r="C763">
        <v>380</v>
      </c>
      <c r="D763">
        <f>IFERROR(tinder[[#This Row],[Tinder Opened]]/tinder[[#This Row],[Days on Tinder]],0)</f>
        <v>6.5342105263157899</v>
      </c>
      <c r="E763">
        <f>tinder[[#This Row],[Engagement]]/MAX(tinder[Engagement])</f>
        <v>3.2835228775456228E-2</v>
      </c>
      <c r="F76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63">
        <v>96</v>
      </c>
      <c r="H763">
        <f>IFERROR(tinder[[#This Row],[Conversations]]/tinder[[#This Row],[Tinder Opened]],0)</f>
        <v>3.8662907772855415E-2</v>
      </c>
      <c r="I763">
        <f>tinder[[#This Row],[Conversations]]/MAX(tinder[Conversations])</f>
        <v>7.5937351684859994E-3</v>
      </c>
      <c r="J763">
        <f>(tinder[[#This Row],[Norm Engagement]]*2)+(tinder[[#This Row],[Norm Swipes]]*1)+(tinder[[#This Row],[Norm Conversations]]*2)</f>
        <v>0.11504083678686845</v>
      </c>
      <c r="K76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63">
        <v>44</v>
      </c>
      <c r="M763">
        <v>9</v>
      </c>
      <c r="N763">
        <v>128</v>
      </c>
      <c r="O763">
        <v>1137</v>
      </c>
      <c r="P763">
        <v>1035</v>
      </c>
      <c r="Q763">
        <f>tinder[[#This Row],[All Swipes]]/MAX(tinder[All Swipes])</f>
        <v>3.4182908898983996E-2</v>
      </c>
      <c r="R763">
        <f>tinder[[#This Row],[Swipe Right (LIKE)]]+tinder[[#This Row],[Swipe Left (PASS)]]</f>
        <v>29015</v>
      </c>
      <c r="S763">
        <v>9461</v>
      </c>
      <c r="T763">
        <v>19554</v>
      </c>
      <c r="U763" t="s">
        <v>10</v>
      </c>
      <c r="V763" s="1">
        <v>43694</v>
      </c>
      <c r="W763" t="s">
        <v>12</v>
      </c>
      <c r="X763" t="s">
        <v>1295</v>
      </c>
      <c r="Y763" t="s">
        <v>8</v>
      </c>
      <c r="Z763">
        <v>35</v>
      </c>
      <c r="AA763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64" spans="1:27" x14ac:dyDescent="0.3">
      <c r="A764" t="s">
        <v>843</v>
      </c>
      <c r="B764">
        <v>789</v>
      </c>
      <c r="C764">
        <v>121</v>
      </c>
      <c r="D764">
        <f>IFERROR(tinder[[#This Row],[Tinder Opened]]/tinder[[#This Row],[Days on Tinder]],0)</f>
        <v>6.5206611570247937</v>
      </c>
      <c r="E764">
        <f>tinder[[#This Row],[Engagement]]/MAX(tinder[Engagement])</f>
        <v>3.2767141492586901E-2</v>
      </c>
      <c r="F76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64">
        <v>2</v>
      </c>
      <c r="H764">
        <f>IFERROR(tinder[[#This Row],[Conversations]]/tinder[[#This Row],[Tinder Opened]],0)</f>
        <v>2.5348542458808617E-3</v>
      </c>
      <c r="I764">
        <f>tinder[[#This Row],[Conversations]]/MAX(tinder[Conversations])</f>
        <v>1.5820281601012498E-4</v>
      </c>
      <c r="J764">
        <f>(tinder[[#This Row],[Norm Engagement]]*2)+(tinder[[#This Row],[Norm Swipes]]*1)+(tinder[[#This Row],[Norm Conversations]]*2)</f>
        <v>0.1017406812657775</v>
      </c>
      <c r="K76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64">
        <v>1</v>
      </c>
      <c r="M764">
        <v>0</v>
      </c>
      <c r="N764">
        <v>2</v>
      </c>
      <c r="O764">
        <v>13</v>
      </c>
      <c r="P764">
        <v>15</v>
      </c>
      <c r="Q764">
        <f>tinder[[#This Row],[All Swipes]]/MAX(tinder[All Swipes])</f>
        <v>3.5889992648583439E-2</v>
      </c>
      <c r="R764">
        <f>tinder[[#This Row],[Swipe Right (LIKE)]]+tinder[[#This Row],[Swipe Left (PASS)]]</f>
        <v>30464</v>
      </c>
      <c r="S764">
        <v>881</v>
      </c>
      <c r="T764">
        <v>29583</v>
      </c>
      <c r="U764" t="s">
        <v>65</v>
      </c>
      <c r="V764" s="1">
        <v>44178</v>
      </c>
      <c r="W764" t="s">
        <v>12</v>
      </c>
      <c r="X764" t="s">
        <v>1295</v>
      </c>
      <c r="Y764" t="s">
        <v>8</v>
      </c>
      <c r="Z764">
        <v>23</v>
      </c>
      <c r="AA76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65" spans="1:27" x14ac:dyDescent="0.3">
      <c r="A765" t="s">
        <v>1263</v>
      </c>
      <c r="B765">
        <v>358</v>
      </c>
      <c r="C765">
        <v>55</v>
      </c>
      <c r="D765">
        <f>IFERROR(tinder[[#This Row],[Tinder Opened]]/tinder[[#This Row],[Days on Tinder]],0)</f>
        <v>6.5090909090909088</v>
      </c>
      <c r="E765">
        <f>tinder[[#This Row],[Engagement]]/MAX(tinder[Engagement])</f>
        <v>3.2708999543170393E-2</v>
      </c>
      <c r="F76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65">
        <v>3</v>
      </c>
      <c r="H765">
        <f>IFERROR(tinder[[#This Row],[Conversations]]/tinder[[#This Row],[Tinder Opened]],0)</f>
        <v>8.3798882681564244E-3</v>
      </c>
      <c r="I765">
        <f>tinder[[#This Row],[Conversations]]/MAX(tinder[Conversations])</f>
        <v>2.3730422401518748E-4</v>
      </c>
      <c r="J765">
        <f>(tinder[[#This Row],[Norm Engagement]]*2)+(tinder[[#This Row],[Norm Swipes]]*1)+(tinder[[#This Row],[Norm Conversations]]*2)</f>
        <v>7.3644582049460422E-2</v>
      </c>
      <c r="K76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765">
        <v>0</v>
      </c>
      <c r="M765">
        <v>0</v>
      </c>
      <c r="N765">
        <v>2</v>
      </c>
      <c r="O765">
        <v>56</v>
      </c>
      <c r="P765">
        <v>84</v>
      </c>
      <c r="Q765">
        <f>tinder[[#This Row],[All Swipes]]/MAX(tinder[All Swipes])</f>
        <v>7.7519745150892534E-3</v>
      </c>
      <c r="R765">
        <f>tinder[[#This Row],[Swipe Right (LIKE)]]+tinder[[#This Row],[Swipe Left (PASS)]]</f>
        <v>6580</v>
      </c>
      <c r="S765">
        <v>2374</v>
      </c>
      <c r="T765">
        <v>4206</v>
      </c>
      <c r="U765" t="s">
        <v>167</v>
      </c>
      <c r="V765" s="1">
        <v>43630</v>
      </c>
      <c r="W765" t="s">
        <v>12</v>
      </c>
      <c r="X765" t="s">
        <v>1295</v>
      </c>
      <c r="Y765" t="s">
        <v>1139</v>
      </c>
      <c r="Z765">
        <v>29</v>
      </c>
      <c r="AA76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66" spans="1:27" x14ac:dyDescent="0.3">
      <c r="A766" t="s">
        <v>1046</v>
      </c>
      <c r="B766">
        <v>221</v>
      </c>
      <c r="C766">
        <v>34</v>
      </c>
      <c r="D766">
        <f>IFERROR(tinder[[#This Row],[Tinder Opened]]/tinder[[#This Row],[Days on Tinder]],0)</f>
        <v>6.5</v>
      </c>
      <c r="E766">
        <f>tinder[[#This Row],[Engagement]]/MAX(tinder[Engagement])</f>
        <v>3.2663316582914576E-2</v>
      </c>
      <c r="F76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66">
        <v>6</v>
      </c>
      <c r="H766">
        <f>IFERROR(tinder[[#This Row],[Conversations]]/tinder[[#This Row],[Tinder Opened]],0)</f>
        <v>2.7149321266968326E-2</v>
      </c>
      <c r="I766">
        <f>tinder[[#This Row],[Conversations]]/MAX(tinder[Conversations])</f>
        <v>4.7460844803037496E-4</v>
      </c>
      <c r="J766">
        <f>(tinder[[#This Row],[Norm Engagement]]*2)+(tinder[[#This Row],[Norm Swipes]]*1)+(tinder[[#This Row],[Norm Conversations]]*2)</f>
        <v>6.8146691327841541E-2</v>
      </c>
      <c r="K76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766">
        <v>3</v>
      </c>
      <c r="M766">
        <v>0</v>
      </c>
      <c r="N766">
        <v>8</v>
      </c>
      <c r="O766">
        <v>14</v>
      </c>
      <c r="P766">
        <v>12</v>
      </c>
      <c r="Q766">
        <f>tinder[[#This Row],[All Swipes]]/MAX(tinder[All Swipes])</f>
        <v>1.8708412659516314E-3</v>
      </c>
      <c r="R766">
        <f>tinder[[#This Row],[Swipe Right (LIKE)]]+tinder[[#This Row],[Swipe Left (PASS)]]</f>
        <v>1588</v>
      </c>
      <c r="S766">
        <v>359</v>
      </c>
      <c r="T766">
        <v>1229</v>
      </c>
      <c r="U766" t="s">
        <v>197</v>
      </c>
      <c r="V766" s="1">
        <v>43834</v>
      </c>
      <c r="W766" t="s">
        <v>12</v>
      </c>
      <c r="X766" t="s">
        <v>1295</v>
      </c>
      <c r="Y766" t="s">
        <v>8</v>
      </c>
      <c r="Z766">
        <v>21</v>
      </c>
      <c r="AA76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67" spans="1:27" x14ac:dyDescent="0.3">
      <c r="A767" t="s">
        <v>1223</v>
      </c>
      <c r="B767">
        <v>149</v>
      </c>
      <c r="C767">
        <v>23</v>
      </c>
      <c r="D767">
        <f>IFERROR(tinder[[#This Row],[Tinder Opened]]/tinder[[#This Row],[Days on Tinder]],0)</f>
        <v>6.4782608695652177</v>
      </c>
      <c r="E767">
        <f>tinder[[#This Row],[Engagement]]/MAX(tinder[Engagement])</f>
        <v>3.2554074721433256E-2</v>
      </c>
      <c r="F76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67">
        <v>3</v>
      </c>
      <c r="H767">
        <f>IFERROR(tinder[[#This Row],[Conversations]]/tinder[[#This Row],[Tinder Opened]],0)</f>
        <v>2.0134228187919462E-2</v>
      </c>
      <c r="I767">
        <f>tinder[[#This Row],[Conversations]]/MAX(tinder[Conversations])</f>
        <v>2.3730422401518748E-4</v>
      </c>
      <c r="J767">
        <f>(tinder[[#This Row],[Norm Engagement]]*2)+(tinder[[#This Row],[Norm Swipes]]*1)+(tinder[[#This Row],[Norm Conversations]]*2)</f>
        <v>6.6942298710108594E-2</v>
      </c>
      <c r="K76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767">
        <v>1</v>
      </c>
      <c r="M767">
        <v>0</v>
      </c>
      <c r="N767">
        <v>2</v>
      </c>
      <c r="O767">
        <v>18</v>
      </c>
      <c r="P767">
        <v>19</v>
      </c>
      <c r="Q767">
        <f>tinder[[#This Row],[All Swipes]]/MAX(tinder[All Swipes])</f>
        <v>1.359540819211702E-3</v>
      </c>
      <c r="R767">
        <f>tinder[[#This Row],[Swipe Right (LIKE)]]+tinder[[#This Row],[Swipe Left (PASS)]]</f>
        <v>1154</v>
      </c>
      <c r="S767">
        <v>217</v>
      </c>
      <c r="T767">
        <v>937</v>
      </c>
      <c r="U767" t="s">
        <v>10</v>
      </c>
      <c r="V767" s="1">
        <v>44158</v>
      </c>
      <c r="W767" t="s">
        <v>12</v>
      </c>
      <c r="X767" t="s">
        <v>1295</v>
      </c>
      <c r="Y767" t="s">
        <v>8</v>
      </c>
      <c r="Z767">
        <v>18</v>
      </c>
      <c r="AA76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68" spans="1:27" x14ac:dyDescent="0.3">
      <c r="A768" t="s">
        <v>629</v>
      </c>
      <c r="B768">
        <v>1916</v>
      </c>
      <c r="C768">
        <v>297</v>
      </c>
      <c r="D768">
        <f>IFERROR(tinder[[#This Row],[Tinder Opened]]/tinder[[#This Row],[Days on Tinder]],0)</f>
        <v>6.4511784511784516</v>
      </c>
      <c r="E768">
        <f>tinder[[#This Row],[Engagement]]/MAX(tinder[Engagement])</f>
        <v>3.2417982166725888E-2</v>
      </c>
      <c r="F76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68">
        <v>6</v>
      </c>
      <c r="H768">
        <f>IFERROR(tinder[[#This Row],[Conversations]]/tinder[[#This Row],[Tinder Opened]],0)</f>
        <v>3.1315240083507308E-3</v>
      </c>
      <c r="I768">
        <f>tinder[[#This Row],[Conversations]]/MAX(tinder[Conversations])</f>
        <v>4.7460844803037496E-4</v>
      </c>
      <c r="J768">
        <f>(tinder[[#This Row],[Norm Engagement]]*2)+(tinder[[#This Row],[Norm Swipes]]*1)+(tinder[[#This Row],[Norm Conversations]]*2)</f>
        <v>0.18638846863220052</v>
      </c>
      <c r="K76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68">
        <v>0</v>
      </c>
      <c r="M768">
        <v>0</v>
      </c>
      <c r="N768">
        <v>17</v>
      </c>
      <c r="O768">
        <v>451</v>
      </c>
      <c r="P768">
        <v>365</v>
      </c>
      <c r="Q768">
        <f>tinder[[#This Row],[All Swipes]]/MAX(tinder[All Swipes])</f>
        <v>0.12060328740268798</v>
      </c>
      <c r="R768">
        <f>tinder[[#This Row],[Swipe Right (LIKE)]]+tinder[[#This Row],[Swipe Left (PASS)]]</f>
        <v>102370</v>
      </c>
      <c r="S768">
        <v>8728</v>
      </c>
      <c r="T768">
        <v>93642</v>
      </c>
      <c r="U768" t="s">
        <v>45</v>
      </c>
      <c r="V768" s="1">
        <v>43730</v>
      </c>
      <c r="W768" t="s">
        <v>12</v>
      </c>
      <c r="X768" t="s">
        <v>1295</v>
      </c>
      <c r="Y768" t="s">
        <v>8</v>
      </c>
      <c r="Z768">
        <v>24</v>
      </c>
      <c r="AA76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69" spans="1:27" x14ac:dyDescent="0.3">
      <c r="A769" t="s">
        <v>1209</v>
      </c>
      <c r="B769">
        <v>3231</v>
      </c>
      <c r="C769">
        <v>502</v>
      </c>
      <c r="D769">
        <f>IFERROR(tinder[[#This Row],[Tinder Opened]]/tinder[[#This Row],[Days on Tinder]],0)</f>
        <v>6.4362549800796813</v>
      </c>
      <c r="E769">
        <f>tinder[[#This Row],[Engagement]]/MAX(tinder[Engagement])</f>
        <v>3.234298984964664E-2</v>
      </c>
      <c r="F76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69">
        <v>45</v>
      </c>
      <c r="H769">
        <f>IFERROR(tinder[[#This Row],[Conversations]]/tinder[[#This Row],[Tinder Opened]],0)</f>
        <v>1.3927576601671309E-2</v>
      </c>
      <c r="I769">
        <f>tinder[[#This Row],[Conversations]]/MAX(tinder[Conversations])</f>
        <v>3.559563360227812E-3</v>
      </c>
      <c r="J769">
        <f>(tinder[[#This Row],[Norm Engagement]]*2)+(tinder[[#This Row],[Norm Swipes]]*1)+(tinder[[#This Row],[Norm Conversations]]*2)</f>
        <v>0.1226795008703719</v>
      </c>
      <c r="K76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69">
        <v>20</v>
      </c>
      <c r="M769">
        <v>2</v>
      </c>
      <c r="N769">
        <v>421</v>
      </c>
      <c r="O769">
        <v>293</v>
      </c>
      <c r="P769">
        <v>255</v>
      </c>
      <c r="Q769">
        <f>tinder[[#This Row],[All Swipes]]/MAX(tinder[All Swipes])</f>
        <v>5.0874394450622987E-2</v>
      </c>
      <c r="R769">
        <f>tinder[[#This Row],[Swipe Right (LIKE)]]+tinder[[#This Row],[Swipe Left (PASS)]]</f>
        <v>43183</v>
      </c>
      <c r="S769">
        <v>20165</v>
      </c>
      <c r="T769">
        <v>23018</v>
      </c>
      <c r="U769" t="s">
        <v>8</v>
      </c>
      <c r="V769" s="1">
        <v>43615</v>
      </c>
      <c r="W769" t="s">
        <v>12</v>
      </c>
      <c r="X769" t="s">
        <v>1295</v>
      </c>
      <c r="Y769" t="s">
        <v>8</v>
      </c>
      <c r="Z769">
        <v>27</v>
      </c>
      <c r="AA76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70" spans="1:27" x14ac:dyDescent="0.3">
      <c r="A770" t="s">
        <v>196</v>
      </c>
      <c r="B770">
        <v>7168</v>
      </c>
      <c r="C770">
        <v>1114</v>
      </c>
      <c r="D770">
        <f>IFERROR(tinder[[#This Row],[Tinder Opened]]/tinder[[#This Row],[Days on Tinder]],0)</f>
        <v>6.4344703770197489</v>
      </c>
      <c r="E770">
        <f>tinder[[#This Row],[Engagement]]/MAX(tinder[Engagement])</f>
        <v>3.2334021995074118E-2</v>
      </c>
      <c r="F77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70">
        <v>37</v>
      </c>
      <c r="H770">
        <f>IFERROR(tinder[[#This Row],[Conversations]]/tinder[[#This Row],[Tinder Opened]],0)</f>
        <v>5.161830357142857E-3</v>
      </c>
      <c r="I770">
        <f>tinder[[#This Row],[Conversations]]/MAX(tinder[Conversations])</f>
        <v>2.9267520961873119E-3</v>
      </c>
      <c r="J770">
        <f>(tinder[[#This Row],[Norm Engagement]]*2)+(tinder[[#This Row],[Norm Swipes]]*1)+(tinder[[#This Row],[Norm Conversations]]*2)</f>
        <v>0.10079430458673767</v>
      </c>
      <c r="K77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70">
        <v>18</v>
      </c>
      <c r="M770">
        <v>1</v>
      </c>
      <c r="N770">
        <v>63</v>
      </c>
      <c r="O770">
        <v>188</v>
      </c>
      <c r="P770">
        <v>124</v>
      </c>
      <c r="Q770">
        <f>tinder[[#This Row],[All Swipes]]/MAX(tinder[All Swipes])</f>
        <v>3.0272756404214812E-2</v>
      </c>
      <c r="R770">
        <f>tinder[[#This Row],[Swipe Right (LIKE)]]+tinder[[#This Row],[Swipe Left (PASS)]]</f>
        <v>25696</v>
      </c>
      <c r="S770">
        <v>8164</v>
      </c>
      <c r="T770">
        <v>17532</v>
      </c>
      <c r="U770" t="s">
        <v>197</v>
      </c>
      <c r="V770" s="1">
        <v>42789</v>
      </c>
      <c r="W770" t="s">
        <v>7</v>
      </c>
      <c r="X770" t="s">
        <v>1295</v>
      </c>
      <c r="Y770" t="s">
        <v>8</v>
      </c>
      <c r="Z770">
        <v>20</v>
      </c>
      <c r="AA77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71" spans="1:27" x14ac:dyDescent="0.3">
      <c r="A771" t="s">
        <v>49</v>
      </c>
      <c r="B771">
        <v>482</v>
      </c>
      <c r="C771">
        <v>75</v>
      </c>
      <c r="D771">
        <f>IFERROR(tinder[[#This Row],[Tinder Opened]]/tinder[[#This Row],[Days on Tinder]],0)</f>
        <v>6.4266666666666667</v>
      </c>
      <c r="E771">
        <f>tinder[[#This Row],[Engagement]]/MAX(tinder[Engagement])</f>
        <v>3.2294807370184253E-2</v>
      </c>
      <c r="F77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71">
        <v>3</v>
      </c>
      <c r="H771">
        <f>IFERROR(tinder[[#This Row],[Conversations]]/tinder[[#This Row],[Tinder Opened]],0)</f>
        <v>6.2240663900414933E-3</v>
      </c>
      <c r="I771">
        <f>tinder[[#This Row],[Conversations]]/MAX(tinder[Conversations])</f>
        <v>2.3730422401518748E-4</v>
      </c>
      <c r="J771">
        <f>(tinder[[#This Row],[Norm Engagement]]*2)+(tinder[[#This Row],[Norm Swipes]]*1)+(tinder[[#This Row],[Norm Conversations]]*2)</f>
        <v>7.4350099043707929E-2</v>
      </c>
      <c r="K77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771">
        <v>1</v>
      </c>
      <c r="M771">
        <v>0</v>
      </c>
      <c r="N771">
        <v>19</v>
      </c>
      <c r="O771">
        <v>5</v>
      </c>
      <c r="P771">
        <v>0</v>
      </c>
      <c r="Q771">
        <f>tinder[[#This Row],[All Swipes]]/MAX(tinder[All Swipes])</f>
        <v>9.2858758553090431E-3</v>
      </c>
      <c r="R771">
        <f>tinder[[#This Row],[Swipe Right (LIKE)]]+tinder[[#This Row],[Swipe Left (PASS)]]</f>
        <v>7882</v>
      </c>
      <c r="S771">
        <v>5220</v>
      </c>
      <c r="T771">
        <v>2662</v>
      </c>
      <c r="U771" t="s">
        <v>8</v>
      </c>
      <c r="V771" s="1">
        <v>43759</v>
      </c>
      <c r="W771" t="s">
        <v>12</v>
      </c>
      <c r="X771" t="s">
        <v>1295</v>
      </c>
      <c r="Y771" t="s">
        <v>8</v>
      </c>
      <c r="Z771">
        <v>22</v>
      </c>
      <c r="AA77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72" spans="1:27" x14ac:dyDescent="0.3">
      <c r="A772" t="s">
        <v>640</v>
      </c>
      <c r="B772">
        <v>7817</v>
      </c>
      <c r="C772">
        <v>1226</v>
      </c>
      <c r="D772">
        <f>IFERROR(tinder[[#This Row],[Tinder Opened]]/tinder[[#This Row],[Days on Tinder]],0)</f>
        <v>6.3760195758564437</v>
      </c>
      <c r="E772">
        <f>tinder[[#This Row],[Engagement]]/MAX(tinder[Engagement])</f>
        <v>3.2040299376163033E-2</v>
      </c>
      <c r="F77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72">
        <v>84</v>
      </c>
      <c r="H772">
        <f>IFERROR(tinder[[#This Row],[Conversations]]/tinder[[#This Row],[Tinder Opened]],0)</f>
        <v>1.0745810413201995E-2</v>
      </c>
      <c r="I772">
        <f>tinder[[#This Row],[Conversations]]/MAX(tinder[Conversations])</f>
        <v>6.6445182724252493E-3</v>
      </c>
      <c r="J772">
        <f>(tinder[[#This Row],[Norm Engagement]]*2)+(tinder[[#This Row],[Norm Swipes]]*1)+(tinder[[#This Row],[Norm Conversations]]*2)</f>
        <v>0.18606928280617732</v>
      </c>
      <c r="K77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72">
        <v>32</v>
      </c>
      <c r="M772">
        <v>12</v>
      </c>
      <c r="N772">
        <v>473</v>
      </c>
      <c r="O772">
        <v>878</v>
      </c>
      <c r="P772">
        <v>933</v>
      </c>
      <c r="Q772">
        <f>tinder[[#This Row],[All Swipes]]/MAX(tinder[All Swipes])</f>
        <v>0.10869964750900077</v>
      </c>
      <c r="R772">
        <f>tinder[[#This Row],[Swipe Right (LIKE)]]+tinder[[#This Row],[Swipe Left (PASS)]]</f>
        <v>92266</v>
      </c>
      <c r="S772">
        <v>75458</v>
      </c>
      <c r="T772">
        <v>16808</v>
      </c>
      <c r="U772" t="s">
        <v>88</v>
      </c>
      <c r="V772" s="1">
        <v>42723</v>
      </c>
      <c r="W772" t="s">
        <v>7</v>
      </c>
      <c r="X772" t="s">
        <v>1295</v>
      </c>
      <c r="Y772" t="s">
        <v>8</v>
      </c>
      <c r="Z772">
        <v>22</v>
      </c>
      <c r="AA77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73" spans="1:27" x14ac:dyDescent="0.3">
      <c r="A773" t="s">
        <v>383</v>
      </c>
      <c r="B773">
        <v>8027</v>
      </c>
      <c r="C773">
        <v>1262</v>
      </c>
      <c r="D773">
        <f>IFERROR(tinder[[#This Row],[Tinder Opened]]/tinder[[#This Row],[Days on Tinder]],0)</f>
        <v>6.3605388272583205</v>
      </c>
      <c r="E773">
        <f>tinder[[#This Row],[Engagement]]/MAX(tinder[Engagement])</f>
        <v>3.1962506669639804E-2</v>
      </c>
      <c r="F77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73">
        <v>32</v>
      </c>
      <c r="H773">
        <f>IFERROR(tinder[[#This Row],[Conversations]]/tinder[[#This Row],[Tinder Opened]],0)</f>
        <v>3.9865454092438022E-3</v>
      </c>
      <c r="I773">
        <f>tinder[[#This Row],[Conversations]]/MAX(tinder[Conversations])</f>
        <v>2.5312450561619996E-3</v>
      </c>
      <c r="J773">
        <f>(tinder[[#This Row],[Norm Engagement]]*2)+(tinder[[#This Row],[Norm Swipes]]*1)+(tinder[[#This Row],[Norm Conversations]]*2)</f>
        <v>0.18210624767885661</v>
      </c>
      <c r="K77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73">
        <v>12</v>
      </c>
      <c r="M773">
        <v>14</v>
      </c>
      <c r="N773">
        <v>424</v>
      </c>
      <c r="O773">
        <v>34</v>
      </c>
      <c r="P773">
        <v>71</v>
      </c>
      <c r="Q773">
        <f>tinder[[#This Row],[All Swipes]]/MAX(tinder[All Swipes])</f>
        <v>0.11311874422725302</v>
      </c>
      <c r="R773">
        <f>tinder[[#This Row],[Swipe Right (LIKE)]]+tinder[[#This Row],[Swipe Left (PASS)]]</f>
        <v>96017</v>
      </c>
      <c r="S773">
        <v>70063</v>
      </c>
      <c r="T773">
        <v>25954</v>
      </c>
      <c r="U773" t="s">
        <v>8</v>
      </c>
      <c r="V773" s="1">
        <v>42203</v>
      </c>
      <c r="W773" t="s">
        <v>7</v>
      </c>
      <c r="X773" t="s">
        <v>1295</v>
      </c>
      <c r="Y773" t="s">
        <v>8</v>
      </c>
      <c r="Z773">
        <v>15</v>
      </c>
      <c r="AA77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74" spans="1:27" x14ac:dyDescent="0.3">
      <c r="A774" t="s">
        <v>362</v>
      </c>
      <c r="B774">
        <v>4895</v>
      </c>
      <c r="C774">
        <v>771</v>
      </c>
      <c r="D774">
        <f>IFERROR(tinder[[#This Row],[Tinder Opened]]/tinder[[#This Row],[Days on Tinder]],0)</f>
        <v>6.3488975356679633</v>
      </c>
      <c r="E774">
        <f>tinder[[#This Row],[Engagement]]/MAX(tinder[Engagement])</f>
        <v>3.1904007716924442E-2</v>
      </c>
      <c r="F77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74">
        <v>240</v>
      </c>
      <c r="H774">
        <f>IFERROR(tinder[[#This Row],[Conversations]]/tinder[[#This Row],[Tinder Opened]],0)</f>
        <v>4.9029622063329927E-2</v>
      </c>
      <c r="I774">
        <f>tinder[[#This Row],[Conversations]]/MAX(tinder[Conversations])</f>
        <v>1.8984337921214997E-2</v>
      </c>
      <c r="J774">
        <f>(tinder[[#This Row],[Norm Engagement]]*2)+(tinder[[#This Row],[Norm Swipes]]*1)+(tinder[[#This Row],[Norm Conversations]]*2)</f>
        <v>0.15435463514161601</v>
      </c>
      <c r="K77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74">
        <v>82</v>
      </c>
      <c r="M774">
        <v>53</v>
      </c>
      <c r="N774">
        <v>1096</v>
      </c>
      <c r="O774">
        <v>1047</v>
      </c>
      <c r="P774">
        <v>1206</v>
      </c>
      <c r="Q774">
        <f>tinder[[#This Row],[All Swipes]]/MAX(tinder[All Swipes])</f>
        <v>5.257794386533713E-2</v>
      </c>
      <c r="R774">
        <f>tinder[[#This Row],[Swipe Right (LIKE)]]+tinder[[#This Row],[Swipe Left (PASS)]]</f>
        <v>44629</v>
      </c>
      <c r="S774">
        <v>12259</v>
      </c>
      <c r="T774">
        <v>32370</v>
      </c>
      <c r="U774" t="s">
        <v>8</v>
      </c>
      <c r="V774" s="1">
        <v>42024</v>
      </c>
      <c r="W774" t="s">
        <v>7</v>
      </c>
      <c r="X774" t="s">
        <v>1295</v>
      </c>
      <c r="Y774" t="s">
        <v>8</v>
      </c>
      <c r="Z774">
        <v>19</v>
      </c>
      <c r="AA77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75" spans="1:27" x14ac:dyDescent="0.3">
      <c r="A775" t="s">
        <v>943</v>
      </c>
      <c r="B775">
        <v>983</v>
      </c>
      <c r="C775">
        <v>155</v>
      </c>
      <c r="D775">
        <f>IFERROR(tinder[[#This Row],[Tinder Opened]]/tinder[[#This Row],[Days on Tinder]],0)</f>
        <v>6.3419354838709676</v>
      </c>
      <c r="E775">
        <f>tinder[[#This Row],[Engagement]]/MAX(tinder[Engagement])</f>
        <v>3.1869022532014915E-2</v>
      </c>
      <c r="F77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75">
        <v>20</v>
      </c>
      <c r="H775">
        <f>IFERROR(tinder[[#This Row],[Conversations]]/tinder[[#This Row],[Tinder Opened]],0)</f>
        <v>2.0345879959308241E-2</v>
      </c>
      <c r="I775">
        <f>tinder[[#This Row],[Conversations]]/MAX(tinder[Conversations])</f>
        <v>1.5820281601012498E-3</v>
      </c>
      <c r="J775">
        <f>(tinder[[#This Row],[Norm Engagement]]*2)+(tinder[[#This Row],[Norm Swipes]]*1)+(tinder[[#This Row],[Norm Conversations]]*2)</f>
        <v>7.1331801107140477E-2</v>
      </c>
      <c r="K77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775">
        <v>11</v>
      </c>
      <c r="M775">
        <v>3</v>
      </c>
      <c r="N775">
        <v>38</v>
      </c>
      <c r="O775">
        <v>65</v>
      </c>
      <c r="P775">
        <v>53</v>
      </c>
      <c r="Q775">
        <f>tinder[[#This Row],[All Swipes]]/MAX(tinder[All Swipes])</f>
        <v>4.4296997229081453E-3</v>
      </c>
      <c r="R775">
        <f>tinder[[#This Row],[Swipe Right (LIKE)]]+tinder[[#This Row],[Swipe Left (PASS)]]</f>
        <v>3760</v>
      </c>
      <c r="S775">
        <v>1463</v>
      </c>
      <c r="T775">
        <v>2297</v>
      </c>
      <c r="U775" t="s">
        <v>10</v>
      </c>
      <c r="V775" s="1">
        <v>43994</v>
      </c>
      <c r="W775" t="s">
        <v>12</v>
      </c>
      <c r="X775" t="s">
        <v>1295</v>
      </c>
      <c r="Y775" t="s">
        <v>8</v>
      </c>
      <c r="Z775">
        <v>26</v>
      </c>
      <c r="AA77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76" spans="1:27" x14ac:dyDescent="0.3">
      <c r="A776" t="s">
        <v>1019</v>
      </c>
      <c r="B776">
        <v>3113</v>
      </c>
      <c r="C776">
        <v>493</v>
      </c>
      <c r="D776">
        <f>IFERROR(tinder[[#This Row],[Tinder Opened]]/tinder[[#This Row],[Days on Tinder]],0)</f>
        <v>6.3144016227180524</v>
      </c>
      <c r="E776">
        <f>tinder[[#This Row],[Engagement]]/MAX(tinder[Engagement])</f>
        <v>3.173066142069373E-2</v>
      </c>
      <c r="F77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76">
        <v>88</v>
      </c>
      <c r="H776">
        <f>IFERROR(tinder[[#This Row],[Conversations]]/tinder[[#This Row],[Tinder Opened]],0)</f>
        <v>2.8268551236749116E-2</v>
      </c>
      <c r="I776">
        <f>tinder[[#This Row],[Conversations]]/MAX(tinder[Conversations])</f>
        <v>6.9609239044454993E-3</v>
      </c>
      <c r="J776">
        <f>(tinder[[#This Row],[Norm Engagement]]*2)+(tinder[[#This Row],[Norm Swipes]]*1)+(tinder[[#This Row],[Norm Conversations]]*2)</f>
        <v>0.12993048361327633</v>
      </c>
      <c r="K77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76">
        <v>8</v>
      </c>
      <c r="M776">
        <v>6</v>
      </c>
      <c r="N776">
        <v>206</v>
      </c>
      <c r="O776">
        <v>562</v>
      </c>
      <c r="P776">
        <v>476</v>
      </c>
      <c r="Q776">
        <f>tinder[[#This Row],[All Swipes]]/MAX(tinder[All Swipes])</f>
        <v>5.2547312962997868E-2</v>
      </c>
      <c r="R776">
        <f>tinder[[#This Row],[Swipe Right (LIKE)]]+tinder[[#This Row],[Swipe Left (PASS)]]</f>
        <v>44603</v>
      </c>
      <c r="S776">
        <v>23575</v>
      </c>
      <c r="T776">
        <v>21028</v>
      </c>
      <c r="U776" t="s">
        <v>8</v>
      </c>
      <c r="V776" s="1">
        <v>43499</v>
      </c>
      <c r="W776" t="s">
        <v>12</v>
      </c>
      <c r="X776" t="s">
        <v>1295</v>
      </c>
      <c r="Y776" t="s">
        <v>8</v>
      </c>
      <c r="Z776">
        <v>26</v>
      </c>
      <c r="AA77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77" spans="1:27" x14ac:dyDescent="0.3">
      <c r="A777" t="s">
        <v>337</v>
      </c>
      <c r="B777">
        <v>3085</v>
      </c>
      <c r="C777">
        <v>489</v>
      </c>
      <c r="D777">
        <f>IFERROR(tinder[[#This Row],[Tinder Opened]]/tinder[[#This Row],[Days on Tinder]],0)</f>
        <v>6.3087934560327197</v>
      </c>
      <c r="E777">
        <f>tinder[[#This Row],[Engagement]]/MAX(tinder[Engagement])</f>
        <v>3.1702479678556383E-2</v>
      </c>
      <c r="F77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77">
        <v>42</v>
      </c>
      <c r="H777">
        <f>IFERROR(tinder[[#This Row],[Conversations]]/tinder[[#This Row],[Tinder Opened]],0)</f>
        <v>1.3614262560777957E-2</v>
      </c>
      <c r="I777">
        <f>tinder[[#This Row],[Conversations]]/MAX(tinder[Conversations])</f>
        <v>3.3222591362126247E-3</v>
      </c>
      <c r="J777">
        <f>(tinder[[#This Row],[Norm Engagement]]*2)+(tinder[[#This Row],[Norm Swipes]]*1)+(tinder[[#This Row],[Norm Conversations]]*2)</f>
        <v>0.12841901826025184</v>
      </c>
      <c r="K77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77">
        <v>11</v>
      </c>
      <c r="M777">
        <v>7</v>
      </c>
      <c r="N777">
        <v>177</v>
      </c>
      <c r="O777">
        <v>445</v>
      </c>
      <c r="P777">
        <v>361</v>
      </c>
      <c r="Q777">
        <f>tinder[[#This Row],[All Swipes]]/MAX(tinder[All Swipes])</f>
        <v>5.836954063071384E-2</v>
      </c>
      <c r="R777">
        <f>tinder[[#This Row],[Swipe Right (LIKE)]]+tinder[[#This Row],[Swipe Left (PASS)]]</f>
        <v>49545</v>
      </c>
      <c r="S777">
        <v>21363</v>
      </c>
      <c r="T777">
        <v>28182</v>
      </c>
      <c r="U777" t="s">
        <v>8</v>
      </c>
      <c r="V777" s="1">
        <v>42994</v>
      </c>
      <c r="W777" t="s">
        <v>12</v>
      </c>
      <c r="X777" t="s">
        <v>1295</v>
      </c>
      <c r="Y777" t="s">
        <v>8</v>
      </c>
      <c r="Z777">
        <v>18</v>
      </c>
      <c r="AA77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78" spans="1:27" x14ac:dyDescent="0.3">
      <c r="A778" t="s">
        <v>923</v>
      </c>
      <c r="B778">
        <v>10507</v>
      </c>
      <c r="C778">
        <v>1667</v>
      </c>
      <c r="D778">
        <f>IFERROR(tinder[[#This Row],[Tinder Opened]]/tinder[[#This Row],[Days on Tinder]],0)</f>
        <v>6.3029394121175768</v>
      </c>
      <c r="E778">
        <f>tinder[[#This Row],[Engagement]]/MAX(tinder[Engagement])</f>
        <v>3.1673062372450135E-2</v>
      </c>
      <c r="F77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78">
        <v>582</v>
      </c>
      <c r="H778">
        <f>IFERROR(tinder[[#This Row],[Conversations]]/tinder[[#This Row],[Tinder Opened]],0)</f>
        <v>5.5391643666127345E-2</v>
      </c>
      <c r="I778">
        <f>tinder[[#This Row],[Conversations]]/MAX(tinder[Conversations])</f>
        <v>4.6037019458946372E-2</v>
      </c>
      <c r="J778">
        <f>(tinder[[#This Row],[Norm Engagement]]*2)+(tinder[[#This Row],[Norm Swipes]]*1)+(tinder[[#This Row],[Norm Conversations]]*2)</f>
        <v>0.33706612698110933</v>
      </c>
      <c r="K77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78">
        <v>215</v>
      </c>
      <c r="M778">
        <v>24</v>
      </c>
      <c r="N778">
        <v>2234</v>
      </c>
      <c r="O778">
        <v>3001</v>
      </c>
      <c r="P778">
        <v>2407</v>
      </c>
      <c r="Q778">
        <f>tinder[[#This Row],[All Swipes]]/MAX(tinder[All Swipes])</f>
        <v>0.18164596331831634</v>
      </c>
      <c r="R778">
        <f>tinder[[#This Row],[Swipe Right (LIKE)]]+tinder[[#This Row],[Swipe Left (PASS)]]</f>
        <v>154184</v>
      </c>
      <c r="S778">
        <v>68001</v>
      </c>
      <c r="T778">
        <v>86183</v>
      </c>
      <c r="U778" t="s">
        <v>8</v>
      </c>
      <c r="V778" s="1">
        <v>41694</v>
      </c>
      <c r="W778" t="s">
        <v>12</v>
      </c>
      <c r="X778" t="s">
        <v>1295</v>
      </c>
      <c r="Y778" t="s">
        <v>8</v>
      </c>
      <c r="Z778">
        <v>17</v>
      </c>
      <c r="AA77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79" spans="1:27" x14ac:dyDescent="0.3">
      <c r="A779" t="s">
        <v>1033</v>
      </c>
      <c r="B779">
        <v>4437</v>
      </c>
      <c r="C779">
        <v>705</v>
      </c>
      <c r="D779">
        <f>IFERROR(tinder[[#This Row],[Tinder Opened]]/tinder[[#This Row],[Days on Tinder]],0)</f>
        <v>6.2936170212765958</v>
      </c>
      <c r="E779">
        <f>tinder[[#This Row],[Engagement]]/MAX(tinder[Engagement])</f>
        <v>3.1626216187319575E-2</v>
      </c>
      <c r="F77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79">
        <v>95</v>
      </c>
      <c r="H779">
        <f>IFERROR(tinder[[#This Row],[Conversations]]/tinder[[#This Row],[Tinder Opened]],0)</f>
        <v>2.1410863195853055E-2</v>
      </c>
      <c r="I779">
        <f>tinder[[#This Row],[Conversations]]/MAX(tinder[Conversations])</f>
        <v>7.5146337604809366E-3</v>
      </c>
      <c r="J779">
        <f>(tinder[[#This Row],[Norm Engagement]]*2)+(tinder[[#This Row],[Norm Swipes]]*1)+(tinder[[#This Row],[Norm Conversations]]*2)</f>
        <v>0.14697974517278714</v>
      </c>
      <c r="K77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79">
        <v>39</v>
      </c>
      <c r="M779">
        <v>16</v>
      </c>
      <c r="N779">
        <v>218</v>
      </c>
      <c r="O779">
        <v>742</v>
      </c>
      <c r="P779">
        <v>671</v>
      </c>
      <c r="Q779">
        <f>tinder[[#This Row],[All Swipes]]/MAX(tinder[All Swipes])</f>
        <v>6.8698045277186107E-2</v>
      </c>
      <c r="R779">
        <f>tinder[[#This Row],[Swipe Right (LIKE)]]+tinder[[#This Row],[Swipe Left (PASS)]]</f>
        <v>58312</v>
      </c>
      <c r="S779">
        <v>24516</v>
      </c>
      <c r="T779">
        <v>33796</v>
      </c>
      <c r="U779" t="s">
        <v>8</v>
      </c>
      <c r="V779" s="1">
        <v>42860</v>
      </c>
      <c r="W779" t="s">
        <v>7</v>
      </c>
      <c r="X779" t="s">
        <v>1295</v>
      </c>
      <c r="Y779" t="s">
        <v>1034</v>
      </c>
      <c r="Z779">
        <v>20</v>
      </c>
      <c r="AA77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80" spans="1:27" x14ac:dyDescent="0.3">
      <c r="A780" t="s">
        <v>1210</v>
      </c>
      <c r="B780">
        <v>595</v>
      </c>
      <c r="C780">
        <v>95</v>
      </c>
      <c r="D780">
        <f>IFERROR(tinder[[#This Row],[Tinder Opened]]/tinder[[#This Row],[Days on Tinder]],0)</f>
        <v>6.2631578947368425</v>
      </c>
      <c r="E780">
        <f>tinder[[#This Row],[Engagement]]/MAX(tinder[Engagement])</f>
        <v>3.1473155249933882E-2</v>
      </c>
      <c r="F78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80">
        <v>284</v>
      </c>
      <c r="H780">
        <f>IFERROR(tinder[[#This Row],[Conversations]]/tinder[[#This Row],[Tinder Opened]],0)</f>
        <v>0.47731092436974792</v>
      </c>
      <c r="I780">
        <f>tinder[[#This Row],[Conversations]]/MAX(tinder[Conversations])</f>
        <v>2.2464799873437746E-2</v>
      </c>
      <c r="J780">
        <f>(tinder[[#This Row],[Norm Engagement]]*2)+(tinder[[#This Row],[Norm Swipes]]*1)+(tinder[[#This Row],[Norm Conversations]]*2)</f>
        <v>0.11524264225933491</v>
      </c>
      <c r="K78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80">
        <v>37</v>
      </c>
      <c r="M780">
        <v>127</v>
      </c>
      <c r="N780">
        <v>67</v>
      </c>
      <c r="O780">
        <v>2647</v>
      </c>
      <c r="P780">
        <v>3115</v>
      </c>
      <c r="Q780">
        <f>tinder[[#This Row],[All Swipes]]/MAX(tinder[All Swipes])</f>
        <v>7.3667320125916569E-3</v>
      </c>
      <c r="R780">
        <f>tinder[[#This Row],[Swipe Right (LIKE)]]+tinder[[#This Row],[Swipe Left (PASS)]]</f>
        <v>6253</v>
      </c>
      <c r="S780">
        <v>141</v>
      </c>
      <c r="T780">
        <v>6112</v>
      </c>
      <c r="U780" t="s">
        <v>45</v>
      </c>
      <c r="V780" s="1">
        <v>43456</v>
      </c>
      <c r="W780" t="s">
        <v>12</v>
      </c>
      <c r="X780" t="s">
        <v>1296</v>
      </c>
      <c r="Y780" t="s">
        <v>19</v>
      </c>
      <c r="Z780">
        <v>19</v>
      </c>
      <c r="AA78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81" spans="1:27" x14ac:dyDescent="0.3">
      <c r="A781" t="s">
        <v>1207</v>
      </c>
      <c r="B781">
        <v>707</v>
      </c>
      <c r="C781">
        <v>113</v>
      </c>
      <c r="D781">
        <f>IFERROR(tinder[[#This Row],[Tinder Opened]]/tinder[[#This Row],[Days on Tinder]],0)</f>
        <v>6.2566371681415927</v>
      </c>
      <c r="E781">
        <f>tinder[[#This Row],[Engagement]]/MAX(tinder[Engagement])</f>
        <v>3.1440387779605991E-2</v>
      </c>
      <c r="F78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81">
        <v>19</v>
      </c>
      <c r="H781">
        <f>IFERROR(tinder[[#This Row],[Conversations]]/tinder[[#This Row],[Tinder Opened]],0)</f>
        <v>2.6874115983026876E-2</v>
      </c>
      <c r="I781">
        <f>tinder[[#This Row],[Conversations]]/MAX(tinder[Conversations])</f>
        <v>1.5029267520961873E-3</v>
      </c>
      <c r="J781">
        <f>(tinder[[#This Row],[Norm Engagement]]*2)+(tinder[[#This Row],[Norm Swipes]]*1)+(tinder[[#This Row],[Norm Conversations]]*2)</f>
        <v>7.5213738825708545E-2</v>
      </c>
      <c r="K78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81">
        <v>9</v>
      </c>
      <c r="M781">
        <v>1</v>
      </c>
      <c r="N781">
        <v>17</v>
      </c>
      <c r="O781">
        <v>193</v>
      </c>
      <c r="P781">
        <v>180</v>
      </c>
      <c r="Q781">
        <f>tinder[[#This Row],[All Swipes]]/MAX(tinder[All Swipes])</f>
        <v>9.3271097623041973E-3</v>
      </c>
      <c r="R781">
        <f>tinder[[#This Row],[Swipe Right (LIKE)]]+tinder[[#This Row],[Swipe Left (PASS)]]</f>
        <v>7917</v>
      </c>
      <c r="S781">
        <v>2665</v>
      </c>
      <c r="T781">
        <v>5252</v>
      </c>
      <c r="U781" t="s">
        <v>10</v>
      </c>
      <c r="V781" s="1">
        <v>43830</v>
      </c>
      <c r="W781" t="s">
        <v>12</v>
      </c>
      <c r="X781" t="s">
        <v>1295</v>
      </c>
      <c r="Y781" t="s">
        <v>8</v>
      </c>
      <c r="Z781">
        <v>34</v>
      </c>
      <c r="AA781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82" spans="1:27" x14ac:dyDescent="0.3">
      <c r="A782" t="s">
        <v>163</v>
      </c>
      <c r="B782">
        <v>7026</v>
      </c>
      <c r="C782">
        <v>1123</v>
      </c>
      <c r="D782">
        <f>IFERROR(tinder[[#This Row],[Tinder Opened]]/tinder[[#This Row],[Days on Tinder]],0)</f>
        <v>6.2564559216384685</v>
      </c>
      <c r="E782">
        <f>tinder[[#This Row],[Engagement]]/MAX(tinder[Engagement])</f>
        <v>3.1439476993158133E-2</v>
      </c>
      <c r="F78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82">
        <v>177</v>
      </c>
      <c r="H782">
        <f>IFERROR(tinder[[#This Row],[Conversations]]/tinder[[#This Row],[Tinder Opened]],0)</f>
        <v>2.5192143467122119E-2</v>
      </c>
      <c r="I782">
        <f>tinder[[#This Row],[Conversations]]/MAX(tinder[Conversations])</f>
        <v>1.4000949216896061E-2</v>
      </c>
      <c r="J782">
        <f>(tinder[[#This Row],[Norm Engagement]]*2)+(tinder[[#This Row],[Norm Swipes]]*1)+(tinder[[#This Row],[Norm Conversations]]*2)</f>
        <v>0.17103132083729186</v>
      </c>
      <c r="K78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82">
        <v>51</v>
      </c>
      <c r="M782">
        <v>32</v>
      </c>
      <c r="N782">
        <v>1025</v>
      </c>
      <c r="O782">
        <v>874</v>
      </c>
      <c r="P782">
        <v>1760</v>
      </c>
      <c r="Q782">
        <f>tinder[[#This Row],[All Swipes]]/MAX(tinder[All Swipes])</f>
        <v>8.0150468417183471E-2</v>
      </c>
      <c r="R782">
        <f>tinder[[#This Row],[Swipe Right (LIKE)]]+tinder[[#This Row],[Swipe Left (PASS)]]</f>
        <v>68033</v>
      </c>
      <c r="S782">
        <v>14736</v>
      </c>
      <c r="T782">
        <v>53297</v>
      </c>
      <c r="U782" t="s">
        <v>18</v>
      </c>
      <c r="V782" s="1">
        <v>42308</v>
      </c>
      <c r="W782" t="s">
        <v>7</v>
      </c>
      <c r="X782" t="s">
        <v>1295</v>
      </c>
      <c r="Y782" t="s">
        <v>164</v>
      </c>
      <c r="Z782">
        <v>27</v>
      </c>
      <c r="AA78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83" spans="1:27" x14ac:dyDescent="0.3">
      <c r="A783" t="s">
        <v>1053</v>
      </c>
      <c r="B783">
        <v>763</v>
      </c>
      <c r="C783">
        <v>122</v>
      </c>
      <c r="D783">
        <f>IFERROR(tinder[[#This Row],[Tinder Opened]]/tinder[[#This Row],[Days on Tinder]],0)</f>
        <v>6.2540983606557381</v>
      </c>
      <c r="E783">
        <f>tinder[[#This Row],[Engagement]]/MAX(tinder[Engagement])</f>
        <v>3.1427629953043913E-2</v>
      </c>
      <c r="F78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83">
        <v>84</v>
      </c>
      <c r="H783">
        <f>IFERROR(tinder[[#This Row],[Conversations]]/tinder[[#This Row],[Tinder Opened]],0)</f>
        <v>0.11009174311926606</v>
      </c>
      <c r="I783">
        <f>tinder[[#This Row],[Conversations]]/MAX(tinder[Conversations])</f>
        <v>6.6445182724252493E-3</v>
      </c>
      <c r="J783">
        <f>(tinder[[#This Row],[Norm Engagement]]*2)+(tinder[[#This Row],[Norm Swipes]]*1)+(tinder[[#This Row],[Norm Conversations]]*2)</f>
        <v>8.8882039377556107E-2</v>
      </c>
      <c r="K78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83">
        <v>32</v>
      </c>
      <c r="M783">
        <v>1</v>
      </c>
      <c r="N783">
        <v>67</v>
      </c>
      <c r="O783">
        <v>383</v>
      </c>
      <c r="P783">
        <v>204</v>
      </c>
      <c r="Q783">
        <f>tinder[[#This Row],[All Swipes]]/MAX(tinder[All Swipes])</f>
        <v>1.2737742926617782E-2</v>
      </c>
      <c r="R783">
        <f>tinder[[#This Row],[Swipe Right (LIKE)]]+tinder[[#This Row],[Swipe Left (PASS)]]</f>
        <v>10812</v>
      </c>
      <c r="S783">
        <v>1824</v>
      </c>
      <c r="T783">
        <v>8988</v>
      </c>
      <c r="U783" t="s">
        <v>10</v>
      </c>
      <c r="V783" s="1">
        <v>44166</v>
      </c>
      <c r="W783" t="s">
        <v>12</v>
      </c>
      <c r="X783" t="s">
        <v>1295</v>
      </c>
      <c r="Y783" t="s">
        <v>8</v>
      </c>
      <c r="Z783">
        <v>20</v>
      </c>
      <c r="AA78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84" spans="1:27" x14ac:dyDescent="0.3">
      <c r="A784" t="s">
        <v>394</v>
      </c>
      <c r="B784">
        <v>5458</v>
      </c>
      <c r="C784">
        <v>873</v>
      </c>
      <c r="D784">
        <f>IFERROR(tinder[[#This Row],[Tinder Opened]]/tinder[[#This Row],[Days on Tinder]],0)</f>
        <v>6.2520045819014891</v>
      </c>
      <c r="E784">
        <f>tinder[[#This Row],[Engagement]]/MAX(tinder[Engagement])</f>
        <v>3.1417108451766276E-2</v>
      </c>
      <c r="F78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84">
        <v>315</v>
      </c>
      <c r="H784">
        <f>IFERROR(tinder[[#This Row],[Conversations]]/tinder[[#This Row],[Tinder Opened]],0)</f>
        <v>5.7713448149505311E-2</v>
      </c>
      <c r="I784">
        <f>tinder[[#This Row],[Conversations]]/MAX(tinder[Conversations])</f>
        <v>2.4916943521594685E-2</v>
      </c>
      <c r="J784">
        <f>(tinder[[#This Row],[Norm Engagement]]*2)+(tinder[[#This Row],[Norm Swipes]]*1)+(tinder[[#This Row],[Norm Conversations]]*2)</f>
        <v>0.21975373852476945</v>
      </c>
      <c r="K78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84">
        <v>67</v>
      </c>
      <c r="M784">
        <v>142</v>
      </c>
      <c r="N784">
        <v>1275</v>
      </c>
      <c r="O784">
        <v>1805</v>
      </c>
      <c r="P784">
        <v>2145</v>
      </c>
      <c r="Q784">
        <f>tinder[[#This Row],[All Swipes]]/MAX(tinder[All Swipes])</f>
        <v>0.10708563457804754</v>
      </c>
      <c r="R784">
        <f>tinder[[#This Row],[Swipe Right (LIKE)]]+tinder[[#This Row],[Swipe Left (PASS)]]</f>
        <v>90896</v>
      </c>
      <c r="S784">
        <v>4239</v>
      </c>
      <c r="T784">
        <v>86657</v>
      </c>
      <c r="U784" t="s">
        <v>8</v>
      </c>
      <c r="V784" s="1">
        <v>42147</v>
      </c>
      <c r="W784" t="s">
        <v>7</v>
      </c>
      <c r="X784" t="s">
        <v>1295</v>
      </c>
      <c r="Y784" t="s">
        <v>8</v>
      </c>
      <c r="Z784">
        <v>16</v>
      </c>
      <c r="AA78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85" spans="1:27" x14ac:dyDescent="0.3">
      <c r="A785" t="s">
        <v>996</v>
      </c>
      <c r="B785">
        <v>2774</v>
      </c>
      <c r="C785">
        <v>445</v>
      </c>
      <c r="D785">
        <f>IFERROR(tinder[[#This Row],[Tinder Opened]]/tinder[[#This Row],[Days on Tinder]],0)</f>
        <v>6.2337078651685394</v>
      </c>
      <c r="E785">
        <f>tinder[[#This Row],[Engagement]]/MAX(tinder[Engagement])</f>
        <v>3.1325165151600699E-2</v>
      </c>
      <c r="F78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85">
        <v>80</v>
      </c>
      <c r="H785">
        <f>IFERROR(tinder[[#This Row],[Conversations]]/tinder[[#This Row],[Tinder Opened]],0)</f>
        <v>2.8839221341023791E-2</v>
      </c>
      <c r="I785">
        <f>tinder[[#This Row],[Conversations]]/MAX(tinder[Conversations])</f>
        <v>6.3281126404049993E-3</v>
      </c>
      <c r="J785">
        <f>(tinder[[#This Row],[Norm Engagement]]*2)+(tinder[[#This Row],[Norm Swipes]]*1)+(tinder[[#This Row],[Norm Conversations]]*2)</f>
        <v>0.10939050310620702</v>
      </c>
      <c r="K78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85">
        <v>43</v>
      </c>
      <c r="M785">
        <v>5</v>
      </c>
      <c r="N785">
        <v>92</v>
      </c>
      <c r="O785">
        <v>277</v>
      </c>
      <c r="P785">
        <v>277</v>
      </c>
      <c r="Q785">
        <f>tinder[[#This Row],[All Swipes]]/MAX(tinder[All Swipes])</f>
        <v>3.4083947522195623E-2</v>
      </c>
      <c r="R785">
        <f>tinder[[#This Row],[Swipe Right (LIKE)]]+tinder[[#This Row],[Swipe Left (PASS)]]</f>
        <v>28931</v>
      </c>
      <c r="S785">
        <v>16834</v>
      </c>
      <c r="T785">
        <v>12097</v>
      </c>
      <c r="U785" t="s">
        <v>8</v>
      </c>
      <c r="V785" s="1">
        <v>43410</v>
      </c>
      <c r="W785" t="s">
        <v>12</v>
      </c>
      <c r="X785" t="s">
        <v>1295</v>
      </c>
      <c r="Y785" t="s">
        <v>997</v>
      </c>
      <c r="Z785">
        <v>24</v>
      </c>
      <c r="AA78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86" spans="1:27" x14ac:dyDescent="0.3">
      <c r="A786" t="s">
        <v>1081</v>
      </c>
      <c r="B786">
        <v>1873</v>
      </c>
      <c r="C786">
        <v>303</v>
      </c>
      <c r="D786">
        <f>IFERROR(tinder[[#This Row],[Tinder Opened]]/tinder[[#This Row],[Days on Tinder]],0)</f>
        <v>6.1815181518151814</v>
      </c>
      <c r="E786">
        <f>tinder[[#This Row],[Engagement]]/MAX(tinder[Engagement])</f>
        <v>3.1062905285503425E-2</v>
      </c>
      <c r="F78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86">
        <v>386</v>
      </c>
      <c r="H786">
        <f>IFERROR(tinder[[#This Row],[Conversations]]/tinder[[#This Row],[Tinder Opened]],0)</f>
        <v>0.20608649225840897</v>
      </c>
      <c r="I786">
        <f>tinder[[#This Row],[Conversations]]/MAX(tinder[Conversations])</f>
        <v>3.0533143489954121E-2</v>
      </c>
      <c r="J786">
        <f>(tinder[[#This Row],[Norm Engagement]]*2)+(tinder[[#This Row],[Norm Swipes]]*1)+(tinder[[#This Row],[Norm Conversations]]*2)</f>
        <v>0.17206488034483039</v>
      </c>
      <c r="K78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86">
        <v>54</v>
      </c>
      <c r="M786">
        <v>203</v>
      </c>
      <c r="N786">
        <v>830</v>
      </c>
      <c r="O786">
        <v>1088</v>
      </c>
      <c r="P786">
        <v>1589</v>
      </c>
      <c r="Q786">
        <f>tinder[[#This Row],[All Swipes]]/MAX(tinder[All Swipes])</f>
        <v>4.8872782793915291E-2</v>
      </c>
      <c r="R786">
        <f>tinder[[#This Row],[Swipe Right (LIKE)]]+tinder[[#This Row],[Swipe Left (PASS)]]</f>
        <v>41484</v>
      </c>
      <c r="S786">
        <v>4721</v>
      </c>
      <c r="T786">
        <v>36763</v>
      </c>
      <c r="U786" t="s">
        <v>8</v>
      </c>
      <c r="V786" s="1">
        <v>43887</v>
      </c>
      <c r="W786" t="s">
        <v>12</v>
      </c>
      <c r="X786" t="s">
        <v>1295</v>
      </c>
      <c r="Y786" t="s">
        <v>8</v>
      </c>
      <c r="Z786">
        <v>22</v>
      </c>
      <c r="AA78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87" spans="1:27" x14ac:dyDescent="0.3">
      <c r="A787" t="s">
        <v>653</v>
      </c>
      <c r="B787">
        <v>1949</v>
      </c>
      <c r="C787">
        <v>316</v>
      </c>
      <c r="D787">
        <f>IFERROR(tinder[[#This Row],[Tinder Opened]]/tinder[[#This Row],[Days on Tinder]],0)</f>
        <v>6.1677215189873413</v>
      </c>
      <c r="E787">
        <f>tinder[[#This Row],[Engagement]]/MAX(tinder[Engagement])</f>
        <v>3.0993575472298196E-2</v>
      </c>
      <c r="F78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87">
        <v>9</v>
      </c>
      <c r="H787">
        <f>IFERROR(tinder[[#This Row],[Conversations]]/tinder[[#This Row],[Tinder Opened]],0)</f>
        <v>4.6177526936890716E-3</v>
      </c>
      <c r="I787">
        <f>tinder[[#This Row],[Conversations]]/MAX(tinder[Conversations])</f>
        <v>7.1191267204556241E-4</v>
      </c>
      <c r="J787">
        <f>(tinder[[#This Row],[Norm Engagement]]*2)+(tinder[[#This Row],[Norm Swipes]]*1)+(tinder[[#This Row],[Norm Conversations]]*2)</f>
        <v>9.2202846375962016E-2</v>
      </c>
      <c r="K78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87">
        <v>2</v>
      </c>
      <c r="M787">
        <v>0</v>
      </c>
      <c r="N787">
        <v>82</v>
      </c>
      <c r="O787">
        <v>58</v>
      </c>
      <c r="P787">
        <v>34</v>
      </c>
      <c r="Q787">
        <f>tinder[[#This Row],[All Swipes]]/MAX(tinder[All Swipes])</f>
        <v>2.8791870087274508E-2</v>
      </c>
      <c r="R787">
        <f>tinder[[#This Row],[Swipe Right (LIKE)]]+tinder[[#This Row],[Swipe Left (PASS)]]</f>
        <v>24439</v>
      </c>
      <c r="S787">
        <v>6829</v>
      </c>
      <c r="T787">
        <v>17610</v>
      </c>
      <c r="U787" t="s">
        <v>149</v>
      </c>
      <c r="V787" s="1">
        <v>43930</v>
      </c>
      <c r="W787" t="s">
        <v>12</v>
      </c>
      <c r="X787" t="s">
        <v>1295</v>
      </c>
      <c r="Y787" t="s">
        <v>8</v>
      </c>
      <c r="Z787">
        <v>19</v>
      </c>
      <c r="AA78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88" spans="1:27" x14ac:dyDescent="0.3">
      <c r="A788" t="s">
        <v>228</v>
      </c>
      <c r="B788">
        <v>1511</v>
      </c>
      <c r="C788">
        <v>246</v>
      </c>
      <c r="D788">
        <f>IFERROR(tinder[[#This Row],[Tinder Opened]]/tinder[[#This Row],[Days on Tinder]],0)</f>
        <v>6.1422764227642279</v>
      </c>
      <c r="E788">
        <f>tinder[[#This Row],[Engagement]]/MAX(tinder[Engagement])</f>
        <v>3.0865710667156925E-2</v>
      </c>
      <c r="F78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88">
        <v>3</v>
      </c>
      <c r="H788">
        <f>IFERROR(tinder[[#This Row],[Conversations]]/tinder[[#This Row],[Tinder Opened]],0)</f>
        <v>1.9854401058901389E-3</v>
      </c>
      <c r="I788">
        <f>tinder[[#This Row],[Conversations]]/MAX(tinder[Conversations])</f>
        <v>2.3730422401518748E-4</v>
      </c>
      <c r="J788">
        <f>(tinder[[#This Row],[Norm Engagement]]*2)+(tinder[[#This Row],[Norm Swipes]]*1)+(tinder[[#This Row],[Norm Conversations]]*2)</f>
        <v>7.5357289890541995E-2</v>
      </c>
      <c r="K78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88">
        <v>0</v>
      </c>
      <c r="M788">
        <v>1</v>
      </c>
      <c r="N788">
        <v>10</v>
      </c>
      <c r="O788">
        <v>6</v>
      </c>
      <c r="P788">
        <v>4</v>
      </c>
      <c r="Q788">
        <f>tinder[[#This Row],[All Swipes]]/MAX(tinder[All Swipes])</f>
        <v>1.3151260108197772E-2</v>
      </c>
      <c r="R788">
        <f>tinder[[#This Row],[Swipe Right (LIKE)]]+tinder[[#This Row],[Swipe Left (PASS)]]</f>
        <v>11163</v>
      </c>
      <c r="S788">
        <v>3335</v>
      </c>
      <c r="T788">
        <v>7828</v>
      </c>
      <c r="U788" t="s">
        <v>10</v>
      </c>
      <c r="V788" s="1">
        <v>43369</v>
      </c>
      <c r="W788" t="s">
        <v>12</v>
      </c>
      <c r="X788" t="s">
        <v>1295</v>
      </c>
      <c r="Y788" t="s">
        <v>8</v>
      </c>
      <c r="Z788">
        <v>28</v>
      </c>
      <c r="AA78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89" spans="1:27" x14ac:dyDescent="0.3">
      <c r="A789" t="s">
        <v>752</v>
      </c>
      <c r="B789">
        <v>1392</v>
      </c>
      <c r="C789">
        <v>227</v>
      </c>
      <c r="D789">
        <f>IFERROR(tinder[[#This Row],[Tinder Opened]]/tinder[[#This Row],[Days on Tinder]],0)</f>
        <v>6.1321585903083697</v>
      </c>
      <c r="E789">
        <f>tinder[[#This Row],[Engagement]]/MAX(tinder[Engagement])</f>
        <v>3.0814867287981756E-2</v>
      </c>
      <c r="F78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89">
        <v>220</v>
      </c>
      <c r="H789">
        <f>IFERROR(tinder[[#This Row],[Conversations]]/tinder[[#This Row],[Tinder Opened]],0)</f>
        <v>0.15804597701149425</v>
      </c>
      <c r="I789">
        <f>tinder[[#This Row],[Conversations]]/MAX(tinder[Conversations])</f>
        <v>1.7402309761113746E-2</v>
      </c>
      <c r="J789">
        <f>(tinder[[#This Row],[Norm Engagement]]*2)+(tinder[[#This Row],[Norm Swipes]]*1)+(tinder[[#This Row],[Norm Conversations]]*2)</f>
        <v>0.11111833743498013</v>
      </c>
      <c r="K78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89">
        <v>64</v>
      </c>
      <c r="M789">
        <v>8</v>
      </c>
      <c r="N789">
        <v>153</v>
      </c>
      <c r="O789">
        <v>633</v>
      </c>
      <c r="P789">
        <v>555</v>
      </c>
      <c r="Q789">
        <f>tinder[[#This Row],[All Swipes]]/MAX(tinder[All Swipes])</f>
        <v>1.4683983336789127E-2</v>
      </c>
      <c r="R789">
        <f>tinder[[#This Row],[Swipe Right (LIKE)]]+tinder[[#This Row],[Swipe Left (PASS)]]</f>
        <v>12464</v>
      </c>
      <c r="S789">
        <v>4827</v>
      </c>
      <c r="T789">
        <v>7637</v>
      </c>
      <c r="U789" t="s">
        <v>8</v>
      </c>
      <c r="V789" s="1">
        <v>41576</v>
      </c>
      <c r="W789" t="s">
        <v>7</v>
      </c>
      <c r="X789" t="s">
        <v>1295</v>
      </c>
      <c r="Y789" t="s">
        <v>8</v>
      </c>
      <c r="Z789">
        <v>16</v>
      </c>
      <c r="AA78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90" spans="1:27" x14ac:dyDescent="0.3">
      <c r="A790" t="s">
        <v>559</v>
      </c>
      <c r="B790">
        <v>3854</v>
      </c>
      <c r="C790">
        <v>631</v>
      </c>
      <c r="D790">
        <f>IFERROR(tinder[[#This Row],[Tinder Opened]]/tinder[[#This Row],[Days on Tinder]],0)</f>
        <v>6.107765451664025</v>
      </c>
      <c r="E790">
        <f>tinder[[#This Row],[Engagement]]/MAX(tinder[Engagement])</f>
        <v>3.069228870182927E-2</v>
      </c>
      <c r="F79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90">
        <v>290</v>
      </c>
      <c r="H790">
        <f>IFERROR(tinder[[#This Row],[Conversations]]/tinder[[#This Row],[Tinder Opened]],0)</f>
        <v>7.5246497145822516E-2</v>
      </c>
      <c r="I790">
        <f>tinder[[#This Row],[Conversations]]/MAX(tinder[Conversations])</f>
        <v>2.2939408321468121E-2</v>
      </c>
      <c r="J790">
        <f>(tinder[[#This Row],[Norm Engagement]]*2)+(tinder[[#This Row],[Norm Swipes]]*1)+(tinder[[#This Row],[Norm Conversations]]*2)</f>
        <v>0.1351280902822925</v>
      </c>
      <c r="K79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90">
        <v>155</v>
      </c>
      <c r="M790">
        <v>18</v>
      </c>
      <c r="N790">
        <v>961</v>
      </c>
      <c r="O790">
        <v>1098</v>
      </c>
      <c r="P790">
        <v>926</v>
      </c>
      <c r="Q790">
        <f>tinder[[#This Row],[All Swipes]]/MAX(tinder[All Swipes])</f>
        <v>2.7864696235697727E-2</v>
      </c>
      <c r="R790">
        <f>tinder[[#This Row],[Swipe Right (LIKE)]]+tinder[[#This Row],[Swipe Left (PASS)]]</f>
        <v>23652</v>
      </c>
      <c r="S790">
        <v>12946</v>
      </c>
      <c r="T790">
        <v>10706</v>
      </c>
      <c r="U790" t="s">
        <v>25</v>
      </c>
      <c r="V790" s="1">
        <v>41709</v>
      </c>
      <c r="W790" t="s">
        <v>7</v>
      </c>
      <c r="X790" t="s">
        <v>1295</v>
      </c>
      <c r="Y790" t="s">
        <v>8</v>
      </c>
      <c r="Z790">
        <v>19</v>
      </c>
      <c r="AA79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91" spans="1:27" x14ac:dyDescent="0.3">
      <c r="A791" t="s">
        <v>562</v>
      </c>
      <c r="B791">
        <v>1878</v>
      </c>
      <c r="C791">
        <v>308</v>
      </c>
      <c r="D791">
        <f>IFERROR(tinder[[#This Row],[Tinder Opened]]/tinder[[#This Row],[Days on Tinder]],0)</f>
        <v>6.0974025974025974</v>
      </c>
      <c r="E791">
        <f>tinder[[#This Row],[Engagement]]/MAX(tinder[Engagement])</f>
        <v>3.0640214057299484E-2</v>
      </c>
      <c r="F79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91">
        <v>73</v>
      </c>
      <c r="H791">
        <f>IFERROR(tinder[[#This Row],[Conversations]]/tinder[[#This Row],[Tinder Opened]],0)</f>
        <v>3.8871139510117149E-2</v>
      </c>
      <c r="I791">
        <f>tinder[[#This Row],[Conversations]]/MAX(tinder[Conversations])</f>
        <v>5.774402784369562E-3</v>
      </c>
      <c r="J791">
        <f>(tinder[[#This Row],[Norm Engagement]]*2)+(tinder[[#This Row],[Norm Swipes]]*1)+(tinder[[#This Row],[Norm Conversations]]*2)</f>
        <v>0.12945634721559951</v>
      </c>
      <c r="K79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91">
        <v>18</v>
      </c>
      <c r="M791">
        <v>6</v>
      </c>
      <c r="N791">
        <v>253</v>
      </c>
      <c r="O791">
        <v>907</v>
      </c>
      <c r="P791">
        <v>1078</v>
      </c>
      <c r="Q791">
        <f>tinder[[#This Row],[All Swipes]]/MAX(tinder[All Swipes])</f>
        <v>5.6627113532261408E-2</v>
      </c>
      <c r="R791">
        <f>tinder[[#This Row],[Swipe Right (LIKE)]]+tinder[[#This Row],[Swipe Left (PASS)]]</f>
        <v>48066</v>
      </c>
      <c r="S791">
        <v>15329</v>
      </c>
      <c r="T791">
        <v>32737</v>
      </c>
      <c r="U791" t="s">
        <v>18</v>
      </c>
      <c r="V791" s="1">
        <v>43920</v>
      </c>
      <c r="W791" t="s">
        <v>12</v>
      </c>
      <c r="X791" t="s">
        <v>1295</v>
      </c>
      <c r="Y791" t="s">
        <v>563</v>
      </c>
      <c r="Z791">
        <v>27</v>
      </c>
      <c r="AA79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92" spans="1:27" x14ac:dyDescent="0.3">
      <c r="A792" t="s">
        <v>501</v>
      </c>
      <c r="B792">
        <v>2694</v>
      </c>
      <c r="C792">
        <v>443</v>
      </c>
      <c r="D792">
        <f>IFERROR(tinder[[#This Row],[Tinder Opened]]/tinder[[#This Row],[Days on Tinder]],0)</f>
        <v>6.0812641083521441</v>
      </c>
      <c r="E792">
        <f>tinder[[#This Row],[Engagement]]/MAX(tinder[Engagement])</f>
        <v>3.0559116122372585E-2</v>
      </c>
      <c r="F79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92">
        <v>19</v>
      </c>
      <c r="H792">
        <f>IFERROR(tinder[[#This Row],[Conversations]]/tinder[[#This Row],[Tinder Opened]],0)</f>
        <v>7.0527097253155159E-3</v>
      </c>
      <c r="I792">
        <f>tinder[[#This Row],[Conversations]]/MAX(tinder[Conversations])</f>
        <v>1.5029267520961873E-3</v>
      </c>
      <c r="J792">
        <f>(tinder[[#This Row],[Norm Engagement]]*2)+(tinder[[#This Row],[Norm Swipes]]*1)+(tinder[[#This Row],[Norm Conversations]]*2)</f>
        <v>9.280992578965308E-2</v>
      </c>
      <c r="K79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92">
        <v>7</v>
      </c>
      <c r="M792">
        <v>1</v>
      </c>
      <c r="N792">
        <v>35</v>
      </c>
      <c r="O792">
        <v>44</v>
      </c>
      <c r="P792">
        <v>33</v>
      </c>
      <c r="Q792">
        <f>tinder[[#This Row],[All Swipes]]/MAX(tinder[All Swipes])</f>
        <v>2.8685840040715539E-2</v>
      </c>
      <c r="R792">
        <f>tinder[[#This Row],[Swipe Right (LIKE)]]+tinder[[#This Row],[Swipe Left (PASS)]]</f>
        <v>24349</v>
      </c>
      <c r="S792">
        <v>4587</v>
      </c>
      <c r="T792">
        <v>19762</v>
      </c>
      <c r="U792" t="s">
        <v>8</v>
      </c>
      <c r="V792" s="1">
        <v>42196</v>
      </c>
      <c r="W792" t="s">
        <v>7</v>
      </c>
      <c r="X792" t="s">
        <v>1295</v>
      </c>
      <c r="Y792" t="s">
        <v>8</v>
      </c>
      <c r="Z792">
        <v>19</v>
      </c>
      <c r="AA79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93" spans="1:27" x14ac:dyDescent="0.3">
      <c r="A793" t="s">
        <v>738</v>
      </c>
      <c r="B793">
        <v>152</v>
      </c>
      <c r="C793">
        <v>25</v>
      </c>
      <c r="D793">
        <f>IFERROR(tinder[[#This Row],[Tinder Opened]]/tinder[[#This Row],[Days on Tinder]],0)</f>
        <v>6.08</v>
      </c>
      <c r="E793">
        <f>tinder[[#This Row],[Engagement]]/MAX(tinder[Engagement])</f>
        <v>3.0552763819095479E-2</v>
      </c>
      <c r="F79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93">
        <v>7</v>
      </c>
      <c r="H793">
        <f>IFERROR(tinder[[#This Row],[Conversations]]/tinder[[#This Row],[Tinder Opened]],0)</f>
        <v>4.6052631578947366E-2</v>
      </c>
      <c r="I793">
        <f>tinder[[#This Row],[Conversations]]/MAX(tinder[Conversations])</f>
        <v>5.5370985603543741E-4</v>
      </c>
      <c r="J793">
        <f>(tinder[[#This Row],[Norm Engagement]]*2)+(tinder[[#This Row],[Norm Swipes]]*1)+(tinder[[#This Row],[Norm Conversations]]*2)</f>
        <v>6.3844631955641565E-2</v>
      </c>
      <c r="K79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793">
        <v>2</v>
      </c>
      <c r="M793">
        <v>0</v>
      </c>
      <c r="N793">
        <v>5</v>
      </c>
      <c r="O793">
        <v>76</v>
      </c>
      <c r="P793">
        <v>91</v>
      </c>
      <c r="Q793">
        <f>tinder[[#This Row],[All Swipes]]/MAX(tinder[All Swipes])</f>
        <v>1.631684605379729E-3</v>
      </c>
      <c r="R793">
        <f>tinder[[#This Row],[Swipe Right (LIKE)]]+tinder[[#This Row],[Swipe Left (PASS)]]</f>
        <v>1385</v>
      </c>
      <c r="S793">
        <v>219</v>
      </c>
      <c r="T793">
        <v>1166</v>
      </c>
      <c r="U793" t="s">
        <v>65</v>
      </c>
      <c r="V793" s="1">
        <v>44275</v>
      </c>
      <c r="W793" t="s">
        <v>12</v>
      </c>
      <c r="X793" t="s">
        <v>1295</v>
      </c>
      <c r="Y793" t="s">
        <v>8</v>
      </c>
      <c r="Z793">
        <v>26</v>
      </c>
      <c r="AA79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94" spans="1:27" x14ac:dyDescent="0.3">
      <c r="A794" t="s">
        <v>1171</v>
      </c>
      <c r="B794">
        <v>103</v>
      </c>
      <c r="C794">
        <v>17</v>
      </c>
      <c r="D794">
        <f>IFERROR(tinder[[#This Row],[Tinder Opened]]/tinder[[#This Row],[Days on Tinder]],0)</f>
        <v>6.0588235294117645</v>
      </c>
      <c r="E794">
        <f>tinder[[#This Row],[Engagement]]/MAX(tinder[Engagement])</f>
        <v>3.0446349394028967E-2</v>
      </c>
      <c r="F79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94">
        <v>12</v>
      </c>
      <c r="H794">
        <f>IFERROR(tinder[[#This Row],[Conversations]]/tinder[[#This Row],[Tinder Opened]],0)</f>
        <v>0.11650485436893204</v>
      </c>
      <c r="I794">
        <f>tinder[[#This Row],[Conversations]]/MAX(tinder[Conversations])</f>
        <v>9.4921689606074992E-4</v>
      </c>
      <c r="J794">
        <f>(tinder[[#This Row],[Norm Engagement]]*2)+(tinder[[#This Row],[Norm Swipes]]*1)+(tinder[[#This Row],[Norm Conversations]]*2)</f>
        <v>6.2885381510454072E-2</v>
      </c>
      <c r="K79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794">
        <v>3</v>
      </c>
      <c r="M794">
        <v>0</v>
      </c>
      <c r="N794">
        <v>22</v>
      </c>
      <c r="O794">
        <v>123</v>
      </c>
      <c r="P794">
        <v>150</v>
      </c>
      <c r="Q794">
        <f>tinder[[#This Row],[All Swipes]]/MAX(tinder[All Swipes])</f>
        <v>9.4248930274641387E-5</v>
      </c>
      <c r="R794">
        <f>tinder[[#This Row],[Swipe Right (LIKE)]]+tinder[[#This Row],[Swipe Left (PASS)]]</f>
        <v>80</v>
      </c>
      <c r="S794">
        <v>33</v>
      </c>
      <c r="T794">
        <v>47</v>
      </c>
      <c r="U794" t="s">
        <v>132</v>
      </c>
      <c r="V794" s="1">
        <v>43237</v>
      </c>
      <c r="W794" t="s">
        <v>12</v>
      </c>
      <c r="X794" t="s">
        <v>1295</v>
      </c>
      <c r="Y794" t="s">
        <v>8</v>
      </c>
      <c r="Z794">
        <v>20</v>
      </c>
      <c r="AA79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795" spans="1:27" x14ac:dyDescent="0.3">
      <c r="A795" t="s">
        <v>582</v>
      </c>
      <c r="B795">
        <v>1441</v>
      </c>
      <c r="C795">
        <v>238</v>
      </c>
      <c r="D795">
        <f>IFERROR(tinder[[#This Row],[Tinder Opened]]/tinder[[#This Row],[Days on Tinder]],0)</f>
        <v>6.0546218487394956</v>
      </c>
      <c r="E795">
        <f>tinder[[#This Row],[Engagement]]/MAX(tinder[Engagement])</f>
        <v>3.0425235420801486E-2</v>
      </c>
      <c r="F79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95">
        <v>21</v>
      </c>
      <c r="H795">
        <f>IFERROR(tinder[[#This Row],[Conversations]]/tinder[[#This Row],[Tinder Opened]],0)</f>
        <v>1.457321304649549E-2</v>
      </c>
      <c r="I795">
        <f>tinder[[#This Row],[Conversations]]/MAX(tinder[Conversations])</f>
        <v>1.6611295681063123E-3</v>
      </c>
      <c r="J795">
        <f>(tinder[[#This Row],[Norm Engagement]]*2)+(tinder[[#This Row],[Norm Swipes]]*1)+(tinder[[#This Row],[Norm Conversations]]*2)</f>
        <v>9.2822048558049708E-2</v>
      </c>
      <c r="K79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95">
        <v>8</v>
      </c>
      <c r="M795">
        <v>6</v>
      </c>
      <c r="N795">
        <v>241</v>
      </c>
      <c r="O795">
        <v>55</v>
      </c>
      <c r="P795">
        <v>65</v>
      </c>
      <c r="Q795">
        <f>tinder[[#This Row],[All Swipes]]/MAX(tinder[All Swipes])</f>
        <v>2.8649318580234114E-2</v>
      </c>
      <c r="R795">
        <f>tinder[[#This Row],[Swipe Right (LIKE)]]+tinder[[#This Row],[Swipe Left (PASS)]]</f>
        <v>24318</v>
      </c>
      <c r="S795">
        <v>2872</v>
      </c>
      <c r="T795">
        <v>21446</v>
      </c>
      <c r="U795" t="s">
        <v>8</v>
      </c>
      <c r="V795" s="1">
        <v>43970</v>
      </c>
      <c r="W795" t="s">
        <v>12</v>
      </c>
      <c r="X795" t="s">
        <v>1295</v>
      </c>
      <c r="Y795" t="s">
        <v>583</v>
      </c>
      <c r="Z795">
        <v>22</v>
      </c>
      <c r="AA79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96" spans="1:27" x14ac:dyDescent="0.3">
      <c r="A796" t="s">
        <v>1215</v>
      </c>
      <c r="B796">
        <v>11132</v>
      </c>
      <c r="C796">
        <v>1845</v>
      </c>
      <c r="D796">
        <f>IFERROR(tinder[[#This Row],[Tinder Opened]]/tinder[[#This Row],[Days on Tinder]],0)</f>
        <v>6.0336043360433607</v>
      </c>
      <c r="E796">
        <f>tinder[[#This Row],[Engagement]]/MAX(tinder[Engagement])</f>
        <v>3.0319619779112364E-2</v>
      </c>
      <c r="F79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96">
        <v>627</v>
      </c>
      <c r="H796">
        <f>IFERROR(tinder[[#This Row],[Conversations]]/tinder[[#This Row],[Tinder Opened]],0)</f>
        <v>5.632411067193676E-2</v>
      </c>
      <c r="I796">
        <f>tinder[[#This Row],[Conversations]]/MAX(tinder[Conversations])</f>
        <v>4.959658281917418E-2</v>
      </c>
      <c r="J796">
        <f>(tinder[[#This Row],[Norm Engagement]]*2)+(tinder[[#This Row],[Norm Swipes]]*1)+(tinder[[#This Row],[Norm Conversations]]*2)</f>
        <v>0.2834811111587604</v>
      </c>
      <c r="K79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96">
        <v>227</v>
      </c>
      <c r="M796">
        <v>225</v>
      </c>
      <c r="N796">
        <v>922</v>
      </c>
      <c r="O796">
        <v>800</v>
      </c>
      <c r="P796">
        <v>1005</v>
      </c>
      <c r="Q796">
        <f>tinder[[#This Row],[All Swipes]]/MAX(tinder[All Swipes])</f>
        <v>0.12364870596218733</v>
      </c>
      <c r="R796">
        <f>tinder[[#This Row],[Swipe Right (LIKE)]]+tinder[[#This Row],[Swipe Left (PASS)]]</f>
        <v>104955</v>
      </c>
      <c r="S796">
        <v>68721</v>
      </c>
      <c r="T796">
        <v>36234</v>
      </c>
      <c r="U796" t="s">
        <v>8</v>
      </c>
      <c r="V796" s="1">
        <v>42077</v>
      </c>
      <c r="W796" t="s">
        <v>12</v>
      </c>
      <c r="X796" t="s">
        <v>1295</v>
      </c>
      <c r="Y796" t="s">
        <v>8</v>
      </c>
      <c r="Z796">
        <v>32</v>
      </c>
      <c r="AA796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797" spans="1:27" x14ac:dyDescent="0.3">
      <c r="A797" t="s">
        <v>22</v>
      </c>
      <c r="B797">
        <v>4271</v>
      </c>
      <c r="C797">
        <v>708</v>
      </c>
      <c r="D797">
        <f>IFERROR(tinder[[#This Row],[Tinder Opened]]/tinder[[#This Row],[Days on Tinder]],0)</f>
        <v>6.0324858757062145</v>
      </c>
      <c r="E797">
        <f>tinder[[#This Row],[Engagement]]/MAX(tinder[Engagement])</f>
        <v>3.0313999375408112E-2</v>
      </c>
      <c r="F79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97">
        <v>663</v>
      </c>
      <c r="H797">
        <f>IFERROR(tinder[[#This Row],[Conversations]]/tinder[[#This Row],[Tinder Opened]],0)</f>
        <v>0.15523296651837978</v>
      </c>
      <c r="I797">
        <f>tinder[[#This Row],[Conversations]]/MAX(tinder[Conversations])</f>
        <v>5.2444233507356428E-2</v>
      </c>
      <c r="J797">
        <f>(tinder[[#This Row],[Norm Engagement]]*2)+(tinder[[#This Row],[Norm Swipes]]*1)+(tinder[[#This Row],[Norm Conversations]]*2)</f>
        <v>0.30706775603338454</v>
      </c>
      <c r="K79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97">
        <v>123</v>
      </c>
      <c r="M797">
        <v>85</v>
      </c>
      <c r="N797">
        <v>1781</v>
      </c>
      <c r="O797">
        <v>2296</v>
      </c>
      <c r="P797">
        <v>3448</v>
      </c>
      <c r="Q797">
        <f>tinder[[#This Row],[All Swipes]]/MAX(tinder[All Swipes])</f>
        <v>0.14155129026785546</v>
      </c>
      <c r="R797">
        <f>tinder[[#This Row],[Swipe Right (LIKE)]]+tinder[[#This Row],[Swipe Left (PASS)]]</f>
        <v>120151</v>
      </c>
      <c r="S797">
        <v>4532</v>
      </c>
      <c r="T797">
        <v>115619</v>
      </c>
      <c r="U797" t="s">
        <v>8</v>
      </c>
      <c r="V797" s="1">
        <v>41678</v>
      </c>
      <c r="W797" t="s">
        <v>7</v>
      </c>
      <c r="X797" t="s">
        <v>1296</v>
      </c>
      <c r="Y797" t="s">
        <v>8</v>
      </c>
      <c r="Z797">
        <v>21</v>
      </c>
      <c r="AA79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98" spans="1:27" x14ac:dyDescent="0.3">
      <c r="A798" t="s">
        <v>268</v>
      </c>
      <c r="B798">
        <v>3541</v>
      </c>
      <c r="C798">
        <v>588</v>
      </c>
      <c r="D798">
        <f>IFERROR(tinder[[#This Row],[Tinder Opened]]/tinder[[#This Row],[Days on Tinder]],0)</f>
        <v>6.0221088435374153</v>
      </c>
      <c r="E798">
        <f>tinder[[#This Row],[Engagement]]/MAX(tinder[Engagement])</f>
        <v>3.0261853485112639E-2</v>
      </c>
      <c r="F79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98">
        <v>215</v>
      </c>
      <c r="H798">
        <f>IFERROR(tinder[[#This Row],[Conversations]]/tinder[[#This Row],[Tinder Opened]],0)</f>
        <v>6.0717311493928269E-2</v>
      </c>
      <c r="I798">
        <f>tinder[[#This Row],[Conversations]]/MAX(tinder[Conversations])</f>
        <v>1.7006802721088437E-2</v>
      </c>
      <c r="J798">
        <f>(tinder[[#This Row],[Norm Engagement]]*2)+(tinder[[#This Row],[Norm Swipes]]*1)+(tinder[[#This Row],[Norm Conversations]]*2)</f>
        <v>0.15714687679384642</v>
      </c>
      <c r="K79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798">
        <v>86</v>
      </c>
      <c r="M798">
        <v>54</v>
      </c>
      <c r="N798">
        <v>1091</v>
      </c>
      <c r="O798">
        <v>948</v>
      </c>
      <c r="P798">
        <v>1162</v>
      </c>
      <c r="Q798">
        <f>tinder[[#This Row],[All Swipes]]/MAX(tinder[All Swipes])</f>
        <v>6.2609564381444271E-2</v>
      </c>
      <c r="R798">
        <f>tinder[[#This Row],[Swipe Right (LIKE)]]+tinder[[#This Row],[Swipe Left (PASS)]]</f>
        <v>53144</v>
      </c>
      <c r="S798">
        <v>5662</v>
      </c>
      <c r="T798">
        <v>47482</v>
      </c>
      <c r="U798" t="s">
        <v>8</v>
      </c>
      <c r="V798" s="1">
        <v>43149</v>
      </c>
      <c r="W798" t="s">
        <v>7</v>
      </c>
      <c r="X798" t="s">
        <v>1296</v>
      </c>
      <c r="Y798" t="s">
        <v>8</v>
      </c>
      <c r="Z798">
        <v>21</v>
      </c>
      <c r="AA79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799" spans="1:27" x14ac:dyDescent="0.3">
      <c r="A799" t="s">
        <v>1220</v>
      </c>
      <c r="B799">
        <v>1764</v>
      </c>
      <c r="C799">
        <v>294</v>
      </c>
      <c r="D799">
        <f>IFERROR(tinder[[#This Row],[Tinder Opened]]/tinder[[#This Row],[Days on Tinder]],0)</f>
        <v>6</v>
      </c>
      <c r="E799">
        <f>tinder[[#This Row],[Engagement]]/MAX(tinder[Engagement])</f>
        <v>3.015075376884422E-2</v>
      </c>
      <c r="F79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799">
        <v>61</v>
      </c>
      <c r="H799">
        <f>IFERROR(tinder[[#This Row],[Conversations]]/tinder[[#This Row],[Tinder Opened]],0)</f>
        <v>3.4580498866213151E-2</v>
      </c>
      <c r="I799">
        <f>tinder[[#This Row],[Conversations]]/MAX(tinder[Conversations])</f>
        <v>4.825185888308812E-3</v>
      </c>
      <c r="J799">
        <f>(tinder[[#This Row],[Norm Engagement]]*2)+(tinder[[#This Row],[Norm Swipes]]*1)+(tinder[[#This Row],[Norm Conversations]]*2)</f>
        <v>8.4898581544235754E-2</v>
      </c>
      <c r="K79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799">
        <v>18</v>
      </c>
      <c r="M799">
        <v>0</v>
      </c>
      <c r="N799">
        <v>101</v>
      </c>
      <c r="O799">
        <v>815</v>
      </c>
      <c r="P799">
        <v>695</v>
      </c>
      <c r="Q799">
        <f>tinder[[#This Row],[All Swipes]]/MAX(tinder[All Swipes])</f>
        <v>1.4946702229929691E-2</v>
      </c>
      <c r="R799">
        <f>tinder[[#This Row],[Swipe Right (LIKE)]]+tinder[[#This Row],[Swipe Left (PASS)]]</f>
        <v>12687</v>
      </c>
      <c r="S799">
        <v>6427</v>
      </c>
      <c r="T799">
        <v>6260</v>
      </c>
      <c r="U799" t="s">
        <v>497</v>
      </c>
      <c r="V799" s="1">
        <v>42925</v>
      </c>
      <c r="W799" t="s">
        <v>12</v>
      </c>
      <c r="X799" t="s">
        <v>1295</v>
      </c>
      <c r="Y799" t="s">
        <v>8</v>
      </c>
      <c r="Z799">
        <v>20</v>
      </c>
      <c r="AA79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00" spans="1:27" x14ac:dyDescent="0.3">
      <c r="A800" t="s">
        <v>101</v>
      </c>
      <c r="B800">
        <v>2549</v>
      </c>
      <c r="C800">
        <v>429</v>
      </c>
      <c r="D800">
        <f>IFERROR(tinder[[#This Row],[Tinder Opened]]/tinder[[#This Row],[Days on Tinder]],0)</f>
        <v>5.9417249417249414</v>
      </c>
      <c r="E800">
        <f>tinder[[#This Row],[Engagement]]/MAX(tinder[Engagement])</f>
        <v>2.9857914280024832E-2</v>
      </c>
      <c r="F80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00">
        <v>31</v>
      </c>
      <c r="H800">
        <f>IFERROR(tinder[[#This Row],[Conversations]]/tinder[[#This Row],[Tinder Opened]],0)</f>
        <v>1.2161632012553943E-2</v>
      </c>
      <c r="I800">
        <f>tinder[[#This Row],[Conversations]]/MAX(tinder[Conversations])</f>
        <v>2.4521436481569374E-3</v>
      </c>
      <c r="J800">
        <f>(tinder[[#This Row],[Norm Engagement]]*2)+(tinder[[#This Row],[Norm Swipes]]*1)+(tinder[[#This Row],[Norm Conversations]]*2)</f>
        <v>0.18148054261551982</v>
      </c>
      <c r="K80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00">
        <v>9</v>
      </c>
      <c r="M800">
        <v>2</v>
      </c>
      <c r="N800">
        <v>258</v>
      </c>
      <c r="O800">
        <v>358</v>
      </c>
      <c r="P800">
        <v>396</v>
      </c>
      <c r="Q800">
        <f>tinder[[#This Row],[All Swipes]]/MAX(tinder[All Swipes])</f>
        <v>0.11686042675915628</v>
      </c>
      <c r="R800">
        <f>tinder[[#This Row],[Swipe Right (LIKE)]]+tinder[[#This Row],[Swipe Left (PASS)]]</f>
        <v>99193</v>
      </c>
      <c r="S800">
        <v>6990</v>
      </c>
      <c r="T800">
        <v>92203</v>
      </c>
      <c r="U800" t="s">
        <v>10</v>
      </c>
      <c r="V800" s="1">
        <v>42772</v>
      </c>
      <c r="W800" t="s">
        <v>7</v>
      </c>
      <c r="X800" t="s">
        <v>1295</v>
      </c>
      <c r="Y800" t="s">
        <v>8</v>
      </c>
      <c r="Z800">
        <v>21</v>
      </c>
      <c r="AA80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01" spans="1:27" x14ac:dyDescent="0.3">
      <c r="A801" t="s">
        <v>454</v>
      </c>
      <c r="B801">
        <v>942</v>
      </c>
      <c r="C801">
        <v>159</v>
      </c>
      <c r="D801">
        <f>IFERROR(tinder[[#This Row],[Tinder Opened]]/tinder[[#This Row],[Days on Tinder]],0)</f>
        <v>5.9245283018867925</v>
      </c>
      <c r="E801">
        <f>tinder[[#This Row],[Engagement]]/MAX(tinder[Engagement])</f>
        <v>2.9771499004456244E-2</v>
      </c>
      <c r="F80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01">
        <v>86</v>
      </c>
      <c r="H801">
        <f>IFERROR(tinder[[#This Row],[Conversations]]/tinder[[#This Row],[Tinder Opened]],0)</f>
        <v>9.1295116772823773E-2</v>
      </c>
      <c r="I801">
        <f>tinder[[#This Row],[Conversations]]/MAX(tinder[Conversations])</f>
        <v>6.8027210884353739E-3</v>
      </c>
      <c r="J801">
        <f>(tinder[[#This Row],[Norm Engagement]]*2)+(tinder[[#This Row],[Norm Swipes]]*1)+(tinder[[#This Row],[Norm Conversations]]*2)</f>
        <v>8.6770944945354214E-2</v>
      </c>
      <c r="K80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01">
        <v>27</v>
      </c>
      <c r="M801">
        <v>8</v>
      </c>
      <c r="N801">
        <v>473</v>
      </c>
      <c r="O801">
        <v>418</v>
      </c>
      <c r="P801">
        <v>483</v>
      </c>
      <c r="Q801">
        <f>tinder[[#This Row],[All Swipes]]/MAX(tinder[All Swipes])</f>
        <v>1.362250475957098E-2</v>
      </c>
      <c r="R801">
        <f>tinder[[#This Row],[Swipe Right (LIKE)]]+tinder[[#This Row],[Swipe Left (PASS)]]</f>
        <v>11563</v>
      </c>
      <c r="S801">
        <v>804</v>
      </c>
      <c r="T801">
        <v>10759</v>
      </c>
      <c r="U801" t="s">
        <v>10</v>
      </c>
      <c r="V801" s="1">
        <v>43857</v>
      </c>
      <c r="W801" t="s">
        <v>12</v>
      </c>
      <c r="X801" t="s">
        <v>1295</v>
      </c>
      <c r="Y801" t="s">
        <v>8</v>
      </c>
      <c r="Z801">
        <v>19</v>
      </c>
      <c r="AA80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02" spans="1:27" x14ac:dyDescent="0.3">
      <c r="A802" t="s">
        <v>39</v>
      </c>
      <c r="B802">
        <v>7464</v>
      </c>
      <c r="C802">
        <v>1262</v>
      </c>
      <c r="D802">
        <f>IFERROR(tinder[[#This Row],[Tinder Opened]]/tinder[[#This Row],[Days on Tinder]],0)</f>
        <v>5.9144215530903326</v>
      </c>
      <c r="E802">
        <f>tinder[[#This Row],[Engagement]]/MAX(tinder[Engagement])</f>
        <v>2.9720711322061971E-2</v>
      </c>
      <c r="F80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02">
        <v>211</v>
      </c>
      <c r="H802">
        <f>IFERROR(tinder[[#This Row],[Conversations]]/tinder[[#This Row],[Tinder Opened]],0)</f>
        <v>2.8269024651661308E-2</v>
      </c>
      <c r="I802">
        <f>tinder[[#This Row],[Conversations]]/MAX(tinder[Conversations])</f>
        <v>1.6690397089068186E-2</v>
      </c>
      <c r="J802">
        <f>(tinder[[#This Row],[Norm Engagement]]*2)+(tinder[[#This Row],[Norm Swipes]]*1)+(tinder[[#This Row],[Norm Conversations]]*2)</f>
        <v>0.23292325167551475</v>
      </c>
      <c r="K80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02">
        <v>83</v>
      </c>
      <c r="M802">
        <v>45</v>
      </c>
      <c r="N802">
        <v>567</v>
      </c>
      <c r="O802">
        <v>783</v>
      </c>
      <c r="P802">
        <v>878</v>
      </c>
      <c r="Q802">
        <f>tinder[[#This Row],[All Swipes]]/MAX(tinder[All Swipes])</f>
        <v>0.14010103485325442</v>
      </c>
      <c r="R802">
        <f>tinder[[#This Row],[Swipe Right (LIKE)]]+tinder[[#This Row],[Swipe Left (PASS)]]</f>
        <v>118920</v>
      </c>
      <c r="S802">
        <v>70081</v>
      </c>
      <c r="T802">
        <v>48839</v>
      </c>
      <c r="U802" t="s">
        <v>8</v>
      </c>
      <c r="V802" s="1">
        <v>41547</v>
      </c>
      <c r="W802" t="s">
        <v>7</v>
      </c>
      <c r="X802" t="s">
        <v>1295</v>
      </c>
      <c r="Y802" t="s">
        <v>40</v>
      </c>
      <c r="Z802">
        <v>29</v>
      </c>
      <c r="AA80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03" spans="1:27" x14ac:dyDescent="0.3">
      <c r="A803" t="s">
        <v>875</v>
      </c>
      <c r="B803">
        <v>2182</v>
      </c>
      <c r="C803">
        <v>369</v>
      </c>
      <c r="D803">
        <f>IFERROR(tinder[[#This Row],[Tinder Opened]]/tinder[[#This Row],[Days on Tinder]],0)</f>
        <v>5.9132791327913283</v>
      </c>
      <c r="E803">
        <f>tinder[[#This Row],[Engagement]]/MAX(tinder[Engagement])</f>
        <v>2.9714970516539339E-2</v>
      </c>
      <c r="F80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03">
        <v>305</v>
      </c>
      <c r="H803">
        <f>IFERROR(tinder[[#This Row],[Conversations]]/tinder[[#This Row],[Tinder Opened]],0)</f>
        <v>0.13978001833180567</v>
      </c>
      <c r="I803">
        <f>tinder[[#This Row],[Conversations]]/MAX(tinder[Conversations])</f>
        <v>2.4125929441544059E-2</v>
      </c>
      <c r="J803">
        <f>(tinder[[#This Row],[Norm Engagement]]*2)+(tinder[[#This Row],[Norm Swipes]]*1)+(tinder[[#This Row],[Norm Conversations]]*2)</f>
        <v>0.1352637493610406</v>
      </c>
      <c r="K80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03">
        <v>69</v>
      </c>
      <c r="M803">
        <v>109</v>
      </c>
      <c r="N803">
        <v>833</v>
      </c>
      <c r="O803">
        <v>1146</v>
      </c>
      <c r="P803">
        <v>2119</v>
      </c>
      <c r="Q803">
        <f>tinder[[#This Row],[All Swipes]]/MAX(tinder[All Swipes])</f>
        <v>2.7581949444873799E-2</v>
      </c>
      <c r="R803">
        <f>tinder[[#This Row],[Swipe Right (LIKE)]]+tinder[[#This Row],[Swipe Left (PASS)]]</f>
        <v>23412</v>
      </c>
      <c r="S803">
        <v>1989</v>
      </c>
      <c r="T803">
        <v>21423</v>
      </c>
      <c r="U803" t="s">
        <v>293</v>
      </c>
      <c r="V803" s="1">
        <v>41910</v>
      </c>
      <c r="W803" t="s">
        <v>7</v>
      </c>
      <c r="X803" t="s">
        <v>1296</v>
      </c>
      <c r="Y803" t="s">
        <v>8</v>
      </c>
      <c r="Z803">
        <v>18</v>
      </c>
      <c r="AA80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04" spans="1:27" x14ac:dyDescent="0.3">
      <c r="A804" t="s">
        <v>1065</v>
      </c>
      <c r="B804">
        <v>2190</v>
      </c>
      <c r="C804">
        <v>371</v>
      </c>
      <c r="D804">
        <f>IFERROR(tinder[[#This Row],[Tinder Opened]]/tinder[[#This Row],[Days on Tinder]],0)</f>
        <v>5.9029649595687328</v>
      </c>
      <c r="E804">
        <f>tinder[[#This Row],[Engagement]]/MAX(tinder[Engagement])</f>
        <v>2.9663140500345391E-2</v>
      </c>
      <c r="F80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04">
        <v>44</v>
      </c>
      <c r="H804">
        <f>IFERROR(tinder[[#This Row],[Conversations]]/tinder[[#This Row],[Tinder Opened]],0)</f>
        <v>2.0091324200913242E-2</v>
      </c>
      <c r="I804">
        <f>tinder[[#This Row],[Conversations]]/MAX(tinder[Conversations])</f>
        <v>3.4804619522227497E-3</v>
      </c>
      <c r="J804">
        <f>(tinder[[#This Row],[Norm Engagement]]*2)+(tinder[[#This Row],[Norm Swipes]]*1)+(tinder[[#This Row],[Norm Conversations]]*2)</f>
        <v>9.009801902739599E-2</v>
      </c>
      <c r="K80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04">
        <v>9</v>
      </c>
      <c r="M804">
        <v>2</v>
      </c>
      <c r="N804">
        <v>197</v>
      </c>
      <c r="O804">
        <v>320</v>
      </c>
      <c r="P804">
        <v>443</v>
      </c>
      <c r="Q804">
        <f>tinder[[#This Row],[All Swipes]]/MAX(tinder[All Swipes])</f>
        <v>2.3810814122259712E-2</v>
      </c>
      <c r="R804">
        <f>tinder[[#This Row],[Swipe Right (LIKE)]]+tinder[[#This Row],[Swipe Left (PASS)]]</f>
        <v>20211</v>
      </c>
      <c r="S804">
        <v>658</v>
      </c>
      <c r="T804">
        <v>19553</v>
      </c>
      <c r="U804" t="s">
        <v>8</v>
      </c>
      <c r="V804" s="1">
        <v>43618</v>
      </c>
      <c r="W804" t="s">
        <v>12</v>
      </c>
      <c r="X804" t="s">
        <v>1296</v>
      </c>
      <c r="Y804" t="s">
        <v>8</v>
      </c>
      <c r="Z804">
        <v>20</v>
      </c>
      <c r="AA80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05" spans="1:27" x14ac:dyDescent="0.3">
      <c r="A805" t="s">
        <v>1032</v>
      </c>
      <c r="B805">
        <v>3258</v>
      </c>
      <c r="C805">
        <v>552</v>
      </c>
      <c r="D805">
        <f>IFERROR(tinder[[#This Row],[Tinder Opened]]/tinder[[#This Row],[Days on Tinder]],0)</f>
        <v>5.9021739130434785</v>
      </c>
      <c r="E805">
        <f>tinder[[#This Row],[Engagement]]/MAX(tinder[Engagement])</f>
        <v>2.9659165392178284E-2</v>
      </c>
      <c r="F80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05">
        <v>43</v>
      </c>
      <c r="H805">
        <f>IFERROR(tinder[[#This Row],[Conversations]]/tinder[[#This Row],[Tinder Opened]],0)</f>
        <v>1.3198281154082258E-2</v>
      </c>
      <c r="I805">
        <f>tinder[[#This Row],[Conversations]]/MAX(tinder[Conversations])</f>
        <v>3.4013605442176869E-3</v>
      </c>
      <c r="J805">
        <f>(tinder[[#This Row],[Norm Engagement]]*2)+(tinder[[#This Row],[Norm Swipes]]*1)+(tinder[[#This Row],[Norm Conversations]]*2)</f>
        <v>0.16171067318059013</v>
      </c>
      <c r="K80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05">
        <v>20</v>
      </c>
      <c r="M805">
        <v>5</v>
      </c>
      <c r="N805">
        <v>104</v>
      </c>
      <c r="O805">
        <v>359</v>
      </c>
      <c r="P805">
        <v>426</v>
      </c>
      <c r="Q805">
        <f>tinder[[#This Row],[All Swipes]]/MAX(tinder[All Swipes])</f>
        <v>9.5589621307798162E-2</v>
      </c>
      <c r="R805">
        <f>tinder[[#This Row],[Swipe Right (LIKE)]]+tinder[[#This Row],[Swipe Left (PASS)]]</f>
        <v>81138</v>
      </c>
      <c r="S805">
        <v>19351</v>
      </c>
      <c r="T805">
        <v>61787</v>
      </c>
      <c r="U805" t="s">
        <v>10</v>
      </c>
      <c r="V805" s="1">
        <v>43053</v>
      </c>
      <c r="W805" t="s">
        <v>12</v>
      </c>
      <c r="X805" t="s">
        <v>1295</v>
      </c>
      <c r="Y805" t="s">
        <v>8</v>
      </c>
      <c r="Z805">
        <v>24</v>
      </c>
      <c r="AA80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06" spans="1:27" x14ac:dyDescent="0.3">
      <c r="A806" t="s">
        <v>759</v>
      </c>
      <c r="B806">
        <v>2922</v>
      </c>
      <c r="C806">
        <v>497</v>
      </c>
      <c r="D806">
        <f>IFERROR(tinder[[#This Row],[Tinder Opened]]/tinder[[#This Row],[Days on Tinder]],0)</f>
        <v>5.8792756539235409</v>
      </c>
      <c r="E806">
        <f>tinder[[#This Row],[Engagement]]/MAX(tinder[Engagement])</f>
        <v>2.9544098763434879E-2</v>
      </c>
      <c r="F80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06">
        <v>271</v>
      </c>
      <c r="H806">
        <f>IFERROR(tinder[[#This Row],[Conversations]]/tinder[[#This Row],[Tinder Opened]],0)</f>
        <v>9.2744695414099937E-2</v>
      </c>
      <c r="I806">
        <f>tinder[[#This Row],[Conversations]]/MAX(tinder[Conversations])</f>
        <v>2.1436481569371935E-2</v>
      </c>
      <c r="J806">
        <f>(tinder[[#This Row],[Norm Engagement]]*2)+(tinder[[#This Row],[Norm Swipes]]*1)+(tinder[[#This Row],[Norm Conversations]]*2)</f>
        <v>0.16319469066504813</v>
      </c>
      <c r="K80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06">
        <v>99</v>
      </c>
      <c r="M806">
        <v>80</v>
      </c>
      <c r="N806">
        <v>1109</v>
      </c>
      <c r="O806">
        <v>688</v>
      </c>
      <c r="P806">
        <v>715</v>
      </c>
      <c r="Q806">
        <f>tinder[[#This Row],[All Swipes]]/MAX(tinder[All Swipes])</f>
        <v>6.1233529999434509E-2</v>
      </c>
      <c r="R806">
        <f>tinder[[#This Row],[Swipe Right (LIKE)]]+tinder[[#This Row],[Swipe Left (PASS)]]</f>
        <v>51976</v>
      </c>
      <c r="S806">
        <v>31198</v>
      </c>
      <c r="T806">
        <v>20778</v>
      </c>
      <c r="U806" t="s">
        <v>10</v>
      </c>
      <c r="V806" s="1">
        <v>42761</v>
      </c>
      <c r="W806" t="s">
        <v>7</v>
      </c>
      <c r="X806" t="s">
        <v>1295</v>
      </c>
      <c r="Y806" t="s">
        <v>760</v>
      </c>
      <c r="Z806">
        <v>18</v>
      </c>
      <c r="AA80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07" spans="1:27" x14ac:dyDescent="0.3">
      <c r="A807" t="s">
        <v>411</v>
      </c>
      <c r="B807">
        <v>7361</v>
      </c>
      <c r="C807">
        <v>1254</v>
      </c>
      <c r="D807">
        <f>IFERROR(tinder[[#This Row],[Tinder Opened]]/tinder[[#This Row],[Days on Tinder]],0)</f>
        <v>5.8700159489633172</v>
      </c>
      <c r="E807">
        <f>tinder[[#This Row],[Engagement]]/MAX(tinder[Engagement])</f>
        <v>2.9497567582730238E-2</v>
      </c>
      <c r="F80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07">
        <v>100</v>
      </c>
      <c r="H807">
        <f>IFERROR(tinder[[#This Row],[Conversations]]/tinder[[#This Row],[Tinder Opened]],0)</f>
        <v>1.3585110718652357E-2</v>
      </c>
      <c r="I807">
        <f>tinder[[#This Row],[Conversations]]/MAX(tinder[Conversations])</f>
        <v>7.9101408005062494E-3</v>
      </c>
      <c r="J807">
        <f>(tinder[[#This Row],[Norm Engagement]]*2)+(tinder[[#This Row],[Norm Swipes]]*1)+(tinder[[#This Row],[Norm Conversations]]*2)</f>
        <v>0.15127132711689051</v>
      </c>
      <c r="K80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07">
        <v>16</v>
      </c>
      <c r="M807">
        <v>3</v>
      </c>
      <c r="N807">
        <v>683</v>
      </c>
      <c r="O807">
        <v>2185</v>
      </c>
      <c r="P807">
        <v>2183</v>
      </c>
      <c r="Q807">
        <f>tinder[[#This Row],[All Swipes]]/MAX(tinder[All Swipes])</f>
        <v>7.6455910350417516E-2</v>
      </c>
      <c r="R807">
        <f>tinder[[#This Row],[Swipe Right (LIKE)]]+tinder[[#This Row],[Swipe Left (PASS)]]</f>
        <v>64897</v>
      </c>
      <c r="S807">
        <v>4336</v>
      </c>
      <c r="T807">
        <v>60561</v>
      </c>
      <c r="U807" t="s">
        <v>75</v>
      </c>
      <c r="V807" s="1">
        <v>42106</v>
      </c>
      <c r="W807" t="s">
        <v>7</v>
      </c>
      <c r="X807" t="s">
        <v>1295</v>
      </c>
      <c r="Y807" t="s">
        <v>412</v>
      </c>
      <c r="Z807">
        <v>27</v>
      </c>
      <c r="AA80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08" spans="1:27" x14ac:dyDescent="0.3">
      <c r="A808" t="s">
        <v>1256</v>
      </c>
      <c r="B808">
        <v>1384</v>
      </c>
      <c r="C808">
        <v>237</v>
      </c>
      <c r="D808">
        <f>IFERROR(tinder[[#This Row],[Tinder Opened]]/tinder[[#This Row],[Days on Tinder]],0)</f>
        <v>5.8396624472573837</v>
      </c>
      <c r="E808">
        <f>tinder[[#This Row],[Engagement]]/MAX(tinder[Engagement])</f>
        <v>2.9345037423403938E-2</v>
      </c>
      <c r="F80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08">
        <v>170</v>
      </c>
      <c r="H808">
        <f>IFERROR(tinder[[#This Row],[Conversations]]/tinder[[#This Row],[Tinder Opened]],0)</f>
        <v>0.12283236994219653</v>
      </c>
      <c r="I808">
        <f>tinder[[#This Row],[Conversations]]/MAX(tinder[Conversations])</f>
        <v>1.3447239360860624E-2</v>
      </c>
      <c r="J808">
        <f>(tinder[[#This Row],[Norm Engagement]]*2)+(tinder[[#This Row],[Norm Swipes]]*1)+(tinder[[#This Row],[Norm Conversations]]*2)</f>
        <v>9.8401229974251922E-2</v>
      </c>
      <c r="K80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08">
        <v>23</v>
      </c>
      <c r="M808">
        <v>84</v>
      </c>
      <c r="N808">
        <v>428</v>
      </c>
      <c r="O808">
        <v>713</v>
      </c>
      <c r="P808">
        <v>685</v>
      </c>
      <c r="Q808">
        <f>tinder[[#This Row],[All Swipes]]/MAX(tinder[All Swipes])</f>
        <v>1.2816676405722795E-2</v>
      </c>
      <c r="R808">
        <f>tinder[[#This Row],[Swipe Right (LIKE)]]+tinder[[#This Row],[Swipe Left (PASS)]]</f>
        <v>10879</v>
      </c>
      <c r="S808">
        <v>10516</v>
      </c>
      <c r="T808">
        <v>363</v>
      </c>
      <c r="U808" t="s">
        <v>1257</v>
      </c>
      <c r="V808" s="1">
        <v>43634</v>
      </c>
      <c r="W808" t="s">
        <v>12</v>
      </c>
      <c r="X808" t="s">
        <v>1295</v>
      </c>
      <c r="Y808" t="s">
        <v>8</v>
      </c>
      <c r="Z808">
        <v>18</v>
      </c>
      <c r="AA80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09" spans="1:27" x14ac:dyDescent="0.3">
      <c r="A809" t="s">
        <v>389</v>
      </c>
      <c r="B809">
        <v>1803</v>
      </c>
      <c r="C809">
        <v>309</v>
      </c>
      <c r="D809">
        <f>IFERROR(tinder[[#This Row],[Tinder Opened]]/tinder[[#This Row],[Days on Tinder]],0)</f>
        <v>5.8349514563106792</v>
      </c>
      <c r="E809">
        <f>tinder[[#This Row],[Engagement]]/MAX(tinder[Engagement])</f>
        <v>2.9321364102063714E-2</v>
      </c>
      <c r="F80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09">
        <v>107</v>
      </c>
      <c r="H809">
        <f>IFERROR(tinder[[#This Row],[Conversations]]/tinder[[#This Row],[Tinder Opened]],0)</f>
        <v>5.9345535219079315E-2</v>
      </c>
      <c r="I809">
        <f>tinder[[#This Row],[Conversations]]/MAX(tinder[Conversations])</f>
        <v>8.4638506565416858E-3</v>
      </c>
      <c r="J809">
        <f>(tinder[[#This Row],[Norm Engagement]]*2)+(tinder[[#This Row],[Norm Swipes]]*1)+(tinder[[#This Row],[Norm Conversations]]*2)</f>
        <v>0.11242647370110931</v>
      </c>
      <c r="K80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09">
        <v>30</v>
      </c>
      <c r="M809">
        <v>9</v>
      </c>
      <c r="N809">
        <v>129</v>
      </c>
      <c r="O809">
        <v>510</v>
      </c>
      <c r="P809">
        <v>371</v>
      </c>
      <c r="Q809">
        <f>tinder[[#This Row],[All Swipes]]/MAX(tinder[All Swipes])</f>
        <v>3.6856044183898512E-2</v>
      </c>
      <c r="R809">
        <f>tinder[[#This Row],[Swipe Right (LIKE)]]+tinder[[#This Row],[Swipe Left (PASS)]]</f>
        <v>31284</v>
      </c>
      <c r="S809">
        <v>4092</v>
      </c>
      <c r="T809">
        <v>27192</v>
      </c>
      <c r="U809" t="s">
        <v>10</v>
      </c>
      <c r="V809" s="1">
        <v>43267</v>
      </c>
      <c r="W809" t="s">
        <v>12</v>
      </c>
      <c r="X809" t="s">
        <v>1295</v>
      </c>
      <c r="Y809" t="s">
        <v>390</v>
      </c>
      <c r="Z809">
        <v>20</v>
      </c>
      <c r="AA80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10" spans="1:27" x14ac:dyDescent="0.3">
      <c r="A810" t="s">
        <v>709</v>
      </c>
      <c r="B810">
        <v>326</v>
      </c>
      <c r="C810">
        <v>56</v>
      </c>
      <c r="D810">
        <f>IFERROR(tinder[[#This Row],[Tinder Opened]]/tinder[[#This Row],[Days on Tinder]],0)</f>
        <v>5.8214285714285712</v>
      </c>
      <c r="E810">
        <f>tinder[[#This Row],[Engagement]]/MAX(tinder[Engagement])</f>
        <v>2.9253409906676239E-2</v>
      </c>
      <c r="F81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10">
        <v>6</v>
      </c>
      <c r="H810">
        <f>IFERROR(tinder[[#This Row],[Conversations]]/tinder[[#This Row],[Tinder Opened]],0)</f>
        <v>1.8404907975460124E-2</v>
      </c>
      <c r="I810">
        <f>tinder[[#This Row],[Conversations]]/MAX(tinder[Conversations])</f>
        <v>4.7460844803037496E-4</v>
      </c>
      <c r="J810">
        <f>(tinder[[#This Row],[Norm Engagement]]*2)+(tinder[[#This Row],[Norm Swipes]]*1)+(tinder[[#This Row],[Norm Conversations]]*2)</f>
        <v>6.9294446918457361E-2</v>
      </c>
      <c r="K81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10">
        <v>2</v>
      </c>
      <c r="M810">
        <v>0</v>
      </c>
      <c r="N810">
        <v>8</v>
      </c>
      <c r="O810">
        <v>20</v>
      </c>
      <c r="P810">
        <v>14</v>
      </c>
      <c r="Q810">
        <f>tinder[[#This Row],[All Swipes]]/MAX(tinder[All Swipes])</f>
        <v>9.8384102090441281E-3</v>
      </c>
      <c r="R810">
        <f>tinder[[#This Row],[Swipe Right (LIKE)]]+tinder[[#This Row],[Swipe Left (PASS)]]</f>
        <v>8351</v>
      </c>
      <c r="S810">
        <v>474</v>
      </c>
      <c r="T810">
        <v>7877</v>
      </c>
      <c r="U810" t="s">
        <v>8</v>
      </c>
      <c r="V810" s="1">
        <v>43337</v>
      </c>
      <c r="W810" t="s">
        <v>12</v>
      </c>
      <c r="X810" t="s">
        <v>1295</v>
      </c>
      <c r="Y810" t="s">
        <v>8</v>
      </c>
      <c r="Z810">
        <v>21</v>
      </c>
      <c r="AA81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11" spans="1:27" x14ac:dyDescent="0.3">
      <c r="A811" t="s">
        <v>873</v>
      </c>
      <c r="B811">
        <v>2437</v>
      </c>
      <c r="C811">
        <v>419</v>
      </c>
      <c r="D811">
        <f>IFERROR(tinder[[#This Row],[Tinder Opened]]/tinder[[#This Row],[Days on Tinder]],0)</f>
        <v>5.8162291169451077</v>
      </c>
      <c r="E811">
        <f>tinder[[#This Row],[Engagement]]/MAX(tinder[Engagement])</f>
        <v>2.9227281994699032E-2</v>
      </c>
      <c r="F81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11">
        <v>134</v>
      </c>
      <c r="H811">
        <f>IFERROR(tinder[[#This Row],[Conversations]]/tinder[[#This Row],[Tinder Opened]],0)</f>
        <v>5.4985638079606075E-2</v>
      </c>
      <c r="I811">
        <f>tinder[[#This Row],[Conversations]]/MAX(tinder[Conversations])</f>
        <v>1.0599588672678373E-2</v>
      </c>
      <c r="J811">
        <f>(tinder[[#This Row],[Norm Engagement]]*2)+(tinder[[#This Row],[Norm Swipes]]*1)+(tinder[[#This Row],[Norm Conversations]]*2)</f>
        <v>0.11265500427042048</v>
      </c>
      <c r="K81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11">
        <v>46</v>
      </c>
      <c r="M811">
        <v>4</v>
      </c>
      <c r="N811">
        <v>114</v>
      </c>
      <c r="O811">
        <v>1443</v>
      </c>
      <c r="P811">
        <v>1342</v>
      </c>
      <c r="Q811">
        <f>tinder[[#This Row],[All Swipes]]/MAX(tinder[All Swipes])</f>
        <v>3.300126293566568E-2</v>
      </c>
      <c r="R811">
        <f>tinder[[#This Row],[Swipe Right (LIKE)]]+tinder[[#This Row],[Swipe Left (PASS)]]</f>
        <v>28012</v>
      </c>
      <c r="S811">
        <v>14787</v>
      </c>
      <c r="T811">
        <v>13225</v>
      </c>
      <c r="U811" t="s">
        <v>75</v>
      </c>
      <c r="V811" s="1">
        <v>43725</v>
      </c>
      <c r="W811" t="s">
        <v>12</v>
      </c>
      <c r="X811" t="s">
        <v>1295</v>
      </c>
      <c r="Y811" t="s">
        <v>874</v>
      </c>
      <c r="Z811">
        <v>19</v>
      </c>
      <c r="AA81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12" spans="1:27" x14ac:dyDescent="0.3">
      <c r="A812" t="s">
        <v>342</v>
      </c>
      <c r="B812">
        <v>2732</v>
      </c>
      <c r="C812">
        <v>470</v>
      </c>
      <c r="D812">
        <f>IFERROR(tinder[[#This Row],[Tinder Opened]]/tinder[[#This Row],[Days on Tinder]],0)</f>
        <v>5.8127659574468087</v>
      </c>
      <c r="E812">
        <f>tinder[[#This Row],[Engagement]]/MAX(tinder[Engagement])</f>
        <v>2.9209879183149792E-2</v>
      </c>
      <c r="F81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12">
        <v>123</v>
      </c>
      <c r="H812">
        <f>IFERROR(tinder[[#This Row],[Conversations]]/tinder[[#This Row],[Tinder Opened]],0)</f>
        <v>4.5021961932650074E-2</v>
      </c>
      <c r="I812">
        <f>tinder[[#This Row],[Conversations]]/MAX(tinder[Conversations])</f>
        <v>9.7294731846226858E-3</v>
      </c>
      <c r="J812">
        <f>(tinder[[#This Row],[Norm Engagement]]*2)+(tinder[[#This Row],[Norm Swipes]]*1)+(tinder[[#This Row],[Norm Conversations]]*2)</f>
        <v>0.12494426429144399</v>
      </c>
      <c r="K81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12">
        <v>61</v>
      </c>
      <c r="M812">
        <v>1</v>
      </c>
      <c r="N812">
        <v>182</v>
      </c>
      <c r="O812">
        <v>631</v>
      </c>
      <c r="P812">
        <v>697</v>
      </c>
      <c r="Q812">
        <f>tinder[[#This Row],[All Swipes]]/MAX(tinder[All Swipes])</f>
        <v>4.7065559555899042E-2</v>
      </c>
      <c r="R812">
        <f>tinder[[#This Row],[Swipe Right (LIKE)]]+tinder[[#This Row],[Swipe Left (PASS)]]</f>
        <v>39950</v>
      </c>
      <c r="S812">
        <v>15843</v>
      </c>
      <c r="T812">
        <v>24107</v>
      </c>
      <c r="U812" t="s">
        <v>61</v>
      </c>
      <c r="V812" s="1">
        <v>41795</v>
      </c>
      <c r="W812" t="s">
        <v>7</v>
      </c>
      <c r="X812" t="s">
        <v>1295</v>
      </c>
      <c r="Y812" t="s">
        <v>343</v>
      </c>
      <c r="Z812">
        <v>20</v>
      </c>
      <c r="AA81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13" spans="1:27" x14ac:dyDescent="0.3">
      <c r="A813" t="s">
        <v>521</v>
      </c>
      <c r="B813">
        <v>488</v>
      </c>
      <c r="C813">
        <v>84</v>
      </c>
      <c r="D813">
        <f>IFERROR(tinder[[#This Row],[Tinder Opened]]/tinder[[#This Row],[Days on Tinder]],0)</f>
        <v>5.8095238095238093</v>
      </c>
      <c r="E813">
        <f>tinder[[#This Row],[Engagement]]/MAX(tinder[Engagement])</f>
        <v>2.9193586982531706E-2</v>
      </c>
      <c r="F81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13">
        <v>29</v>
      </c>
      <c r="H813">
        <f>IFERROR(tinder[[#This Row],[Conversations]]/tinder[[#This Row],[Tinder Opened]],0)</f>
        <v>5.9426229508196718E-2</v>
      </c>
      <c r="I813">
        <f>tinder[[#This Row],[Conversations]]/MAX(tinder[Conversations])</f>
        <v>2.2939408321468123E-3</v>
      </c>
      <c r="J813">
        <f>(tinder[[#This Row],[Norm Engagement]]*2)+(tinder[[#This Row],[Norm Swipes]]*1)+(tinder[[#This Row],[Norm Conversations]]*2)</f>
        <v>6.5292401202484779E-2</v>
      </c>
      <c r="K81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13">
        <v>14</v>
      </c>
      <c r="M813">
        <v>0</v>
      </c>
      <c r="N813">
        <v>42</v>
      </c>
      <c r="O813">
        <v>214</v>
      </c>
      <c r="P813">
        <v>256</v>
      </c>
      <c r="Q813">
        <f>tinder[[#This Row],[All Swipes]]/MAX(tinder[All Swipes])</f>
        <v>2.3173455731277451E-3</v>
      </c>
      <c r="R813">
        <f>tinder[[#This Row],[Swipe Right (LIKE)]]+tinder[[#This Row],[Swipe Left (PASS)]]</f>
        <v>1967</v>
      </c>
      <c r="S813">
        <v>487</v>
      </c>
      <c r="T813">
        <v>1480</v>
      </c>
      <c r="U813" t="s">
        <v>8</v>
      </c>
      <c r="V813" s="1">
        <v>43694</v>
      </c>
      <c r="W813" t="s">
        <v>12</v>
      </c>
      <c r="X813" t="s">
        <v>1295</v>
      </c>
      <c r="Y813" t="s">
        <v>8</v>
      </c>
      <c r="Z813">
        <v>18</v>
      </c>
      <c r="AA81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14" spans="1:27" x14ac:dyDescent="0.3">
      <c r="A814" t="s">
        <v>1007</v>
      </c>
      <c r="B814">
        <v>4883</v>
      </c>
      <c r="C814">
        <v>846</v>
      </c>
      <c r="D814">
        <f>IFERROR(tinder[[#This Row],[Tinder Opened]]/tinder[[#This Row],[Days on Tinder]],0)</f>
        <v>5.7718676122931445</v>
      </c>
      <c r="E814">
        <f>tinder[[#This Row],[Engagement]]/MAX(tinder[Engagement])</f>
        <v>2.9004359860769571E-2</v>
      </c>
      <c r="F81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14">
        <v>195</v>
      </c>
      <c r="H814">
        <f>IFERROR(tinder[[#This Row],[Conversations]]/tinder[[#This Row],[Tinder Opened]],0)</f>
        <v>3.9934466516485766E-2</v>
      </c>
      <c r="I814">
        <f>tinder[[#This Row],[Conversations]]/MAX(tinder[Conversations])</f>
        <v>1.5424774560987186E-2</v>
      </c>
      <c r="J814">
        <f>(tinder[[#This Row],[Norm Engagement]]*2)+(tinder[[#This Row],[Norm Swipes]]*1)+(tinder[[#This Row],[Norm Conversations]]*2)</f>
        <v>0.12771239034923443</v>
      </c>
      <c r="K81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14">
        <v>71</v>
      </c>
      <c r="M814">
        <v>12</v>
      </c>
      <c r="N814">
        <v>716</v>
      </c>
      <c r="O814">
        <v>1453</v>
      </c>
      <c r="P814">
        <v>1230</v>
      </c>
      <c r="Q814">
        <f>tinder[[#This Row],[All Swipes]]/MAX(tinder[All Swipes])</f>
        <v>3.8854121505720908E-2</v>
      </c>
      <c r="R814">
        <f>tinder[[#This Row],[Swipe Right (LIKE)]]+tinder[[#This Row],[Swipe Left (PASS)]]</f>
        <v>32980</v>
      </c>
      <c r="S814">
        <v>13280</v>
      </c>
      <c r="T814">
        <v>19700</v>
      </c>
      <c r="U814" t="s">
        <v>8</v>
      </c>
      <c r="V814" s="1">
        <v>42910</v>
      </c>
      <c r="W814" t="s">
        <v>7</v>
      </c>
      <c r="X814" t="s">
        <v>1295</v>
      </c>
      <c r="Y814" t="s">
        <v>8</v>
      </c>
      <c r="Z814">
        <v>20</v>
      </c>
      <c r="AA81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15" spans="1:27" x14ac:dyDescent="0.3">
      <c r="A815" t="s">
        <v>1091</v>
      </c>
      <c r="B815">
        <v>853</v>
      </c>
      <c r="C815">
        <v>148</v>
      </c>
      <c r="D815">
        <f>IFERROR(tinder[[#This Row],[Tinder Opened]]/tinder[[#This Row],[Days on Tinder]],0)</f>
        <v>5.7635135135135132</v>
      </c>
      <c r="E815">
        <f>tinder[[#This Row],[Engagement]]/MAX(tinder[Engagement])</f>
        <v>2.8962379464892028E-2</v>
      </c>
      <c r="F81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15">
        <v>22</v>
      </c>
      <c r="H815">
        <f>IFERROR(tinder[[#This Row],[Conversations]]/tinder[[#This Row],[Tinder Opened]],0)</f>
        <v>2.5791324736225089E-2</v>
      </c>
      <c r="I815">
        <f>tinder[[#This Row],[Conversations]]/MAX(tinder[Conversations])</f>
        <v>1.7402309761113748E-3</v>
      </c>
      <c r="J815">
        <f>(tinder[[#This Row],[Norm Engagement]]*2)+(tinder[[#This Row],[Norm Swipes]]*1)+(tinder[[#This Row],[Norm Conversations]]*2)</f>
        <v>6.6289671693490093E-2</v>
      </c>
      <c r="K81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15">
        <v>7</v>
      </c>
      <c r="M815">
        <v>0</v>
      </c>
      <c r="N815">
        <v>27</v>
      </c>
      <c r="O815">
        <v>74</v>
      </c>
      <c r="P815">
        <v>61</v>
      </c>
      <c r="Q815">
        <f>tinder[[#This Row],[All Swipes]]/MAX(tinder[All Swipes])</f>
        <v>4.8844508114832897E-3</v>
      </c>
      <c r="R815">
        <f>tinder[[#This Row],[Swipe Right (LIKE)]]+tinder[[#This Row],[Swipe Left (PASS)]]</f>
        <v>4146</v>
      </c>
      <c r="S815">
        <v>1149</v>
      </c>
      <c r="T815">
        <v>2997</v>
      </c>
      <c r="U815" t="s">
        <v>8</v>
      </c>
      <c r="V815" s="1">
        <v>44031</v>
      </c>
      <c r="W815" t="s">
        <v>12</v>
      </c>
      <c r="X815" t="s">
        <v>1295</v>
      </c>
      <c r="Y815" t="s">
        <v>8</v>
      </c>
      <c r="Z815">
        <v>21</v>
      </c>
      <c r="AA81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16" spans="1:27" x14ac:dyDescent="0.3">
      <c r="A816" t="s">
        <v>564</v>
      </c>
      <c r="B816">
        <v>2699</v>
      </c>
      <c r="C816">
        <v>469</v>
      </c>
      <c r="D816">
        <f>IFERROR(tinder[[#This Row],[Tinder Opened]]/tinder[[#This Row],[Days on Tinder]],0)</f>
        <v>5.7547974413646052</v>
      </c>
      <c r="E816">
        <f>tinder[[#This Row],[Engagement]]/MAX(tinder[Engagement])</f>
        <v>2.8918580107359825E-2</v>
      </c>
      <c r="F81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16">
        <v>76</v>
      </c>
      <c r="H816">
        <f>IFERROR(tinder[[#This Row],[Conversations]]/tinder[[#This Row],[Tinder Opened]],0)</f>
        <v>2.8158577250833643E-2</v>
      </c>
      <c r="I816">
        <f>tinder[[#This Row],[Conversations]]/MAX(tinder[Conversations])</f>
        <v>6.0117070083847493E-3</v>
      </c>
      <c r="J816">
        <f>(tinder[[#This Row],[Norm Engagement]]*2)+(tinder[[#This Row],[Norm Swipes]]*1)+(tinder[[#This Row],[Norm Conversations]]*2)</f>
        <v>0.10478922779127124</v>
      </c>
      <c r="K81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16">
        <v>32</v>
      </c>
      <c r="M816">
        <v>0</v>
      </c>
      <c r="N816">
        <v>129</v>
      </c>
      <c r="O816">
        <v>515</v>
      </c>
      <c r="P816">
        <v>527</v>
      </c>
      <c r="Q816">
        <f>tinder[[#This Row],[All Swipes]]/MAX(tinder[All Swipes])</f>
        <v>3.49286535597821E-2</v>
      </c>
      <c r="R816">
        <f>tinder[[#This Row],[Swipe Right (LIKE)]]+tinder[[#This Row],[Swipe Left (PASS)]]</f>
        <v>29648</v>
      </c>
      <c r="S816">
        <v>26613</v>
      </c>
      <c r="T816">
        <v>3035</v>
      </c>
      <c r="U816" t="s">
        <v>238</v>
      </c>
      <c r="V816" s="1">
        <v>42475</v>
      </c>
      <c r="W816" t="s">
        <v>12</v>
      </c>
      <c r="X816" t="s">
        <v>1295</v>
      </c>
      <c r="Y816" t="s">
        <v>19</v>
      </c>
      <c r="Z816">
        <v>18</v>
      </c>
      <c r="AA81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17" spans="1:27" x14ac:dyDescent="0.3">
      <c r="A817" t="s">
        <v>1138</v>
      </c>
      <c r="B817">
        <v>2940</v>
      </c>
      <c r="C817">
        <v>513</v>
      </c>
      <c r="D817">
        <f>IFERROR(tinder[[#This Row],[Tinder Opened]]/tinder[[#This Row],[Days on Tinder]],0)</f>
        <v>5.730994152046784</v>
      </c>
      <c r="E817">
        <f>tinder[[#This Row],[Engagement]]/MAX(tinder[Engagement])</f>
        <v>2.8798965588174793E-2</v>
      </c>
      <c r="F81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17">
        <v>102</v>
      </c>
      <c r="H817">
        <f>IFERROR(tinder[[#This Row],[Conversations]]/tinder[[#This Row],[Tinder Opened]],0)</f>
        <v>3.4693877551020408E-2</v>
      </c>
      <c r="I817">
        <f>tinder[[#This Row],[Conversations]]/MAX(tinder[Conversations])</f>
        <v>8.0683436165163748E-3</v>
      </c>
      <c r="J817">
        <f>(tinder[[#This Row],[Norm Engagement]]*2)+(tinder[[#This Row],[Norm Swipes]]*1)+(tinder[[#This Row],[Norm Conversations]]*2)</f>
        <v>9.9261941174268953E-2</v>
      </c>
      <c r="K81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17">
        <v>46</v>
      </c>
      <c r="M817">
        <v>10</v>
      </c>
      <c r="N817">
        <v>206</v>
      </c>
      <c r="O817">
        <v>396</v>
      </c>
      <c r="P817">
        <v>364</v>
      </c>
      <c r="Q817">
        <f>tinder[[#This Row],[All Swipes]]/MAX(tinder[All Swipes])</f>
        <v>2.5527322764886617E-2</v>
      </c>
      <c r="R817">
        <f>tinder[[#This Row],[Swipe Right (LIKE)]]+tinder[[#This Row],[Swipe Left (PASS)]]</f>
        <v>21668</v>
      </c>
      <c r="S817">
        <v>11552</v>
      </c>
      <c r="T817">
        <v>10116</v>
      </c>
      <c r="U817" t="s">
        <v>293</v>
      </c>
      <c r="V817" s="1">
        <v>43391</v>
      </c>
      <c r="W817" t="s">
        <v>12</v>
      </c>
      <c r="X817" t="s">
        <v>1295</v>
      </c>
      <c r="Y817" t="s">
        <v>19</v>
      </c>
      <c r="Z817">
        <v>20</v>
      </c>
      <c r="AA81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18" spans="1:27" x14ac:dyDescent="0.3">
      <c r="A818" t="s">
        <v>968</v>
      </c>
      <c r="B818">
        <v>1925</v>
      </c>
      <c r="C818">
        <v>336</v>
      </c>
      <c r="D818">
        <f>IFERROR(tinder[[#This Row],[Tinder Opened]]/tinder[[#This Row],[Days on Tinder]],0)</f>
        <v>5.729166666666667</v>
      </c>
      <c r="E818">
        <f>tinder[[#This Row],[Engagement]]/MAX(tinder[Engagement])</f>
        <v>2.8789782244556115E-2</v>
      </c>
      <c r="F81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18">
        <v>26</v>
      </c>
      <c r="H818">
        <f>IFERROR(tinder[[#This Row],[Conversations]]/tinder[[#This Row],[Tinder Opened]],0)</f>
        <v>1.3506493506493506E-2</v>
      </c>
      <c r="I818">
        <f>tinder[[#This Row],[Conversations]]/MAX(tinder[Conversations])</f>
        <v>2.0566366081316246E-3</v>
      </c>
      <c r="J818">
        <f>(tinder[[#This Row],[Norm Engagement]]*2)+(tinder[[#This Row],[Norm Swipes]]*1)+(tinder[[#This Row],[Norm Conversations]]*2)</f>
        <v>7.4139587059770307E-2</v>
      </c>
      <c r="K81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18">
        <v>8</v>
      </c>
      <c r="M818">
        <v>0</v>
      </c>
      <c r="N818">
        <v>22</v>
      </c>
      <c r="O818">
        <v>421</v>
      </c>
      <c r="P818">
        <v>383</v>
      </c>
      <c r="Q818">
        <f>tinder[[#This Row],[All Swipes]]/MAX(tinder[All Swipes])</f>
        <v>1.2446749354394828E-2</v>
      </c>
      <c r="R818">
        <f>tinder[[#This Row],[Swipe Right (LIKE)]]+tinder[[#This Row],[Swipe Left (PASS)]]</f>
        <v>10565</v>
      </c>
      <c r="S818">
        <v>9505</v>
      </c>
      <c r="T818">
        <v>1060</v>
      </c>
      <c r="U818" t="s">
        <v>8</v>
      </c>
      <c r="V818" s="1">
        <v>43838</v>
      </c>
      <c r="W818" t="s">
        <v>12</v>
      </c>
      <c r="X818" t="s">
        <v>1295</v>
      </c>
      <c r="Y818" t="s">
        <v>8</v>
      </c>
      <c r="Z818">
        <v>24</v>
      </c>
      <c r="AA81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19" spans="1:27" x14ac:dyDescent="0.3">
      <c r="A819" t="s">
        <v>1028</v>
      </c>
      <c r="B819">
        <v>5401</v>
      </c>
      <c r="C819">
        <v>944</v>
      </c>
      <c r="D819">
        <f>IFERROR(tinder[[#This Row],[Tinder Opened]]/tinder[[#This Row],[Days on Tinder]],0)</f>
        <v>5.7213983050847457</v>
      </c>
      <c r="E819">
        <f>tinder[[#This Row],[Engagement]]/MAX(tinder[Engagement])</f>
        <v>2.8750745251682138E-2</v>
      </c>
      <c r="F81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19">
        <v>226</v>
      </c>
      <c r="H819">
        <f>IFERROR(tinder[[#This Row],[Conversations]]/tinder[[#This Row],[Tinder Opened]],0)</f>
        <v>4.1844102943899279E-2</v>
      </c>
      <c r="I819">
        <f>tinder[[#This Row],[Conversations]]/MAX(tinder[Conversations])</f>
        <v>1.7876918209144124E-2</v>
      </c>
      <c r="J819">
        <f>(tinder[[#This Row],[Norm Engagement]]*2)+(tinder[[#This Row],[Norm Swipes]]*1)+(tinder[[#This Row],[Norm Conversations]]*2)</f>
        <v>0.17626507226104293</v>
      </c>
      <c r="K81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19">
        <v>115</v>
      </c>
      <c r="M819">
        <v>2</v>
      </c>
      <c r="N819">
        <v>457</v>
      </c>
      <c r="O819">
        <v>2325</v>
      </c>
      <c r="P819">
        <v>2567</v>
      </c>
      <c r="Q819">
        <f>tinder[[#This Row],[All Swipes]]/MAX(tinder[All Swipes])</f>
        <v>8.3009745339390401E-2</v>
      </c>
      <c r="R819">
        <f>tinder[[#This Row],[Swipe Right (LIKE)]]+tinder[[#This Row],[Swipe Left (PASS)]]</f>
        <v>70460</v>
      </c>
      <c r="S819">
        <v>54673</v>
      </c>
      <c r="T819">
        <v>15787</v>
      </c>
      <c r="U819" t="s">
        <v>8</v>
      </c>
      <c r="V819" s="1">
        <v>42447</v>
      </c>
      <c r="W819" t="s">
        <v>7</v>
      </c>
      <c r="X819" t="s">
        <v>1295</v>
      </c>
      <c r="Y819" t="s">
        <v>1029</v>
      </c>
      <c r="Z819">
        <v>20</v>
      </c>
      <c r="AA81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20" spans="1:27" x14ac:dyDescent="0.3">
      <c r="A820" t="s">
        <v>289</v>
      </c>
      <c r="B820">
        <v>3243</v>
      </c>
      <c r="C820">
        <v>567</v>
      </c>
      <c r="D820">
        <f>IFERROR(tinder[[#This Row],[Tinder Opened]]/tinder[[#This Row],[Days on Tinder]],0)</f>
        <v>5.71957671957672</v>
      </c>
      <c r="E820">
        <f>tinder[[#This Row],[Engagement]]/MAX(tinder[Engagement])</f>
        <v>2.8741591555661909E-2</v>
      </c>
      <c r="F82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20">
        <v>457</v>
      </c>
      <c r="H820">
        <f>IFERROR(tinder[[#This Row],[Conversations]]/tinder[[#This Row],[Tinder Opened]],0)</f>
        <v>0.14091890225100215</v>
      </c>
      <c r="I820">
        <f>tinder[[#This Row],[Conversations]]/MAX(tinder[Conversations])</f>
        <v>3.6149343458313561E-2</v>
      </c>
      <c r="J820">
        <f>(tinder[[#This Row],[Norm Engagement]]*2)+(tinder[[#This Row],[Norm Swipes]]*1)+(tinder[[#This Row],[Norm Conversations]]*2)</f>
        <v>0.14724501869621354</v>
      </c>
      <c r="K82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20">
        <v>189</v>
      </c>
      <c r="M820">
        <v>64</v>
      </c>
      <c r="N820">
        <v>1025</v>
      </c>
      <c r="O820">
        <v>2300</v>
      </c>
      <c r="P820">
        <v>2168</v>
      </c>
      <c r="Q820">
        <f>tinder[[#This Row],[All Swipes]]/MAX(tinder[All Swipes])</f>
        <v>1.7463148668262617E-2</v>
      </c>
      <c r="R820">
        <f>tinder[[#This Row],[Swipe Right (LIKE)]]+tinder[[#This Row],[Swipe Left (PASS)]]</f>
        <v>14823</v>
      </c>
      <c r="S820">
        <v>2231</v>
      </c>
      <c r="T820">
        <v>12592</v>
      </c>
      <c r="U820" t="s">
        <v>8</v>
      </c>
      <c r="V820" s="1">
        <v>42269</v>
      </c>
      <c r="W820" t="s">
        <v>12</v>
      </c>
      <c r="X820" t="s">
        <v>1296</v>
      </c>
      <c r="Y820" t="s">
        <v>8</v>
      </c>
      <c r="Z820">
        <v>19</v>
      </c>
      <c r="AA82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21" spans="1:27" x14ac:dyDescent="0.3">
      <c r="A821" t="s">
        <v>1211</v>
      </c>
      <c r="B821">
        <v>2166</v>
      </c>
      <c r="C821">
        <v>379</v>
      </c>
      <c r="D821">
        <f>IFERROR(tinder[[#This Row],[Tinder Opened]]/tinder[[#This Row],[Days on Tinder]],0)</f>
        <v>5.7150395778364116</v>
      </c>
      <c r="E821">
        <f>tinder[[#This Row],[Engagement]]/MAX(tinder[Engagement])</f>
        <v>2.8718791848424179E-2</v>
      </c>
      <c r="F82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21">
        <v>48</v>
      </c>
      <c r="H821">
        <f>IFERROR(tinder[[#This Row],[Conversations]]/tinder[[#This Row],[Tinder Opened]],0)</f>
        <v>2.2160664819944598E-2</v>
      </c>
      <c r="I821">
        <f>tinder[[#This Row],[Conversations]]/MAX(tinder[Conversations])</f>
        <v>3.7968675842429997E-3</v>
      </c>
      <c r="J821">
        <f>(tinder[[#This Row],[Norm Engagement]]*2)+(tinder[[#This Row],[Norm Swipes]]*1)+(tinder[[#This Row],[Norm Conversations]]*2)</f>
        <v>9.1550611621361577E-2</v>
      </c>
      <c r="K82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21">
        <v>22</v>
      </c>
      <c r="M821">
        <v>2</v>
      </c>
      <c r="N821">
        <v>129</v>
      </c>
      <c r="O821">
        <v>385</v>
      </c>
      <c r="P821">
        <v>348</v>
      </c>
      <c r="Q821">
        <f>tinder[[#This Row],[All Swipes]]/MAX(tinder[All Swipes])</f>
        <v>2.651929275602722E-2</v>
      </c>
      <c r="R821">
        <f>tinder[[#This Row],[Swipe Right (LIKE)]]+tinder[[#This Row],[Swipe Left (PASS)]]</f>
        <v>22510</v>
      </c>
      <c r="S821">
        <v>16829</v>
      </c>
      <c r="T821">
        <v>5681</v>
      </c>
      <c r="U821" t="s">
        <v>197</v>
      </c>
      <c r="V821" s="1">
        <v>43385</v>
      </c>
      <c r="W821" t="s">
        <v>12</v>
      </c>
      <c r="X821" t="s">
        <v>1295</v>
      </c>
      <c r="Y821" t="s">
        <v>1212</v>
      </c>
      <c r="Z821">
        <v>26</v>
      </c>
      <c r="AA82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22" spans="1:27" x14ac:dyDescent="0.3">
      <c r="A822" t="s">
        <v>222</v>
      </c>
      <c r="B822">
        <v>320</v>
      </c>
      <c r="C822">
        <v>56</v>
      </c>
      <c r="D822">
        <f>IFERROR(tinder[[#This Row],[Tinder Opened]]/tinder[[#This Row],[Days on Tinder]],0)</f>
        <v>5.7142857142857144</v>
      </c>
      <c r="E822">
        <f>tinder[[#This Row],[Engagement]]/MAX(tinder[Engagement])</f>
        <v>2.8715003589375451E-2</v>
      </c>
      <c r="F82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22">
        <v>11</v>
      </c>
      <c r="H822">
        <f>IFERROR(tinder[[#This Row],[Conversations]]/tinder[[#This Row],[Tinder Opened]],0)</f>
        <v>3.4375000000000003E-2</v>
      </c>
      <c r="I822">
        <f>tinder[[#This Row],[Conversations]]/MAX(tinder[Conversations])</f>
        <v>8.7011548805568742E-4</v>
      </c>
      <c r="J822">
        <f>(tinder[[#This Row],[Norm Engagement]]*2)+(tinder[[#This Row],[Norm Swipes]]*1)+(tinder[[#This Row],[Norm Conversations]]*2)</f>
        <v>6.9485783573421778E-2</v>
      </c>
      <c r="K82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22">
        <v>2</v>
      </c>
      <c r="M822">
        <v>0</v>
      </c>
      <c r="N822">
        <v>12</v>
      </c>
      <c r="O822">
        <v>199</v>
      </c>
      <c r="P822">
        <v>265</v>
      </c>
      <c r="Q822">
        <f>tinder[[#This Row],[All Swipes]]/MAX(tinder[All Swipes])</f>
        <v>1.03155454185595E-2</v>
      </c>
      <c r="R822">
        <f>tinder[[#This Row],[Swipe Right (LIKE)]]+tinder[[#This Row],[Swipe Left (PASS)]]</f>
        <v>8756</v>
      </c>
      <c r="S822">
        <v>1204</v>
      </c>
      <c r="T822">
        <v>7552</v>
      </c>
      <c r="U822" t="s">
        <v>223</v>
      </c>
      <c r="V822" s="1">
        <v>43663</v>
      </c>
      <c r="W822" t="s">
        <v>12</v>
      </c>
      <c r="X822" t="s">
        <v>1295</v>
      </c>
      <c r="Y822" t="s">
        <v>8</v>
      </c>
      <c r="Z822">
        <v>45</v>
      </c>
      <c r="AA822" t="str">
        <f>_xlfn.IFS(tinder[[#This Row],[Age]]&lt;=20,"Teen",tinder[[#This Row],[Age]]&lt;=30,"Young Adult",tinder[[#This Row],[Age]]&lt;=40,"Adult",tinder[[#This Row],[Age]]&lt;=50,"Middle-Aged",TRUE,"Senior")</f>
        <v>Middle-Aged</v>
      </c>
    </row>
    <row r="823" spans="1:27" x14ac:dyDescent="0.3">
      <c r="A823" t="s">
        <v>1064</v>
      </c>
      <c r="B823">
        <v>6153</v>
      </c>
      <c r="C823">
        <v>1084</v>
      </c>
      <c r="D823">
        <f>IFERROR(tinder[[#This Row],[Tinder Opened]]/tinder[[#This Row],[Days on Tinder]],0)</f>
        <v>5.67619926199262</v>
      </c>
      <c r="E823">
        <f>tinder[[#This Row],[Engagement]]/MAX(tinder[Engagement])</f>
        <v>2.8523614381872463E-2</v>
      </c>
      <c r="F82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23">
        <v>158</v>
      </c>
      <c r="H823">
        <f>IFERROR(tinder[[#This Row],[Conversations]]/tinder[[#This Row],[Tinder Opened]],0)</f>
        <v>2.5678530797984721E-2</v>
      </c>
      <c r="I823">
        <f>tinder[[#This Row],[Conversations]]/MAX(tinder[Conversations])</f>
        <v>1.2498022464799873E-2</v>
      </c>
      <c r="J823">
        <f>(tinder[[#This Row],[Norm Engagement]]*2)+(tinder[[#This Row],[Norm Swipes]]*1)+(tinder[[#This Row],[Norm Conversations]]*2)</f>
        <v>0.14115973709648505</v>
      </c>
      <c r="K82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23">
        <v>45</v>
      </c>
      <c r="M823">
        <v>25</v>
      </c>
      <c r="N823">
        <v>832</v>
      </c>
      <c r="O823">
        <v>765</v>
      </c>
      <c r="P823">
        <v>988</v>
      </c>
      <c r="Q823">
        <f>tinder[[#This Row],[All Swipes]]/MAX(tinder[All Swipes])</f>
        <v>5.9116463403140376E-2</v>
      </c>
      <c r="R823">
        <f>tinder[[#This Row],[Swipe Right (LIKE)]]+tinder[[#This Row],[Swipe Left (PASS)]]</f>
        <v>50179</v>
      </c>
      <c r="S823">
        <v>12018</v>
      </c>
      <c r="T823">
        <v>38161</v>
      </c>
      <c r="U823" t="s">
        <v>293</v>
      </c>
      <c r="V823" s="1">
        <v>42942</v>
      </c>
      <c r="W823" t="s">
        <v>12</v>
      </c>
      <c r="X823" t="s">
        <v>1295</v>
      </c>
      <c r="Y823" t="s">
        <v>77</v>
      </c>
      <c r="Z823">
        <v>17</v>
      </c>
      <c r="AA82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24" spans="1:27" x14ac:dyDescent="0.3">
      <c r="A824" t="s">
        <v>632</v>
      </c>
      <c r="B824">
        <v>2485</v>
      </c>
      <c r="C824">
        <v>438</v>
      </c>
      <c r="D824">
        <f>IFERROR(tinder[[#This Row],[Tinder Opened]]/tinder[[#This Row],[Days on Tinder]],0)</f>
        <v>5.6735159817351599</v>
      </c>
      <c r="E824">
        <f>tinder[[#This Row],[Engagement]]/MAX(tinder[Engagement])</f>
        <v>2.8510130561483216E-2</v>
      </c>
      <c r="F82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24">
        <v>23</v>
      </c>
      <c r="H824">
        <f>IFERROR(tinder[[#This Row],[Conversations]]/tinder[[#This Row],[Tinder Opened]],0)</f>
        <v>9.2555331991951706E-3</v>
      </c>
      <c r="I824">
        <f>tinder[[#This Row],[Conversations]]/MAX(tinder[Conversations])</f>
        <v>1.8193323841164373E-3</v>
      </c>
      <c r="J824">
        <f>(tinder[[#This Row],[Norm Engagement]]*2)+(tinder[[#This Row],[Norm Swipes]]*1)+(tinder[[#This Row],[Norm Conversations]]*2)</f>
        <v>0.10203891872828061</v>
      </c>
      <c r="K82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24">
        <v>7</v>
      </c>
      <c r="M824">
        <v>0</v>
      </c>
      <c r="N824">
        <v>36</v>
      </c>
      <c r="O824">
        <v>169</v>
      </c>
      <c r="P824">
        <v>161</v>
      </c>
      <c r="Q824">
        <f>tinder[[#This Row],[All Swipes]]/MAX(tinder[All Swipes])</f>
        <v>4.1379992837081297E-2</v>
      </c>
      <c r="R824">
        <f>tinder[[#This Row],[Swipe Right (LIKE)]]+tinder[[#This Row],[Swipe Left (PASS)]]</f>
        <v>35124</v>
      </c>
      <c r="S824">
        <v>13030</v>
      </c>
      <c r="T824">
        <v>22094</v>
      </c>
      <c r="U824" t="s">
        <v>8</v>
      </c>
      <c r="V824" s="1">
        <v>42036</v>
      </c>
      <c r="W824" t="s">
        <v>7</v>
      </c>
      <c r="X824" t="s">
        <v>1295</v>
      </c>
      <c r="Y824" t="s">
        <v>8</v>
      </c>
      <c r="Z824">
        <v>27</v>
      </c>
      <c r="AA82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25" spans="1:27" x14ac:dyDescent="0.3">
      <c r="A825" t="s">
        <v>1054</v>
      </c>
      <c r="B825">
        <v>385</v>
      </c>
      <c r="C825">
        <v>68</v>
      </c>
      <c r="D825">
        <f>IFERROR(tinder[[#This Row],[Tinder Opened]]/tinder[[#This Row],[Days on Tinder]],0)</f>
        <v>5.6617647058823533</v>
      </c>
      <c r="E825">
        <f>tinder[[#This Row],[Engagement]]/MAX(tinder[Engagement])</f>
        <v>2.8451078924031925E-2</v>
      </c>
      <c r="F82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25">
        <v>9</v>
      </c>
      <c r="H825">
        <f>IFERROR(tinder[[#This Row],[Conversations]]/tinder[[#This Row],[Tinder Opened]],0)</f>
        <v>2.3376623376623377E-2</v>
      </c>
      <c r="I825">
        <f>tinder[[#This Row],[Conversations]]/MAX(tinder[Conversations])</f>
        <v>7.1191267204556241E-4</v>
      </c>
      <c r="J825">
        <f>(tinder[[#This Row],[Norm Engagement]]*2)+(tinder[[#This Row],[Norm Swipes]]*1)+(tinder[[#This Row],[Norm Conversations]]*2)</f>
        <v>6.0836539072345736E-2</v>
      </c>
      <c r="K82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25">
        <v>2</v>
      </c>
      <c r="M825">
        <v>0</v>
      </c>
      <c r="N825">
        <v>11</v>
      </c>
      <c r="O825">
        <v>179</v>
      </c>
      <c r="P825">
        <v>151</v>
      </c>
      <c r="Q825">
        <f>tinder[[#This Row],[All Swipes]]/MAX(tinder[All Swipes])</f>
        <v>2.5105558801907599E-3</v>
      </c>
      <c r="R825">
        <f>tinder[[#This Row],[Swipe Right (LIKE)]]+tinder[[#This Row],[Swipe Left (PASS)]]</f>
        <v>2131</v>
      </c>
      <c r="S825">
        <v>1155</v>
      </c>
      <c r="T825">
        <v>976</v>
      </c>
      <c r="U825" t="s">
        <v>14</v>
      </c>
      <c r="V825" s="1">
        <v>43554</v>
      </c>
      <c r="W825" t="s">
        <v>12</v>
      </c>
      <c r="X825" t="s">
        <v>1295</v>
      </c>
      <c r="Y825" t="s">
        <v>1055</v>
      </c>
      <c r="Z825">
        <v>23</v>
      </c>
      <c r="AA82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26" spans="1:27" x14ac:dyDescent="0.3">
      <c r="A826" t="s">
        <v>1152</v>
      </c>
      <c r="B826">
        <v>593</v>
      </c>
      <c r="C826">
        <v>105</v>
      </c>
      <c r="D826">
        <f>IFERROR(tinder[[#This Row],[Tinder Opened]]/tinder[[#This Row],[Days on Tinder]],0)</f>
        <v>5.647619047619048</v>
      </c>
      <c r="E826">
        <f>tinder[[#This Row],[Engagement]]/MAX(tinder[Engagement])</f>
        <v>2.8379995214166072E-2</v>
      </c>
      <c r="F82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26">
        <v>21</v>
      </c>
      <c r="H826">
        <f>IFERROR(tinder[[#This Row],[Conversations]]/tinder[[#This Row],[Tinder Opened]],0)</f>
        <v>3.5413153456998317E-2</v>
      </c>
      <c r="I826">
        <f>tinder[[#This Row],[Conversations]]/MAX(tinder[Conversations])</f>
        <v>1.6611295681063123E-3</v>
      </c>
      <c r="J826">
        <f>(tinder[[#This Row],[Norm Engagement]]*2)+(tinder[[#This Row],[Norm Swipes]]*1)+(tinder[[#This Row],[Norm Conversations]]*2)</f>
        <v>7.7646715832852625E-2</v>
      </c>
      <c r="K82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26">
        <v>4</v>
      </c>
      <c r="M826">
        <v>3</v>
      </c>
      <c r="N826">
        <v>18</v>
      </c>
      <c r="O826">
        <v>118</v>
      </c>
      <c r="P826">
        <v>69</v>
      </c>
      <c r="Q826">
        <f>tinder[[#This Row],[All Swipes]]/MAX(tinder[All Swipes])</f>
        <v>1.7564466268307856E-2</v>
      </c>
      <c r="R826">
        <f>tinder[[#This Row],[Swipe Right (LIKE)]]+tinder[[#This Row],[Swipe Left (PASS)]]</f>
        <v>14909</v>
      </c>
      <c r="S826">
        <v>7247</v>
      </c>
      <c r="T826">
        <v>7662</v>
      </c>
      <c r="U826" t="s">
        <v>10</v>
      </c>
      <c r="V826" s="1">
        <v>44128</v>
      </c>
      <c r="W826" t="s">
        <v>12</v>
      </c>
      <c r="X826" t="s">
        <v>1295</v>
      </c>
      <c r="Y826" t="s">
        <v>8</v>
      </c>
      <c r="Z826">
        <v>21</v>
      </c>
      <c r="AA82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27" spans="1:27" x14ac:dyDescent="0.3">
      <c r="A827" t="s">
        <v>962</v>
      </c>
      <c r="B827">
        <v>1985</v>
      </c>
      <c r="C827">
        <v>352</v>
      </c>
      <c r="D827">
        <f>IFERROR(tinder[[#This Row],[Tinder Opened]]/tinder[[#This Row],[Days on Tinder]],0)</f>
        <v>5.6392045454545459</v>
      </c>
      <c r="E827">
        <f>tinder[[#This Row],[Engagement]]/MAX(tinder[Engagement])</f>
        <v>2.8337711283691187E-2</v>
      </c>
      <c r="F82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27">
        <v>202</v>
      </c>
      <c r="H827">
        <f>IFERROR(tinder[[#This Row],[Conversations]]/tinder[[#This Row],[Tinder Opened]],0)</f>
        <v>0.1017632241813602</v>
      </c>
      <c r="I827">
        <f>tinder[[#This Row],[Conversations]]/MAX(tinder[Conversations])</f>
        <v>1.5978484417022622E-2</v>
      </c>
      <c r="J827">
        <f>(tinder[[#This Row],[Norm Engagement]]*2)+(tinder[[#This Row],[Norm Swipes]]*1)+(tinder[[#This Row],[Norm Conversations]]*2)</f>
        <v>0.11872725294974903</v>
      </c>
      <c r="K82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27">
        <v>79</v>
      </c>
      <c r="M827">
        <v>24</v>
      </c>
      <c r="N827">
        <v>460</v>
      </c>
      <c r="O827">
        <v>541</v>
      </c>
      <c r="P827">
        <v>559</v>
      </c>
      <c r="Q827">
        <f>tinder[[#This Row],[All Swipes]]/MAX(tinder[All Swipes])</f>
        <v>3.0094861548321427E-2</v>
      </c>
      <c r="R827">
        <f>tinder[[#This Row],[Swipe Right (LIKE)]]+tinder[[#This Row],[Swipe Left (PASS)]]</f>
        <v>25545</v>
      </c>
      <c r="S827">
        <v>11326</v>
      </c>
      <c r="T827">
        <v>14219</v>
      </c>
      <c r="U827" t="s">
        <v>8</v>
      </c>
      <c r="V827" s="1">
        <v>43454</v>
      </c>
      <c r="W827" t="s">
        <v>12</v>
      </c>
      <c r="X827" t="s">
        <v>1295</v>
      </c>
      <c r="Y827" t="s">
        <v>8</v>
      </c>
      <c r="Z827">
        <v>29</v>
      </c>
      <c r="AA82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28" spans="1:27" x14ac:dyDescent="0.3">
      <c r="A828" t="s">
        <v>919</v>
      </c>
      <c r="B828">
        <v>2006</v>
      </c>
      <c r="C828">
        <v>356</v>
      </c>
      <c r="D828">
        <f>IFERROR(tinder[[#This Row],[Tinder Opened]]/tinder[[#This Row],[Days on Tinder]],0)</f>
        <v>5.6348314606741576</v>
      </c>
      <c r="E828">
        <f>tinder[[#This Row],[Engagement]]/MAX(tinder[Engagement])</f>
        <v>2.8315735983287224E-2</v>
      </c>
      <c r="F82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28">
        <v>86</v>
      </c>
      <c r="H828">
        <f>IFERROR(tinder[[#This Row],[Conversations]]/tinder[[#This Row],[Tinder Opened]],0)</f>
        <v>4.2871385842472583E-2</v>
      </c>
      <c r="I828">
        <f>tinder[[#This Row],[Conversations]]/MAX(tinder[Conversations])</f>
        <v>6.8027210884353739E-3</v>
      </c>
      <c r="J828">
        <f>(tinder[[#This Row],[Norm Engagement]]*2)+(tinder[[#This Row],[Norm Swipes]]*1)+(tinder[[#This Row],[Norm Conversations]]*2)</f>
        <v>9.565349441525911E-2</v>
      </c>
      <c r="K82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28">
        <v>42</v>
      </c>
      <c r="M828">
        <v>1</v>
      </c>
      <c r="N828">
        <v>114</v>
      </c>
      <c r="O828">
        <v>620</v>
      </c>
      <c r="P828">
        <v>818</v>
      </c>
      <c r="Q828">
        <f>tinder[[#This Row],[All Swipes]]/MAX(tinder[All Swipes])</f>
        <v>2.5416580271813916E-2</v>
      </c>
      <c r="R828">
        <f>tinder[[#This Row],[Swipe Right (LIKE)]]+tinder[[#This Row],[Swipe Left (PASS)]]</f>
        <v>21574</v>
      </c>
      <c r="S828">
        <v>21223</v>
      </c>
      <c r="T828">
        <v>351</v>
      </c>
      <c r="U828" t="s">
        <v>45</v>
      </c>
      <c r="V828" s="1">
        <v>43350</v>
      </c>
      <c r="W828" t="s">
        <v>12</v>
      </c>
      <c r="X828" t="s">
        <v>1295</v>
      </c>
      <c r="Y828" t="s">
        <v>8</v>
      </c>
      <c r="Z828">
        <v>23</v>
      </c>
      <c r="AA82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29" spans="1:27" x14ac:dyDescent="0.3">
      <c r="A829" t="s">
        <v>404</v>
      </c>
      <c r="B829">
        <v>1737</v>
      </c>
      <c r="C829">
        <v>309</v>
      </c>
      <c r="D829">
        <f>IFERROR(tinder[[#This Row],[Tinder Opened]]/tinder[[#This Row],[Days on Tinder]],0)</f>
        <v>5.6213592233009706</v>
      </c>
      <c r="E829">
        <f>tinder[[#This Row],[Engagement]]/MAX(tinder[Engagement])</f>
        <v>2.8248036297994827E-2</v>
      </c>
      <c r="F82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29">
        <v>61</v>
      </c>
      <c r="H829">
        <f>IFERROR(tinder[[#This Row],[Conversations]]/tinder[[#This Row],[Tinder Opened]],0)</f>
        <v>3.5118019573978122E-2</v>
      </c>
      <c r="I829">
        <f>tinder[[#This Row],[Conversations]]/MAX(tinder[Conversations])</f>
        <v>4.825185888308812E-3</v>
      </c>
      <c r="J829">
        <f>(tinder[[#This Row],[Norm Engagement]]*2)+(tinder[[#This Row],[Norm Swipes]]*1)+(tinder[[#This Row],[Norm Conversations]]*2)</f>
        <v>8.3743897766511255E-2</v>
      </c>
      <c r="K82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29">
        <v>12</v>
      </c>
      <c r="M829">
        <v>21</v>
      </c>
      <c r="N829">
        <v>375</v>
      </c>
      <c r="O829">
        <v>512</v>
      </c>
      <c r="P829">
        <v>621</v>
      </c>
      <c r="Q829">
        <f>tinder[[#This Row],[All Swipes]]/MAX(tinder[All Swipes])</f>
        <v>1.7597453393903978E-2</v>
      </c>
      <c r="R829">
        <f>tinder[[#This Row],[Swipe Right (LIKE)]]+tinder[[#This Row],[Swipe Left (PASS)]]</f>
        <v>14937</v>
      </c>
      <c r="S829">
        <v>7785</v>
      </c>
      <c r="T829">
        <v>7152</v>
      </c>
      <c r="U829" t="s">
        <v>8</v>
      </c>
      <c r="V829" s="1">
        <v>43608</v>
      </c>
      <c r="W829" t="s">
        <v>12</v>
      </c>
      <c r="X829" t="s">
        <v>1295</v>
      </c>
      <c r="Y829" t="s">
        <v>405</v>
      </c>
      <c r="Z829">
        <v>23</v>
      </c>
      <c r="AA82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30" spans="1:27" x14ac:dyDescent="0.3">
      <c r="A830" t="s">
        <v>1194</v>
      </c>
      <c r="B830">
        <v>6152</v>
      </c>
      <c r="C830">
        <v>1101</v>
      </c>
      <c r="D830">
        <f>IFERROR(tinder[[#This Row],[Tinder Opened]]/tinder[[#This Row],[Days on Tinder]],0)</f>
        <v>5.5876475930971843</v>
      </c>
      <c r="E830">
        <f>tinder[[#This Row],[Engagement]]/MAX(tinder[Engagement])</f>
        <v>2.807863112109138E-2</v>
      </c>
      <c r="F83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30">
        <v>94</v>
      </c>
      <c r="H830">
        <f>IFERROR(tinder[[#This Row],[Conversations]]/tinder[[#This Row],[Tinder Opened]],0)</f>
        <v>1.5279583875162549E-2</v>
      </c>
      <c r="I830">
        <f>tinder[[#This Row],[Conversations]]/MAX(tinder[Conversations])</f>
        <v>7.4355323524758739E-3</v>
      </c>
      <c r="J830">
        <f>(tinder[[#This Row],[Norm Engagement]]*2)+(tinder[[#This Row],[Norm Swipes]]*1)+(tinder[[#This Row],[Norm Conversations]]*2)</f>
        <v>0.10041632151839613</v>
      </c>
      <c r="K83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30">
        <v>46</v>
      </c>
      <c r="M830">
        <v>13</v>
      </c>
      <c r="N830">
        <v>169</v>
      </c>
      <c r="O830">
        <v>334</v>
      </c>
      <c r="P830">
        <v>306</v>
      </c>
      <c r="Q830">
        <f>tinder[[#This Row],[All Swipes]]/MAX(tinder[All Swipes])</f>
        <v>2.9387994571261615E-2</v>
      </c>
      <c r="R830">
        <f>tinder[[#This Row],[Swipe Right (LIKE)]]+tinder[[#This Row],[Swipe Left (PASS)]]</f>
        <v>24945</v>
      </c>
      <c r="S830">
        <v>5448</v>
      </c>
      <c r="T830">
        <v>19497</v>
      </c>
      <c r="U830" t="s">
        <v>10</v>
      </c>
      <c r="V830" s="1">
        <v>41542</v>
      </c>
      <c r="W830" t="s">
        <v>7</v>
      </c>
      <c r="X830" t="s">
        <v>1295</v>
      </c>
      <c r="Y830" t="s">
        <v>8</v>
      </c>
      <c r="Z830">
        <v>38</v>
      </c>
      <c r="AA83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831" spans="1:27" x14ac:dyDescent="0.3">
      <c r="A831" t="s">
        <v>580</v>
      </c>
      <c r="B831">
        <v>4396</v>
      </c>
      <c r="C831">
        <v>789</v>
      </c>
      <c r="D831">
        <f>IFERROR(tinder[[#This Row],[Tinder Opened]]/tinder[[#This Row],[Days on Tinder]],0)</f>
        <v>5.5716096324461342</v>
      </c>
      <c r="E831">
        <f>tinder[[#This Row],[Engagement]]/MAX(tinder[Engagement])</f>
        <v>2.7998038354000675E-2</v>
      </c>
      <c r="F83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31">
        <v>38</v>
      </c>
      <c r="H831">
        <f>IFERROR(tinder[[#This Row],[Conversations]]/tinder[[#This Row],[Tinder Opened]],0)</f>
        <v>8.6442220200181989E-3</v>
      </c>
      <c r="I831">
        <f>tinder[[#This Row],[Conversations]]/MAX(tinder[Conversations])</f>
        <v>3.0058535041923747E-3</v>
      </c>
      <c r="J831">
        <f>(tinder[[#This Row],[Norm Engagement]]*2)+(tinder[[#This Row],[Norm Swipes]]*1)+(tinder[[#This Row],[Norm Conversations]]*2)</f>
        <v>0.20845412780038075</v>
      </c>
      <c r="K83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31">
        <v>19</v>
      </c>
      <c r="M831">
        <v>3</v>
      </c>
      <c r="N831">
        <v>142</v>
      </c>
      <c r="O831">
        <v>88</v>
      </c>
      <c r="P831">
        <v>98</v>
      </c>
      <c r="Q831">
        <f>tinder[[#This Row],[All Swipes]]/MAX(tinder[All Swipes])</f>
        <v>0.14644634408399465</v>
      </c>
      <c r="R831">
        <f>tinder[[#This Row],[Swipe Right (LIKE)]]+tinder[[#This Row],[Swipe Left (PASS)]]</f>
        <v>124306</v>
      </c>
      <c r="S831">
        <v>38666</v>
      </c>
      <c r="T831">
        <v>85640</v>
      </c>
      <c r="U831" t="s">
        <v>8</v>
      </c>
      <c r="V831" s="1">
        <v>43220</v>
      </c>
      <c r="W831" t="s">
        <v>12</v>
      </c>
      <c r="X831" t="s">
        <v>1295</v>
      </c>
      <c r="Y831" t="s">
        <v>8</v>
      </c>
      <c r="Z831">
        <v>25</v>
      </c>
      <c r="AA83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32" spans="1:27" x14ac:dyDescent="0.3">
      <c r="A832" t="s">
        <v>740</v>
      </c>
      <c r="B832">
        <v>851</v>
      </c>
      <c r="C832">
        <v>153</v>
      </c>
      <c r="D832">
        <f>IFERROR(tinder[[#This Row],[Tinder Opened]]/tinder[[#This Row],[Days on Tinder]],0)</f>
        <v>5.5620915032679736</v>
      </c>
      <c r="E832">
        <f>tinder[[#This Row],[Engagement]]/MAX(tinder[Engagement])</f>
        <v>2.7950208559135548E-2</v>
      </c>
      <c r="F83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32">
        <v>22</v>
      </c>
      <c r="H832">
        <f>IFERROR(tinder[[#This Row],[Conversations]]/tinder[[#This Row],[Tinder Opened]],0)</f>
        <v>2.5851938895417155E-2</v>
      </c>
      <c r="I832">
        <f>tinder[[#This Row],[Conversations]]/MAX(tinder[Conversations])</f>
        <v>1.7402309761113748E-3</v>
      </c>
      <c r="J832">
        <f>(tinder[[#This Row],[Norm Engagement]]*2)+(tinder[[#This Row],[Norm Swipes]]*1)+(tinder[[#This Row],[Norm Conversations]]*2)</f>
        <v>8.9759665521267629E-2</v>
      </c>
      <c r="K83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32">
        <v>8</v>
      </c>
      <c r="M832">
        <v>0</v>
      </c>
      <c r="N832">
        <v>28</v>
      </c>
      <c r="O832">
        <v>120</v>
      </c>
      <c r="P832">
        <v>80</v>
      </c>
      <c r="Q832">
        <f>tinder[[#This Row],[All Swipes]]/MAX(tinder[All Swipes])</f>
        <v>3.0378786450773784E-2</v>
      </c>
      <c r="R832">
        <f>tinder[[#This Row],[Swipe Right (LIKE)]]+tinder[[#This Row],[Swipe Left (PASS)]]</f>
        <v>25786</v>
      </c>
      <c r="S832">
        <v>2093</v>
      </c>
      <c r="T832">
        <v>23693</v>
      </c>
      <c r="U832" t="s">
        <v>149</v>
      </c>
      <c r="V832" s="1">
        <v>44105</v>
      </c>
      <c r="W832" t="s">
        <v>12</v>
      </c>
      <c r="X832" t="s">
        <v>1295</v>
      </c>
      <c r="Y832" t="s">
        <v>58</v>
      </c>
      <c r="Z832">
        <v>26</v>
      </c>
      <c r="AA83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33" spans="1:27" x14ac:dyDescent="0.3">
      <c r="A833" t="s">
        <v>687</v>
      </c>
      <c r="B833">
        <v>211</v>
      </c>
      <c r="C833">
        <v>38</v>
      </c>
      <c r="D833">
        <f>IFERROR(tinder[[#This Row],[Tinder Opened]]/tinder[[#This Row],[Days on Tinder]],0)</f>
        <v>5.5526315789473681</v>
      </c>
      <c r="E833">
        <f>tinder[[#This Row],[Engagement]]/MAX(tinder[Engagement])</f>
        <v>2.7902671250991801E-2</v>
      </c>
      <c r="F83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33">
        <v>18</v>
      </c>
      <c r="H833">
        <f>IFERROR(tinder[[#This Row],[Conversations]]/tinder[[#This Row],[Tinder Opened]],0)</f>
        <v>8.5308056872037921E-2</v>
      </c>
      <c r="I833">
        <f>tinder[[#This Row],[Conversations]]/MAX(tinder[Conversations])</f>
        <v>1.4238253440911248E-3</v>
      </c>
      <c r="J833">
        <f>(tinder[[#This Row],[Norm Engagement]]*2)+(tinder[[#This Row],[Norm Swipes]]*1)+(tinder[[#This Row],[Norm Conversations]]*2)</f>
        <v>7.57709551512976E-2</v>
      </c>
      <c r="K83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33">
        <v>14</v>
      </c>
      <c r="M833">
        <v>1</v>
      </c>
      <c r="N833">
        <v>31</v>
      </c>
      <c r="O833">
        <v>32</v>
      </c>
      <c r="P833">
        <v>29</v>
      </c>
      <c r="Q833">
        <f>tinder[[#This Row],[All Swipes]]/MAX(tinder[All Swipes])</f>
        <v>1.7117961961131741E-2</v>
      </c>
      <c r="R833">
        <f>tinder[[#This Row],[Swipe Right (LIKE)]]+tinder[[#This Row],[Swipe Left (PASS)]]</f>
        <v>14530</v>
      </c>
      <c r="S833">
        <v>11636</v>
      </c>
      <c r="T833">
        <v>2894</v>
      </c>
      <c r="U833" t="s">
        <v>75</v>
      </c>
      <c r="V833" s="1">
        <v>44257</v>
      </c>
      <c r="W833" t="s">
        <v>12</v>
      </c>
      <c r="X833" t="s">
        <v>1295</v>
      </c>
      <c r="Y833" t="s">
        <v>8</v>
      </c>
      <c r="Z833">
        <v>24</v>
      </c>
      <c r="AA83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34" spans="1:27" x14ac:dyDescent="0.3">
      <c r="A834" t="s">
        <v>1268</v>
      </c>
      <c r="B834">
        <v>3006</v>
      </c>
      <c r="C834">
        <v>543</v>
      </c>
      <c r="D834">
        <f>IFERROR(tinder[[#This Row],[Tinder Opened]]/tinder[[#This Row],[Days on Tinder]],0)</f>
        <v>5.5359116022099446</v>
      </c>
      <c r="E834">
        <f>tinder[[#This Row],[Engagement]]/MAX(tinder[Engagement])</f>
        <v>2.7818651267386658E-2</v>
      </c>
      <c r="F83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34">
        <v>237</v>
      </c>
      <c r="H834">
        <f>IFERROR(tinder[[#This Row],[Conversations]]/tinder[[#This Row],[Tinder Opened]],0)</f>
        <v>7.8842315369261479E-2</v>
      </c>
      <c r="I834">
        <f>tinder[[#This Row],[Conversations]]/MAX(tinder[Conversations])</f>
        <v>1.8747033697199812E-2</v>
      </c>
      <c r="J834">
        <f>(tinder[[#This Row],[Norm Engagement]]*2)+(tinder[[#This Row],[Norm Swipes]]*1)+(tinder[[#This Row],[Norm Conversations]]*2)</f>
        <v>0.14073297027600901</v>
      </c>
      <c r="K83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34">
        <v>105</v>
      </c>
      <c r="M834">
        <v>17</v>
      </c>
      <c r="N834">
        <v>306</v>
      </c>
      <c r="O834">
        <v>1106</v>
      </c>
      <c r="P834">
        <v>771</v>
      </c>
      <c r="Q834">
        <f>tinder[[#This Row],[All Swipes]]/MAX(tinder[All Swipes])</f>
        <v>4.7601600346836061E-2</v>
      </c>
      <c r="R834">
        <f>tinder[[#This Row],[Swipe Right (LIKE)]]+tinder[[#This Row],[Swipe Left (PASS)]]</f>
        <v>40405</v>
      </c>
      <c r="S834">
        <v>33391</v>
      </c>
      <c r="T834">
        <v>7014</v>
      </c>
      <c r="U834" t="s">
        <v>10</v>
      </c>
      <c r="V834" s="1">
        <v>41890</v>
      </c>
      <c r="W834" t="s">
        <v>12</v>
      </c>
      <c r="X834" t="s">
        <v>1295</v>
      </c>
      <c r="Y834" t="s">
        <v>1269</v>
      </c>
      <c r="Z834">
        <v>18</v>
      </c>
      <c r="AA83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35" spans="1:27" x14ac:dyDescent="0.3">
      <c r="A835" t="s">
        <v>428</v>
      </c>
      <c r="B835">
        <v>4312</v>
      </c>
      <c r="C835">
        <v>779</v>
      </c>
      <c r="D835">
        <f>IFERROR(tinder[[#This Row],[Tinder Opened]]/tinder[[#This Row],[Days on Tinder]],0)</f>
        <v>5.535301668806162</v>
      </c>
      <c r="E835">
        <f>tinder[[#This Row],[Engagement]]/MAX(tinder[Engagement])</f>
        <v>2.7815586275407849E-2</v>
      </c>
      <c r="F83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35">
        <v>107</v>
      </c>
      <c r="H835">
        <f>IFERROR(tinder[[#This Row],[Conversations]]/tinder[[#This Row],[Tinder Opened]],0)</f>
        <v>2.481447124304267E-2</v>
      </c>
      <c r="I835">
        <f>tinder[[#This Row],[Conversations]]/MAX(tinder[Conversations])</f>
        <v>8.4638506565416858E-3</v>
      </c>
      <c r="J835">
        <f>(tinder[[#This Row],[Norm Engagement]]*2)+(tinder[[#This Row],[Norm Swipes]]*1)+(tinder[[#This Row],[Norm Conversations]]*2)</f>
        <v>0.14159385906681704</v>
      </c>
      <c r="K83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35">
        <v>56</v>
      </c>
      <c r="M835">
        <v>8</v>
      </c>
      <c r="N835">
        <v>706</v>
      </c>
      <c r="O835">
        <v>382</v>
      </c>
      <c r="P835">
        <v>324</v>
      </c>
      <c r="Q835">
        <f>tinder[[#This Row],[All Swipes]]/MAX(tinder[All Swipes])</f>
        <v>6.9034985202917953E-2</v>
      </c>
      <c r="R835">
        <f>tinder[[#This Row],[Swipe Right (LIKE)]]+tinder[[#This Row],[Swipe Left (PASS)]]</f>
        <v>58598</v>
      </c>
      <c r="S835">
        <v>25303</v>
      </c>
      <c r="T835">
        <v>33295</v>
      </c>
      <c r="U835" t="s">
        <v>8</v>
      </c>
      <c r="V835" s="1">
        <v>42445</v>
      </c>
      <c r="W835" t="s">
        <v>7</v>
      </c>
      <c r="X835" t="s">
        <v>1295</v>
      </c>
      <c r="Y835" t="s">
        <v>8</v>
      </c>
      <c r="Z835">
        <v>18</v>
      </c>
      <c r="AA83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36" spans="1:27" x14ac:dyDescent="0.3">
      <c r="A836" t="s">
        <v>1043</v>
      </c>
      <c r="B836">
        <v>6096</v>
      </c>
      <c r="C836">
        <v>1103</v>
      </c>
      <c r="D836">
        <f>IFERROR(tinder[[#This Row],[Tinder Opened]]/tinder[[#This Row],[Days on Tinder]],0)</f>
        <v>5.5267452402538533</v>
      </c>
      <c r="E836">
        <f>tinder[[#This Row],[Engagement]]/MAX(tinder[Engagement])</f>
        <v>2.7772589147004288E-2</v>
      </c>
      <c r="F83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36">
        <v>314</v>
      </c>
      <c r="H836">
        <f>IFERROR(tinder[[#This Row],[Conversations]]/tinder[[#This Row],[Tinder Opened]],0)</f>
        <v>5.1509186351706038E-2</v>
      </c>
      <c r="I836">
        <f>tinder[[#This Row],[Conversations]]/MAX(tinder[Conversations])</f>
        <v>2.4837842113589623E-2</v>
      </c>
      <c r="J836">
        <f>(tinder[[#This Row],[Norm Engagement]]*2)+(tinder[[#This Row],[Norm Swipes]]*1)+(tinder[[#This Row],[Norm Conversations]]*2)</f>
        <v>0.16280931514225055</v>
      </c>
      <c r="K83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36">
        <v>128</v>
      </c>
      <c r="M836">
        <v>55</v>
      </c>
      <c r="N836">
        <v>1807</v>
      </c>
      <c r="O836">
        <v>284</v>
      </c>
      <c r="P836">
        <v>268</v>
      </c>
      <c r="Q836">
        <f>tinder[[#This Row],[All Swipes]]/MAX(tinder[All Swipes])</f>
        <v>5.7588452621062748E-2</v>
      </c>
      <c r="R836">
        <f>tinder[[#This Row],[Swipe Right (LIKE)]]+tinder[[#This Row],[Swipe Left (PASS)]]</f>
        <v>48882</v>
      </c>
      <c r="S836">
        <v>39514</v>
      </c>
      <c r="T836">
        <v>9368</v>
      </c>
      <c r="U836" t="s">
        <v>8</v>
      </c>
      <c r="V836" s="1">
        <v>41609</v>
      </c>
      <c r="W836" t="s">
        <v>7</v>
      </c>
      <c r="X836" t="s">
        <v>1295</v>
      </c>
      <c r="Y836" t="s">
        <v>1044</v>
      </c>
      <c r="Z836">
        <v>20</v>
      </c>
      <c r="AA83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37" spans="1:27" x14ac:dyDescent="0.3">
      <c r="A837" t="s">
        <v>527</v>
      </c>
      <c r="B837">
        <v>1556</v>
      </c>
      <c r="C837">
        <v>282</v>
      </c>
      <c r="D837">
        <f>IFERROR(tinder[[#This Row],[Tinder Opened]]/tinder[[#This Row],[Days on Tinder]],0)</f>
        <v>5.5177304964539005</v>
      </c>
      <c r="E837">
        <f>tinder[[#This Row],[Engagement]]/MAX(tinder[Engagement])</f>
        <v>2.7727288926904022E-2</v>
      </c>
      <c r="F83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37">
        <v>12</v>
      </c>
      <c r="H837">
        <f>IFERROR(tinder[[#This Row],[Conversations]]/tinder[[#This Row],[Tinder Opened]],0)</f>
        <v>7.7120822622107968E-3</v>
      </c>
      <c r="I837">
        <f>tinder[[#This Row],[Conversations]]/MAX(tinder[Conversations])</f>
        <v>9.4921689606074992E-4</v>
      </c>
      <c r="J837">
        <f>(tinder[[#This Row],[Norm Engagement]]*2)+(tinder[[#This Row],[Norm Swipes]]*1)+(tinder[[#This Row],[Norm Conversations]]*2)</f>
        <v>9.7842352091915483E-2</v>
      </c>
      <c r="K83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37">
        <v>6</v>
      </c>
      <c r="M837">
        <v>0</v>
      </c>
      <c r="N837">
        <v>23</v>
      </c>
      <c r="O837">
        <v>25</v>
      </c>
      <c r="P837">
        <v>29</v>
      </c>
      <c r="Q837">
        <f>tinder[[#This Row],[All Swipes]]/MAX(tinder[All Swipes])</f>
        <v>4.0489340445985941E-2</v>
      </c>
      <c r="R837">
        <f>tinder[[#This Row],[Swipe Right (LIKE)]]+tinder[[#This Row],[Swipe Left (PASS)]]</f>
        <v>34368</v>
      </c>
      <c r="S837">
        <v>2080</v>
      </c>
      <c r="T837">
        <v>32288</v>
      </c>
      <c r="U837" t="s">
        <v>10</v>
      </c>
      <c r="V837" s="1">
        <v>43907</v>
      </c>
      <c r="W837" t="s">
        <v>12</v>
      </c>
      <c r="X837" t="s">
        <v>1295</v>
      </c>
      <c r="Y837" t="s">
        <v>8</v>
      </c>
      <c r="Z837">
        <v>18</v>
      </c>
      <c r="AA83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38" spans="1:27" x14ac:dyDescent="0.3">
      <c r="A838" t="s">
        <v>1079</v>
      </c>
      <c r="B838">
        <v>22</v>
      </c>
      <c r="C838">
        <v>4</v>
      </c>
      <c r="D838">
        <f>IFERROR(tinder[[#This Row],[Tinder Opened]]/tinder[[#This Row],[Days on Tinder]],0)</f>
        <v>5.5</v>
      </c>
      <c r="E838">
        <f>tinder[[#This Row],[Engagement]]/MAX(tinder[Engagement])</f>
        <v>2.7638190954773871E-2</v>
      </c>
      <c r="F83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38">
        <v>50</v>
      </c>
      <c r="H838">
        <f>IFERROR(tinder[[#This Row],[Conversations]]/tinder[[#This Row],[Tinder Opened]],0)</f>
        <v>2.2727272727272729</v>
      </c>
      <c r="I838">
        <f>tinder[[#This Row],[Conversations]]/MAX(tinder[Conversations])</f>
        <v>3.9550704002531247E-3</v>
      </c>
      <c r="J838">
        <f>(tinder[[#This Row],[Norm Engagement]]*2)+(tinder[[#This Row],[Norm Swipes]]*1)+(tinder[[#This Row],[Norm Conversations]]*2)</f>
        <v>6.3484584952047549E-2</v>
      </c>
      <c r="K83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38">
        <v>12</v>
      </c>
      <c r="M838">
        <v>0</v>
      </c>
      <c r="N838">
        <v>2</v>
      </c>
      <c r="O838">
        <v>288</v>
      </c>
      <c r="P838">
        <v>243</v>
      </c>
      <c r="Q838">
        <f>tinder[[#This Row],[All Swipes]]/MAX(tinder[All Swipes])</f>
        <v>2.9806224199355338E-4</v>
      </c>
      <c r="R838">
        <f>tinder[[#This Row],[Swipe Right (LIKE)]]+tinder[[#This Row],[Swipe Left (PASS)]]</f>
        <v>253</v>
      </c>
      <c r="S838">
        <v>240</v>
      </c>
      <c r="T838">
        <v>13</v>
      </c>
      <c r="U838" t="s">
        <v>75</v>
      </c>
      <c r="V838" s="1">
        <v>44297</v>
      </c>
      <c r="W838" t="s">
        <v>12</v>
      </c>
      <c r="X838" t="s">
        <v>1295</v>
      </c>
      <c r="Y838" t="s">
        <v>8</v>
      </c>
      <c r="Z838">
        <v>19</v>
      </c>
      <c r="AA83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39" spans="1:27" x14ac:dyDescent="0.3">
      <c r="A839" t="s">
        <v>1146</v>
      </c>
      <c r="B839">
        <v>3650</v>
      </c>
      <c r="C839">
        <v>677</v>
      </c>
      <c r="D839">
        <f>IFERROR(tinder[[#This Row],[Tinder Opened]]/tinder[[#This Row],[Days on Tinder]],0)</f>
        <v>5.3914327917282128</v>
      </c>
      <c r="E839">
        <f>tinder[[#This Row],[Engagement]]/MAX(tinder[Engagement])</f>
        <v>2.7092627094111622E-2</v>
      </c>
      <c r="F83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39">
        <v>55</v>
      </c>
      <c r="H839">
        <f>IFERROR(tinder[[#This Row],[Conversations]]/tinder[[#This Row],[Tinder Opened]],0)</f>
        <v>1.5068493150684932E-2</v>
      </c>
      <c r="I839">
        <f>tinder[[#This Row],[Conversations]]/MAX(tinder[Conversations])</f>
        <v>4.3505774402784365E-3</v>
      </c>
      <c r="J839">
        <f>(tinder[[#This Row],[Norm Engagement]]*2)+(tinder[[#This Row],[Norm Swipes]]*1)+(tinder[[#This Row],[Norm Conversations]]*2)</f>
        <v>0.20642635176543048</v>
      </c>
      <c r="K83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39">
        <v>30</v>
      </c>
      <c r="M839">
        <v>2</v>
      </c>
      <c r="N839">
        <v>75</v>
      </c>
      <c r="O839">
        <v>215</v>
      </c>
      <c r="P839">
        <v>182</v>
      </c>
      <c r="Q839">
        <f>tinder[[#This Row],[All Swipes]]/MAX(tinder[All Swipes])</f>
        <v>0.14353994269665038</v>
      </c>
      <c r="R839">
        <f>tinder[[#This Row],[Swipe Right (LIKE)]]+tinder[[#This Row],[Swipe Left (PASS)]]</f>
        <v>121839</v>
      </c>
      <c r="S839">
        <v>57582</v>
      </c>
      <c r="T839">
        <v>64257</v>
      </c>
      <c r="U839" t="s">
        <v>8</v>
      </c>
      <c r="V839" s="1">
        <v>41907</v>
      </c>
      <c r="W839" t="s">
        <v>7</v>
      </c>
      <c r="X839" t="s">
        <v>1295</v>
      </c>
      <c r="Y839" t="s">
        <v>8</v>
      </c>
      <c r="Z839">
        <v>22</v>
      </c>
      <c r="AA83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40" spans="1:27" x14ac:dyDescent="0.3">
      <c r="A840" t="s">
        <v>367</v>
      </c>
      <c r="B840">
        <v>5836</v>
      </c>
      <c r="C840">
        <v>1086</v>
      </c>
      <c r="D840">
        <f>IFERROR(tinder[[#This Row],[Tinder Opened]]/tinder[[#This Row],[Days on Tinder]],0)</f>
        <v>5.3738489871086559</v>
      </c>
      <c r="E840">
        <f>tinder[[#This Row],[Engagement]]/MAX(tinder[Engagement])</f>
        <v>2.7004266266877668E-2</v>
      </c>
      <c r="F84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40">
        <v>90</v>
      </c>
      <c r="H840">
        <f>IFERROR(tinder[[#This Row],[Conversations]]/tinder[[#This Row],[Tinder Opened]],0)</f>
        <v>1.5421521590130226E-2</v>
      </c>
      <c r="I840">
        <f>tinder[[#This Row],[Conversations]]/MAX(tinder[Conversations])</f>
        <v>7.1191267204556239E-3</v>
      </c>
      <c r="J840">
        <f>(tinder[[#This Row],[Norm Engagement]]*2)+(tinder[[#This Row],[Norm Swipes]]*1)+(tinder[[#This Row],[Norm Conversations]]*2)</f>
        <v>0.11528407085148322</v>
      </c>
      <c r="K84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40">
        <v>31</v>
      </c>
      <c r="M840">
        <v>0</v>
      </c>
      <c r="N840">
        <v>263</v>
      </c>
      <c r="O840">
        <v>734</v>
      </c>
      <c r="P840">
        <v>565</v>
      </c>
      <c r="Q840">
        <f>tinder[[#This Row],[All Swipes]]/MAX(tinder[All Swipes])</f>
        <v>4.7037284876816646E-2</v>
      </c>
      <c r="R840">
        <f>tinder[[#This Row],[Swipe Right (LIKE)]]+tinder[[#This Row],[Swipe Left (PASS)]]</f>
        <v>39926</v>
      </c>
      <c r="S840">
        <v>12507</v>
      </c>
      <c r="T840">
        <v>27419</v>
      </c>
      <c r="U840" t="s">
        <v>8</v>
      </c>
      <c r="V840" s="1">
        <v>43013</v>
      </c>
      <c r="W840" t="s">
        <v>12</v>
      </c>
      <c r="X840" t="s">
        <v>1295</v>
      </c>
      <c r="Y840" t="s">
        <v>8</v>
      </c>
      <c r="Z840">
        <v>18</v>
      </c>
      <c r="AA84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41" spans="1:27" x14ac:dyDescent="0.3">
      <c r="A841" t="s">
        <v>791</v>
      </c>
      <c r="B841">
        <v>1029</v>
      </c>
      <c r="C841">
        <v>192</v>
      </c>
      <c r="D841">
        <f>IFERROR(tinder[[#This Row],[Tinder Opened]]/tinder[[#This Row],[Days on Tinder]],0)</f>
        <v>5.359375</v>
      </c>
      <c r="E841">
        <f>tinder[[#This Row],[Engagement]]/MAX(tinder[Engagement])</f>
        <v>2.6931532663316583E-2</v>
      </c>
      <c r="F84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41">
        <v>10</v>
      </c>
      <c r="H841">
        <f>IFERROR(tinder[[#This Row],[Conversations]]/tinder[[#This Row],[Tinder Opened]],0)</f>
        <v>9.7181729834791061E-3</v>
      </c>
      <c r="I841">
        <f>tinder[[#This Row],[Conversations]]/MAX(tinder[Conversations])</f>
        <v>7.9101408005062491E-4</v>
      </c>
      <c r="J841">
        <f>(tinder[[#This Row],[Norm Engagement]]*2)+(tinder[[#This Row],[Norm Swipes]]*1)+(tinder[[#This Row],[Norm Conversations]]*2)</f>
        <v>6.919129996729087E-2</v>
      </c>
      <c r="K84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41">
        <v>5</v>
      </c>
      <c r="M841">
        <v>1</v>
      </c>
      <c r="N841">
        <v>33</v>
      </c>
      <c r="O841">
        <v>254</v>
      </c>
      <c r="P841">
        <v>185</v>
      </c>
      <c r="Q841">
        <f>tinder[[#This Row],[All Swipes]]/MAX(tinder[All Swipes])</f>
        <v>1.3746206480556446E-2</v>
      </c>
      <c r="R841">
        <f>tinder[[#This Row],[Swipe Right (LIKE)]]+tinder[[#This Row],[Swipe Left (PASS)]]</f>
        <v>11668</v>
      </c>
      <c r="S841">
        <v>9122</v>
      </c>
      <c r="T841">
        <v>2546</v>
      </c>
      <c r="U841" t="s">
        <v>75</v>
      </c>
      <c r="V841" s="1">
        <v>43988</v>
      </c>
      <c r="W841" t="s">
        <v>12</v>
      </c>
      <c r="X841" t="s">
        <v>1295</v>
      </c>
      <c r="Y841" t="s">
        <v>792</v>
      </c>
      <c r="Z841">
        <v>26</v>
      </c>
      <c r="AA84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42" spans="1:27" x14ac:dyDescent="0.3">
      <c r="A842" t="s">
        <v>486</v>
      </c>
      <c r="B842">
        <v>1851</v>
      </c>
      <c r="C842">
        <v>346</v>
      </c>
      <c r="D842">
        <f>IFERROR(tinder[[#This Row],[Tinder Opened]]/tinder[[#This Row],[Days on Tinder]],0)</f>
        <v>5.3497109826589595</v>
      </c>
      <c r="E842">
        <f>tinder[[#This Row],[Engagement]]/MAX(tinder[Engagement])</f>
        <v>2.6882969762105323E-2</v>
      </c>
      <c r="F84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42">
        <v>38</v>
      </c>
      <c r="H842">
        <f>IFERROR(tinder[[#This Row],[Conversations]]/tinder[[#This Row],[Tinder Opened]],0)</f>
        <v>2.0529443544030253E-2</v>
      </c>
      <c r="I842">
        <f>tinder[[#This Row],[Conversations]]/MAX(tinder[Conversations])</f>
        <v>3.0058535041923747E-3</v>
      </c>
      <c r="J842">
        <f>(tinder[[#This Row],[Norm Engagement]]*2)+(tinder[[#This Row],[Norm Swipes]]*1)+(tinder[[#This Row],[Norm Conversations]]*2)</f>
        <v>6.6342084526224171E-2</v>
      </c>
      <c r="K84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42">
        <v>18</v>
      </c>
      <c r="M842">
        <v>0</v>
      </c>
      <c r="N842">
        <v>67</v>
      </c>
      <c r="O842">
        <v>166</v>
      </c>
      <c r="P842">
        <v>121</v>
      </c>
      <c r="Q842">
        <f>tinder[[#This Row],[All Swipes]]/MAX(tinder[All Swipes])</f>
        <v>6.5644379936287724E-3</v>
      </c>
      <c r="R842">
        <f>tinder[[#This Row],[Swipe Right (LIKE)]]+tinder[[#This Row],[Swipe Left (PASS)]]</f>
        <v>5572</v>
      </c>
      <c r="S842">
        <v>2257</v>
      </c>
      <c r="T842">
        <v>3315</v>
      </c>
      <c r="U842" t="s">
        <v>10</v>
      </c>
      <c r="V842" s="1">
        <v>41479</v>
      </c>
      <c r="W842" t="s">
        <v>12</v>
      </c>
      <c r="X842" t="s">
        <v>1295</v>
      </c>
      <c r="Y842" t="s">
        <v>8</v>
      </c>
      <c r="Z842">
        <v>34</v>
      </c>
      <c r="AA842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843" spans="1:27" x14ac:dyDescent="0.3">
      <c r="A843" t="s">
        <v>416</v>
      </c>
      <c r="B843">
        <v>1916</v>
      </c>
      <c r="C843">
        <v>359</v>
      </c>
      <c r="D843">
        <f>IFERROR(tinder[[#This Row],[Tinder Opened]]/tinder[[#This Row],[Days on Tinder]],0)</f>
        <v>5.3370473537604459</v>
      </c>
      <c r="E843">
        <f>tinder[[#This Row],[Engagement]]/MAX(tinder[Engagement])</f>
        <v>2.681933343598214E-2</v>
      </c>
      <c r="F84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43">
        <v>24</v>
      </c>
      <c r="H843">
        <f>IFERROR(tinder[[#This Row],[Conversations]]/tinder[[#This Row],[Tinder Opened]],0)</f>
        <v>1.2526096033402923E-2</v>
      </c>
      <c r="I843">
        <f>tinder[[#This Row],[Conversations]]/MAX(tinder[Conversations])</f>
        <v>1.8984337921214998E-3</v>
      </c>
      <c r="J843">
        <f>(tinder[[#This Row],[Norm Engagement]]*2)+(tinder[[#This Row],[Norm Swipes]]*1)+(tinder[[#This Row],[Norm Conversations]]*2)</f>
        <v>7.221258861164262E-2</v>
      </c>
      <c r="K84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43">
        <v>3</v>
      </c>
      <c r="M843">
        <v>7</v>
      </c>
      <c r="N843">
        <v>86</v>
      </c>
      <c r="O843">
        <v>110</v>
      </c>
      <c r="P843">
        <v>107</v>
      </c>
      <c r="Q843">
        <f>tinder[[#This Row],[All Swipes]]/MAX(tinder[All Swipes])</f>
        <v>1.4777054155435336E-2</v>
      </c>
      <c r="R843">
        <f>tinder[[#This Row],[Swipe Right (LIKE)]]+tinder[[#This Row],[Swipe Left (PASS)]]</f>
        <v>12543</v>
      </c>
      <c r="S843">
        <v>4101</v>
      </c>
      <c r="T843">
        <v>8442</v>
      </c>
      <c r="U843" t="s">
        <v>8</v>
      </c>
      <c r="V843" s="1">
        <v>43797</v>
      </c>
      <c r="W843" t="s">
        <v>12</v>
      </c>
      <c r="X843" t="s">
        <v>1295</v>
      </c>
      <c r="Y843" t="s">
        <v>8</v>
      </c>
      <c r="Z843">
        <v>26</v>
      </c>
      <c r="AA84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44" spans="1:27" x14ac:dyDescent="0.3">
      <c r="A844" t="s">
        <v>1011</v>
      </c>
      <c r="B844">
        <v>1841</v>
      </c>
      <c r="C844">
        <v>345</v>
      </c>
      <c r="D844">
        <f>IFERROR(tinder[[#This Row],[Tinder Opened]]/tinder[[#This Row],[Days on Tinder]],0)</f>
        <v>5.3362318840579714</v>
      </c>
      <c r="E844">
        <f>tinder[[#This Row],[Engagement]]/MAX(tinder[Engagement])</f>
        <v>2.6815235598281265E-2</v>
      </c>
      <c r="F84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44">
        <v>65</v>
      </c>
      <c r="H844">
        <f>IFERROR(tinder[[#This Row],[Conversations]]/tinder[[#This Row],[Tinder Opened]],0)</f>
        <v>3.5306898424769147E-2</v>
      </c>
      <c r="I844">
        <f>tinder[[#This Row],[Conversations]]/MAX(tinder[Conversations])</f>
        <v>5.141591520329062E-3</v>
      </c>
      <c r="J844">
        <f>(tinder[[#This Row],[Norm Engagement]]*2)+(tinder[[#This Row],[Norm Swipes]]*1)+(tinder[[#This Row],[Norm Conversations]]*2)</f>
        <v>7.2833137376087015E-2</v>
      </c>
      <c r="K84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44">
        <v>28</v>
      </c>
      <c r="M844">
        <v>0</v>
      </c>
      <c r="N844">
        <v>51</v>
      </c>
      <c r="O844">
        <v>286</v>
      </c>
      <c r="P844">
        <v>196</v>
      </c>
      <c r="Q844">
        <f>tinder[[#This Row],[All Swipes]]/MAX(tinder[All Swipes])</f>
        <v>8.9194831388663739E-3</v>
      </c>
      <c r="R844">
        <f>tinder[[#This Row],[Swipe Right (LIKE)]]+tinder[[#This Row],[Swipe Left (PASS)]]</f>
        <v>7571</v>
      </c>
      <c r="S844">
        <v>4485</v>
      </c>
      <c r="T844">
        <v>3086</v>
      </c>
      <c r="U844" t="s">
        <v>10</v>
      </c>
      <c r="V844" s="1">
        <v>43709</v>
      </c>
      <c r="W844" t="s">
        <v>12</v>
      </c>
      <c r="X844" t="s">
        <v>1295</v>
      </c>
      <c r="Y844" t="s">
        <v>1012</v>
      </c>
      <c r="Z844">
        <v>20</v>
      </c>
      <c r="AA84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45" spans="1:27" x14ac:dyDescent="0.3">
      <c r="A845" t="s">
        <v>161</v>
      </c>
      <c r="B845">
        <v>256</v>
      </c>
      <c r="C845">
        <v>48</v>
      </c>
      <c r="D845">
        <f>IFERROR(tinder[[#This Row],[Tinder Opened]]/tinder[[#This Row],[Days on Tinder]],0)</f>
        <v>5.333333333333333</v>
      </c>
      <c r="E845">
        <f>tinder[[#This Row],[Engagement]]/MAX(tinder[Engagement])</f>
        <v>2.6800670016750416E-2</v>
      </c>
      <c r="F84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45">
        <v>7</v>
      </c>
      <c r="H845">
        <f>IFERROR(tinder[[#This Row],[Conversations]]/tinder[[#This Row],[Tinder Opened]],0)</f>
        <v>2.734375E-2</v>
      </c>
      <c r="I845">
        <f>tinder[[#This Row],[Conversations]]/MAX(tinder[Conversations])</f>
        <v>5.5370985603543741E-4</v>
      </c>
      <c r="J845">
        <f>(tinder[[#This Row],[Norm Engagement]]*2)+(tinder[[#This Row],[Norm Swipes]]*1)+(tinder[[#This Row],[Norm Conversations]]*2)</f>
        <v>6.2298154855937204E-2</v>
      </c>
      <c r="K84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45">
        <v>3</v>
      </c>
      <c r="M845">
        <v>1</v>
      </c>
      <c r="N845">
        <v>15</v>
      </c>
      <c r="O845">
        <v>11</v>
      </c>
      <c r="P845">
        <v>11</v>
      </c>
      <c r="Q845">
        <f>tinder[[#This Row],[All Swipes]]/MAX(tinder[All Swipes])</f>
        <v>7.5893951103654976E-3</v>
      </c>
      <c r="R845">
        <f>tinder[[#This Row],[Swipe Right (LIKE)]]+tinder[[#This Row],[Swipe Left (PASS)]]</f>
        <v>6442</v>
      </c>
      <c r="S845">
        <v>1250</v>
      </c>
      <c r="T845">
        <v>5192</v>
      </c>
      <c r="U845" t="s">
        <v>8</v>
      </c>
      <c r="V845" s="1">
        <v>43705</v>
      </c>
      <c r="W845" t="s">
        <v>12</v>
      </c>
      <c r="X845" t="s">
        <v>1295</v>
      </c>
      <c r="Y845" t="s">
        <v>8</v>
      </c>
      <c r="Z845">
        <v>28</v>
      </c>
      <c r="AA84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46" spans="1:27" x14ac:dyDescent="0.3">
      <c r="A846" t="s">
        <v>512</v>
      </c>
      <c r="B846">
        <v>483</v>
      </c>
      <c r="C846">
        <v>91</v>
      </c>
      <c r="D846">
        <f>IFERROR(tinder[[#This Row],[Tinder Opened]]/tinder[[#This Row],[Days on Tinder]],0)</f>
        <v>5.3076923076923075</v>
      </c>
      <c r="E846">
        <f>tinder[[#This Row],[Engagement]]/MAX(tinder[Engagement])</f>
        <v>2.6671820641669886E-2</v>
      </c>
      <c r="F84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46">
        <v>25</v>
      </c>
      <c r="H846">
        <f>IFERROR(tinder[[#This Row],[Conversations]]/tinder[[#This Row],[Tinder Opened]],0)</f>
        <v>5.1759834368530024E-2</v>
      </c>
      <c r="I846">
        <f>tinder[[#This Row],[Conversations]]/MAX(tinder[Conversations])</f>
        <v>1.9775352001265623E-3</v>
      </c>
      <c r="J846">
        <f>(tinder[[#This Row],[Norm Engagement]]*2)+(tinder[[#This Row],[Norm Swipes]]*1)+(tinder[[#This Row],[Norm Conversations]]*2)</f>
        <v>6.5305158310423689E-2</v>
      </c>
      <c r="K84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46">
        <v>1</v>
      </c>
      <c r="M846">
        <v>3</v>
      </c>
      <c r="N846">
        <v>56</v>
      </c>
      <c r="O846">
        <v>298</v>
      </c>
      <c r="P846">
        <v>235</v>
      </c>
      <c r="Q846">
        <f>tinder[[#This Row],[All Swipes]]/MAX(tinder[All Swipes])</f>
        <v>8.0064466268307856E-3</v>
      </c>
      <c r="R846">
        <f>tinder[[#This Row],[Swipe Right (LIKE)]]+tinder[[#This Row],[Swipe Left (PASS)]]</f>
        <v>6796</v>
      </c>
      <c r="S846">
        <v>1110</v>
      </c>
      <c r="T846">
        <v>5686</v>
      </c>
      <c r="U846" t="s">
        <v>8</v>
      </c>
      <c r="V846" s="1">
        <v>44121</v>
      </c>
      <c r="W846" t="s">
        <v>12</v>
      </c>
      <c r="X846" t="s">
        <v>1295</v>
      </c>
      <c r="Y846" t="s">
        <v>8</v>
      </c>
      <c r="Z846">
        <v>21</v>
      </c>
      <c r="AA84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47" spans="1:27" x14ac:dyDescent="0.3">
      <c r="A847" t="s">
        <v>1226</v>
      </c>
      <c r="B847">
        <v>1824</v>
      </c>
      <c r="C847">
        <v>344</v>
      </c>
      <c r="D847">
        <f>IFERROR(tinder[[#This Row],[Tinder Opened]]/tinder[[#This Row],[Days on Tinder]],0)</f>
        <v>5.3023255813953485</v>
      </c>
      <c r="E847">
        <f>tinder[[#This Row],[Engagement]]/MAX(tinder[Engagement])</f>
        <v>2.664485216781582E-2</v>
      </c>
      <c r="F84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47">
        <v>129</v>
      </c>
      <c r="H847">
        <f>IFERROR(tinder[[#This Row],[Conversations]]/tinder[[#This Row],[Tinder Opened]],0)</f>
        <v>7.0723684210526314E-2</v>
      </c>
      <c r="I847">
        <f>tinder[[#This Row],[Conversations]]/MAX(tinder[Conversations])</f>
        <v>1.020408163265306E-2</v>
      </c>
      <c r="J847">
        <f>(tinder[[#This Row],[Norm Engagement]]*2)+(tinder[[#This Row],[Norm Swipes]]*1)+(tinder[[#This Row],[Norm Conversations]]*2)</f>
        <v>0.10172043079484551</v>
      </c>
      <c r="K84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47">
        <v>60</v>
      </c>
      <c r="M847">
        <v>9</v>
      </c>
      <c r="N847">
        <v>316</v>
      </c>
      <c r="O847">
        <v>1277</v>
      </c>
      <c r="P847">
        <v>927</v>
      </c>
      <c r="Q847">
        <f>tinder[[#This Row],[All Swipes]]/MAX(tinder[All Swipes])</f>
        <v>2.8022563193907748E-2</v>
      </c>
      <c r="R847">
        <f>tinder[[#This Row],[Swipe Right (LIKE)]]+tinder[[#This Row],[Swipe Left (PASS)]]</f>
        <v>23786</v>
      </c>
      <c r="S847">
        <v>10163</v>
      </c>
      <c r="T847">
        <v>13623</v>
      </c>
      <c r="U847" t="s">
        <v>10</v>
      </c>
      <c r="V847" s="1">
        <v>43832</v>
      </c>
      <c r="W847" t="s">
        <v>12</v>
      </c>
      <c r="X847" t="s">
        <v>1295</v>
      </c>
      <c r="Y847" t="s">
        <v>241</v>
      </c>
      <c r="Z847">
        <v>28</v>
      </c>
      <c r="AA84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48" spans="1:27" x14ac:dyDescent="0.3">
      <c r="A848" t="s">
        <v>166</v>
      </c>
      <c r="B848">
        <v>74</v>
      </c>
      <c r="C848">
        <v>14</v>
      </c>
      <c r="D848">
        <f>IFERROR(tinder[[#This Row],[Tinder Opened]]/tinder[[#This Row],[Days on Tinder]],0)</f>
        <v>5.2857142857142856</v>
      </c>
      <c r="E848">
        <f>tinder[[#This Row],[Engagement]]/MAX(tinder[Engagement])</f>
        <v>2.6561378320172288E-2</v>
      </c>
      <c r="F84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48">
        <v>1</v>
      </c>
      <c r="H848">
        <f>IFERROR(tinder[[#This Row],[Conversations]]/tinder[[#This Row],[Tinder Opened]],0)</f>
        <v>1.3513513513513514E-2</v>
      </c>
      <c r="I848">
        <f>tinder[[#This Row],[Conversations]]/MAX(tinder[Conversations])</f>
        <v>7.9101408005062489E-5</v>
      </c>
      <c r="J848">
        <f>(tinder[[#This Row],[Norm Engagement]]*2)+(tinder[[#This Row],[Norm Swipes]]*1)+(tinder[[#This Row],[Norm Conversations]]*2)</f>
        <v>5.45262234476084E-2</v>
      </c>
      <c r="K84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48">
        <v>0</v>
      </c>
      <c r="M848">
        <v>0</v>
      </c>
      <c r="N848">
        <v>0</v>
      </c>
      <c r="O848">
        <v>5</v>
      </c>
      <c r="P848">
        <v>0</v>
      </c>
      <c r="Q848">
        <f>tinder[[#This Row],[All Swipes]]/MAX(tinder[All Swipes])</f>
        <v>1.2452639912536993E-3</v>
      </c>
      <c r="R848">
        <f>tinder[[#This Row],[Swipe Right (LIKE)]]+tinder[[#This Row],[Swipe Left (PASS)]]</f>
        <v>1057</v>
      </c>
      <c r="S848">
        <v>1037</v>
      </c>
      <c r="T848">
        <v>20</v>
      </c>
      <c r="U848" t="s">
        <v>167</v>
      </c>
      <c r="V848" s="1">
        <v>44108</v>
      </c>
      <c r="W848" t="s">
        <v>12</v>
      </c>
      <c r="X848" t="s">
        <v>1295</v>
      </c>
      <c r="Y848" t="s">
        <v>8</v>
      </c>
      <c r="Z848">
        <v>18</v>
      </c>
      <c r="AA84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49" spans="1:27" x14ac:dyDescent="0.3">
      <c r="A849" t="s">
        <v>734</v>
      </c>
      <c r="B849">
        <v>6695</v>
      </c>
      <c r="C849">
        <v>1271</v>
      </c>
      <c r="D849">
        <f>IFERROR(tinder[[#This Row],[Tinder Opened]]/tinder[[#This Row],[Days on Tinder]],0)</f>
        <v>5.2675059008654603</v>
      </c>
      <c r="E849">
        <f>tinder[[#This Row],[Engagement]]/MAX(tinder[Engagement])</f>
        <v>2.6469878898821408E-2</v>
      </c>
      <c r="F84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49">
        <v>699</v>
      </c>
      <c r="H849">
        <f>IFERROR(tinder[[#This Row],[Conversations]]/tinder[[#This Row],[Tinder Opened]],0)</f>
        <v>0.10440627333831218</v>
      </c>
      <c r="I849">
        <f>tinder[[#This Row],[Conversations]]/MAX(tinder[Conversations])</f>
        <v>5.5291884195538682E-2</v>
      </c>
      <c r="J849">
        <f>(tinder[[#This Row],[Norm Engagement]]*2)+(tinder[[#This Row],[Norm Swipes]]*1)+(tinder[[#This Row],[Norm Conversations]]*2)</f>
        <v>0.2614729050882697</v>
      </c>
      <c r="K84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49">
        <v>277</v>
      </c>
      <c r="M849">
        <v>180</v>
      </c>
      <c r="N849">
        <v>2754</v>
      </c>
      <c r="O849">
        <v>1105</v>
      </c>
      <c r="P849">
        <v>1352</v>
      </c>
      <c r="Q849">
        <f>tinder[[#This Row],[All Swipes]]/MAX(tinder[All Swipes])</f>
        <v>9.7949378899549494E-2</v>
      </c>
      <c r="R849">
        <f>tinder[[#This Row],[Swipe Right (LIKE)]]+tinder[[#This Row],[Swipe Left (PASS)]]</f>
        <v>83141</v>
      </c>
      <c r="S849">
        <v>80651</v>
      </c>
      <c r="T849">
        <v>2490</v>
      </c>
      <c r="U849" t="s">
        <v>8</v>
      </c>
      <c r="V849" s="1">
        <v>42193</v>
      </c>
      <c r="W849" t="s">
        <v>7</v>
      </c>
      <c r="X849" t="s">
        <v>1295</v>
      </c>
      <c r="Y849" t="s">
        <v>8</v>
      </c>
      <c r="Z849">
        <v>26</v>
      </c>
      <c r="AA84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50" spans="1:27" x14ac:dyDescent="0.3">
      <c r="A850" t="s">
        <v>1072</v>
      </c>
      <c r="B850">
        <v>655</v>
      </c>
      <c r="C850">
        <v>125</v>
      </c>
      <c r="D850">
        <f>IFERROR(tinder[[#This Row],[Tinder Opened]]/tinder[[#This Row],[Days on Tinder]],0)</f>
        <v>5.24</v>
      </c>
      <c r="E850">
        <f>tinder[[#This Row],[Engagement]]/MAX(tinder[Engagement])</f>
        <v>2.6331658291457286E-2</v>
      </c>
      <c r="F85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50">
        <v>12</v>
      </c>
      <c r="H850">
        <f>IFERROR(tinder[[#This Row],[Conversations]]/tinder[[#This Row],[Tinder Opened]],0)</f>
        <v>1.8320610687022901E-2</v>
      </c>
      <c r="I850">
        <f>tinder[[#This Row],[Conversations]]/MAX(tinder[Conversations])</f>
        <v>9.4921689606074992E-4</v>
      </c>
      <c r="J850">
        <f>(tinder[[#This Row],[Norm Engagement]]*2)+(tinder[[#This Row],[Norm Swipes]]*1)+(tinder[[#This Row],[Norm Conversations]]*2)</f>
        <v>7.9998358544533341E-2</v>
      </c>
      <c r="K85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50">
        <v>3</v>
      </c>
      <c r="M850">
        <v>1</v>
      </c>
      <c r="N850">
        <v>13</v>
      </c>
      <c r="O850">
        <v>101</v>
      </c>
      <c r="P850">
        <v>95</v>
      </c>
      <c r="Q850">
        <f>tinder[[#This Row],[All Swipes]]/MAX(tinder[All Swipes])</f>
        <v>2.5436608169497277E-2</v>
      </c>
      <c r="R850">
        <f>tinder[[#This Row],[Swipe Right (LIKE)]]+tinder[[#This Row],[Swipe Left (PASS)]]</f>
        <v>21591</v>
      </c>
      <c r="S850">
        <v>3291</v>
      </c>
      <c r="T850">
        <v>18300</v>
      </c>
      <c r="U850" t="s">
        <v>8</v>
      </c>
      <c r="V850" s="1">
        <v>43464</v>
      </c>
      <c r="W850" t="s">
        <v>12</v>
      </c>
      <c r="X850" t="s">
        <v>1295</v>
      </c>
      <c r="Y850" t="s">
        <v>8</v>
      </c>
      <c r="Z850">
        <v>23</v>
      </c>
      <c r="AA85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51" spans="1:27" x14ac:dyDescent="0.3">
      <c r="A851" t="s">
        <v>1020</v>
      </c>
      <c r="B851">
        <v>2582</v>
      </c>
      <c r="C851">
        <v>495</v>
      </c>
      <c r="D851">
        <f>IFERROR(tinder[[#This Row],[Tinder Opened]]/tinder[[#This Row],[Days on Tinder]],0)</f>
        <v>5.2161616161616164</v>
      </c>
      <c r="E851">
        <f>tinder[[#This Row],[Engagement]]/MAX(tinder[Engagement])</f>
        <v>2.6211867417897571E-2</v>
      </c>
      <c r="F85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51">
        <v>127</v>
      </c>
      <c r="H851">
        <f>IFERROR(tinder[[#This Row],[Conversations]]/tinder[[#This Row],[Tinder Opened]],0)</f>
        <v>4.9186676994577849E-2</v>
      </c>
      <c r="I851">
        <f>tinder[[#This Row],[Conversations]]/MAX(tinder[Conversations])</f>
        <v>1.0045878816642937E-2</v>
      </c>
      <c r="J851">
        <f>(tinder[[#This Row],[Norm Engagement]]*2)+(tinder[[#This Row],[Norm Swipes]]*1)+(tinder[[#This Row],[Norm Conversations]]*2)</f>
        <v>0.11186206463548692</v>
      </c>
      <c r="K85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51">
        <v>45</v>
      </c>
      <c r="M851">
        <v>0</v>
      </c>
      <c r="N851">
        <v>84</v>
      </c>
      <c r="O851">
        <v>1177</v>
      </c>
      <c r="P851">
        <v>903</v>
      </c>
      <c r="Q851">
        <f>tinder[[#This Row],[All Swipes]]/MAX(tinder[All Swipes])</f>
        <v>3.9346572166405913E-2</v>
      </c>
      <c r="R851">
        <f>tinder[[#This Row],[Swipe Right (LIKE)]]+tinder[[#This Row],[Swipe Left (PASS)]]</f>
        <v>33398</v>
      </c>
      <c r="S851">
        <v>15211</v>
      </c>
      <c r="T851">
        <v>18187</v>
      </c>
      <c r="U851" t="s">
        <v>1021</v>
      </c>
      <c r="V851" s="1">
        <v>41897</v>
      </c>
      <c r="W851" t="s">
        <v>7</v>
      </c>
      <c r="X851" t="s">
        <v>1295</v>
      </c>
      <c r="Y851" t="s">
        <v>8</v>
      </c>
      <c r="Z851">
        <v>20</v>
      </c>
      <c r="AA85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52" spans="1:27" x14ac:dyDescent="0.3">
      <c r="A852" t="s">
        <v>1284</v>
      </c>
      <c r="B852">
        <v>161</v>
      </c>
      <c r="C852">
        <v>31</v>
      </c>
      <c r="D852">
        <f>IFERROR(tinder[[#This Row],[Tinder Opened]]/tinder[[#This Row],[Days on Tinder]],0)</f>
        <v>5.193548387096774</v>
      </c>
      <c r="E852">
        <f>tinder[[#This Row],[Engagement]]/MAX(tinder[Engagement])</f>
        <v>2.6098233100988813E-2</v>
      </c>
      <c r="F85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52">
        <v>28</v>
      </c>
      <c r="H852">
        <f>IFERROR(tinder[[#This Row],[Conversations]]/tinder[[#This Row],[Tinder Opened]],0)</f>
        <v>0.17391304347826086</v>
      </c>
      <c r="I852">
        <f>tinder[[#This Row],[Conversations]]/MAX(tinder[Conversations])</f>
        <v>2.2148394241417496E-3</v>
      </c>
      <c r="J852">
        <f>(tinder[[#This Row],[Norm Engagement]]*2)+(tinder[[#This Row],[Norm Swipes]]*1)+(tinder[[#This Row],[Norm Conversations]]*2)</f>
        <v>5.8504054985983357E-2</v>
      </c>
      <c r="K85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52">
        <v>5</v>
      </c>
      <c r="M852">
        <v>7</v>
      </c>
      <c r="N852">
        <v>22</v>
      </c>
      <c r="O852">
        <v>146</v>
      </c>
      <c r="P852">
        <v>161</v>
      </c>
      <c r="Q852">
        <f>tinder[[#This Row],[All Swipes]]/MAX(tinder[All Swipes])</f>
        <v>1.8779099357222296E-3</v>
      </c>
      <c r="R852">
        <f>tinder[[#This Row],[Swipe Right (LIKE)]]+tinder[[#This Row],[Swipe Left (PASS)]]</f>
        <v>1594</v>
      </c>
      <c r="S852">
        <v>46</v>
      </c>
      <c r="T852">
        <v>1548</v>
      </c>
      <c r="U852" t="s">
        <v>991</v>
      </c>
      <c r="V852" s="1">
        <v>44118</v>
      </c>
      <c r="W852" t="s">
        <v>12</v>
      </c>
      <c r="X852" t="s">
        <v>1295</v>
      </c>
      <c r="Y852" t="s">
        <v>108</v>
      </c>
      <c r="Z852">
        <v>30</v>
      </c>
      <c r="AA85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53" spans="1:27" x14ac:dyDescent="0.3">
      <c r="A853" t="s">
        <v>1077</v>
      </c>
      <c r="B853">
        <v>1597</v>
      </c>
      <c r="C853">
        <v>308</v>
      </c>
      <c r="D853">
        <f>IFERROR(tinder[[#This Row],[Tinder Opened]]/tinder[[#This Row],[Days on Tinder]],0)</f>
        <v>5.1850649350649354</v>
      </c>
      <c r="E853">
        <f>tinder[[#This Row],[Engagement]]/MAX(tinder[Engagement])</f>
        <v>2.6055602688768519E-2</v>
      </c>
      <c r="F85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53">
        <v>84</v>
      </c>
      <c r="H853">
        <f>IFERROR(tinder[[#This Row],[Conversations]]/tinder[[#This Row],[Tinder Opened]],0)</f>
        <v>5.2598622417031934E-2</v>
      </c>
      <c r="I853">
        <f>tinder[[#This Row],[Conversations]]/MAX(tinder[Conversations])</f>
        <v>6.6445182724252493E-3</v>
      </c>
      <c r="J853">
        <f>(tinder[[#This Row],[Norm Engagement]]*2)+(tinder[[#This Row],[Norm Swipes]]*1)+(tinder[[#This Row],[Norm Conversations]]*2)</f>
        <v>7.4570662838110147E-2</v>
      </c>
      <c r="K85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53">
        <v>29</v>
      </c>
      <c r="M853">
        <v>0</v>
      </c>
      <c r="N853">
        <v>113</v>
      </c>
      <c r="O853">
        <v>436</v>
      </c>
      <c r="P853">
        <v>339</v>
      </c>
      <c r="Q853">
        <f>tinder[[#This Row],[All Swipes]]/MAX(tinder[All Swipes])</f>
        <v>9.1704209157226057E-3</v>
      </c>
      <c r="R853">
        <f>tinder[[#This Row],[Swipe Right (LIKE)]]+tinder[[#This Row],[Swipe Left (PASS)]]</f>
        <v>7784</v>
      </c>
      <c r="S853">
        <v>4361</v>
      </c>
      <c r="T853">
        <v>3423</v>
      </c>
      <c r="U853" t="s">
        <v>8</v>
      </c>
      <c r="V853" s="1">
        <v>43839</v>
      </c>
      <c r="W853" t="s">
        <v>12</v>
      </c>
      <c r="X853" t="s">
        <v>1295</v>
      </c>
      <c r="Y853" t="s">
        <v>8</v>
      </c>
      <c r="Z853">
        <v>19</v>
      </c>
      <c r="AA85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54" spans="1:27" x14ac:dyDescent="0.3">
      <c r="A854" t="s">
        <v>1010</v>
      </c>
      <c r="B854">
        <v>5053</v>
      </c>
      <c r="C854">
        <v>975</v>
      </c>
      <c r="D854">
        <f>IFERROR(tinder[[#This Row],[Tinder Opened]]/tinder[[#This Row],[Days on Tinder]],0)</f>
        <v>5.1825641025641023</v>
      </c>
      <c r="E854">
        <f>tinder[[#This Row],[Engagement]]/MAX(tinder[Engagement])</f>
        <v>2.6043035691276896E-2</v>
      </c>
      <c r="F85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54">
        <v>54</v>
      </c>
      <c r="H854">
        <f>IFERROR(tinder[[#This Row],[Conversations]]/tinder[[#This Row],[Tinder Opened]],0)</f>
        <v>1.0686720759944587E-2</v>
      </c>
      <c r="I854">
        <f>tinder[[#This Row],[Conversations]]/MAX(tinder[Conversations])</f>
        <v>4.2714760322733747E-3</v>
      </c>
      <c r="J854">
        <f>(tinder[[#This Row],[Norm Engagement]]*2)+(tinder[[#This Row],[Norm Swipes]]*1)+(tinder[[#This Row],[Norm Conversations]]*2)</f>
        <v>0.17765556394586587</v>
      </c>
      <c r="K85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54">
        <v>14</v>
      </c>
      <c r="M854">
        <v>12</v>
      </c>
      <c r="N854">
        <v>662</v>
      </c>
      <c r="O854">
        <v>143</v>
      </c>
      <c r="P854">
        <v>173</v>
      </c>
      <c r="Q854">
        <f>tinder[[#This Row],[All Swipes]]/MAX(tinder[All Swipes])</f>
        <v>0.11702654049876533</v>
      </c>
      <c r="R854">
        <f>tinder[[#This Row],[Swipe Right (LIKE)]]+tinder[[#This Row],[Swipe Left (PASS)]]</f>
        <v>99334</v>
      </c>
      <c r="S854">
        <v>18947</v>
      </c>
      <c r="T854">
        <v>80387</v>
      </c>
      <c r="U854" t="s">
        <v>8</v>
      </c>
      <c r="V854" s="1">
        <v>42692</v>
      </c>
      <c r="W854" t="s">
        <v>7</v>
      </c>
      <c r="X854" t="s">
        <v>1295</v>
      </c>
      <c r="Y854" t="s">
        <v>8</v>
      </c>
      <c r="Z854">
        <v>18</v>
      </c>
      <c r="AA85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55" spans="1:27" x14ac:dyDescent="0.3">
      <c r="A855" t="s">
        <v>1125</v>
      </c>
      <c r="B855">
        <v>1677</v>
      </c>
      <c r="C855">
        <v>324</v>
      </c>
      <c r="D855">
        <f>IFERROR(tinder[[#This Row],[Tinder Opened]]/tinder[[#This Row],[Days on Tinder]],0)</f>
        <v>5.1759259259259256</v>
      </c>
      <c r="E855">
        <f>tinder[[#This Row],[Engagement]]/MAX(tinder[Engagement])</f>
        <v>2.6009678019728269E-2</v>
      </c>
      <c r="F85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55">
        <v>155</v>
      </c>
      <c r="H855">
        <f>IFERROR(tinder[[#This Row],[Conversations]]/tinder[[#This Row],[Tinder Opened]],0)</f>
        <v>9.2426952892069175E-2</v>
      </c>
      <c r="I855">
        <f>tinder[[#This Row],[Conversations]]/MAX(tinder[Conversations])</f>
        <v>1.2260718240784686E-2</v>
      </c>
      <c r="J855">
        <f>(tinder[[#This Row],[Norm Engagement]]*2)+(tinder[[#This Row],[Norm Swipes]]*1)+(tinder[[#This Row],[Norm Conversations]]*2)</f>
        <v>0.10726005323241684</v>
      </c>
      <c r="K85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55">
        <v>45</v>
      </c>
      <c r="M855">
        <v>23</v>
      </c>
      <c r="N855">
        <v>136</v>
      </c>
      <c r="O855">
        <v>1779</v>
      </c>
      <c r="P855">
        <v>1409</v>
      </c>
      <c r="Q855">
        <f>tinder[[#This Row],[All Swipes]]/MAX(tinder[All Swipes])</f>
        <v>3.0719260711390927E-2</v>
      </c>
      <c r="R855">
        <f>tinder[[#This Row],[Swipe Right (LIKE)]]+tinder[[#This Row],[Swipe Left (PASS)]]</f>
        <v>26075</v>
      </c>
      <c r="S855">
        <v>18964</v>
      </c>
      <c r="T855">
        <v>7111</v>
      </c>
      <c r="U855" t="s">
        <v>10</v>
      </c>
      <c r="V855" s="1">
        <v>43719</v>
      </c>
      <c r="W855" t="s">
        <v>12</v>
      </c>
      <c r="X855" t="s">
        <v>1295</v>
      </c>
      <c r="Y855" t="s">
        <v>1126</v>
      </c>
      <c r="Z855">
        <v>27</v>
      </c>
      <c r="AA85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56" spans="1:27" x14ac:dyDescent="0.3">
      <c r="A856" t="s">
        <v>1087</v>
      </c>
      <c r="B856">
        <v>2064</v>
      </c>
      <c r="C856">
        <v>400</v>
      </c>
      <c r="D856">
        <f>IFERROR(tinder[[#This Row],[Tinder Opened]]/tinder[[#This Row],[Days on Tinder]],0)</f>
        <v>5.16</v>
      </c>
      <c r="E856">
        <f>tinder[[#This Row],[Engagement]]/MAX(tinder[Engagement])</f>
        <v>2.592964824120603E-2</v>
      </c>
      <c r="F85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56">
        <v>237</v>
      </c>
      <c r="H856">
        <f>IFERROR(tinder[[#This Row],[Conversations]]/tinder[[#This Row],[Tinder Opened]],0)</f>
        <v>0.11482558139534883</v>
      </c>
      <c r="I856">
        <f>tinder[[#This Row],[Conversations]]/MAX(tinder[Conversations])</f>
        <v>1.8747033697199812E-2</v>
      </c>
      <c r="J856">
        <f>(tinder[[#This Row],[Norm Engagement]]*2)+(tinder[[#This Row],[Norm Swipes]]*1)+(tinder[[#This Row],[Norm Conversations]]*2)</f>
        <v>0.10090710461685429</v>
      </c>
      <c r="K85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56">
        <v>65</v>
      </c>
      <c r="M856">
        <v>26</v>
      </c>
      <c r="N856">
        <v>565</v>
      </c>
      <c r="O856">
        <v>1082</v>
      </c>
      <c r="P856">
        <v>1328</v>
      </c>
      <c r="Q856">
        <f>tinder[[#This Row],[All Swipes]]/MAX(tinder[All Swipes])</f>
        <v>1.15537407400426E-2</v>
      </c>
      <c r="R856">
        <f>tinder[[#This Row],[Swipe Right (LIKE)]]+tinder[[#This Row],[Swipe Left (PASS)]]</f>
        <v>9807</v>
      </c>
      <c r="S856">
        <v>929</v>
      </c>
      <c r="T856">
        <v>8878</v>
      </c>
      <c r="U856" t="s">
        <v>132</v>
      </c>
      <c r="V856" s="1">
        <v>41815</v>
      </c>
      <c r="W856" t="s">
        <v>7</v>
      </c>
      <c r="X856" t="s">
        <v>1296</v>
      </c>
      <c r="Y856" t="s">
        <v>8</v>
      </c>
      <c r="Z856">
        <v>17</v>
      </c>
      <c r="AA85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57" spans="1:27" x14ac:dyDescent="0.3">
      <c r="A857" t="s">
        <v>1059</v>
      </c>
      <c r="B857">
        <v>3617</v>
      </c>
      <c r="C857">
        <v>701</v>
      </c>
      <c r="D857">
        <f>IFERROR(tinder[[#This Row],[Tinder Opened]]/tinder[[#This Row],[Days on Tinder]],0)</f>
        <v>5.1597717546362336</v>
      </c>
      <c r="E857">
        <f>tinder[[#This Row],[Engagement]]/MAX(tinder[Engagement])</f>
        <v>2.5928501279579064E-2</v>
      </c>
      <c r="F85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57">
        <v>268</v>
      </c>
      <c r="H857">
        <f>IFERROR(tinder[[#This Row],[Conversations]]/tinder[[#This Row],[Tinder Opened]],0)</f>
        <v>7.4094553497373511E-2</v>
      </c>
      <c r="I857">
        <f>tinder[[#This Row],[Conversations]]/MAX(tinder[Conversations])</f>
        <v>2.1199177345356746E-2</v>
      </c>
      <c r="J857">
        <f>(tinder[[#This Row],[Norm Engagement]]*2)+(tinder[[#This Row],[Norm Swipes]]*1)+(tinder[[#This Row],[Norm Conversations]]*2)</f>
        <v>0.1451650950493476</v>
      </c>
      <c r="K85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57">
        <v>119</v>
      </c>
      <c r="M857">
        <v>8</v>
      </c>
      <c r="N857">
        <v>339</v>
      </c>
      <c r="O857">
        <v>934</v>
      </c>
      <c r="P857">
        <v>737</v>
      </c>
      <c r="Q857">
        <f>tinder[[#This Row],[All Swipes]]/MAX(tinder[All Swipes])</f>
        <v>5.0909737799475975E-2</v>
      </c>
      <c r="R857">
        <f>tinder[[#This Row],[Swipe Right (LIKE)]]+tinder[[#This Row],[Swipe Left (PASS)]]</f>
        <v>43213</v>
      </c>
      <c r="S857">
        <v>10991</v>
      </c>
      <c r="T857">
        <v>32222</v>
      </c>
      <c r="U857" t="s">
        <v>10</v>
      </c>
      <c r="V857" s="1">
        <v>41835</v>
      </c>
      <c r="W857" t="s">
        <v>7</v>
      </c>
      <c r="X857" t="s">
        <v>1295</v>
      </c>
      <c r="Y857" t="s">
        <v>8</v>
      </c>
      <c r="Z857">
        <v>22</v>
      </c>
      <c r="AA85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58" spans="1:27" x14ac:dyDescent="0.3">
      <c r="A858" t="s">
        <v>446</v>
      </c>
      <c r="B858">
        <v>1856</v>
      </c>
      <c r="C858">
        <v>360</v>
      </c>
      <c r="D858">
        <f>IFERROR(tinder[[#This Row],[Tinder Opened]]/tinder[[#This Row],[Days on Tinder]],0)</f>
        <v>5.1555555555555559</v>
      </c>
      <c r="E858">
        <f>tinder[[#This Row],[Engagement]]/MAX(tinder[Engagement])</f>
        <v>2.5907314349525406E-2</v>
      </c>
      <c r="F85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58">
        <v>114</v>
      </c>
      <c r="H858">
        <f>IFERROR(tinder[[#This Row],[Conversations]]/tinder[[#This Row],[Tinder Opened]],0)</f>
        <v>6.1422413793103446E-2</v>
      </c>
      <c r="I858">
        <f>tinder[[#This Row],[Conversations]]/MAX(tinder[Conversations])</f>
        <v>9.017560512577124E-3</v>
      </c>
      <c r="J858">
        <f>(tinder[[#This Row],[Norm Engagement]]*2)+(tinder[[#This Row],[Norm Swipes]]*1)+(tinder[[#This Row],[Norm Conversations]]*2)</f>
        <v>0.10103200830557016</v>
      </c>
      <c r="K85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58">
        <v>18</v>
      </c>
      <c r="M858">
        <v>4</v>
      </c>
      <c r="N858">
        <v>503</v>
      </c>
      <c r="O858">
        <v>1316</v>
      </c>
      <c r="P858">
        <v>1305</v>
      </c>
      <c r="Q858">
        <f>tinder[[#This Row],[All Swipes]]/MAX(tinder[All Swipes])</f>
        <v>3.1182258581365103E-2</v>
      </c>
      <c r="R858">
        <f>tinder[[#This Row],[Swipe Right (LIKE)]]+tinder[[#This Row],[Swipe Left (PASS)]]</f>
        <v>26468</v>
      </c>
      <c r="S858">
        <v>20914</v>
      </c>
      <c r="T858">
        <v>5554</v>
      </c>
      <c r="U858" t="s">
        <v>85</v>
      </c>
      <c r="V858" s="1">
        <v>43815</v>
      </c>
      <c r="W858" t="s">
        <v>12</v>
      </c>
      <c r="X858" t="s">
        <v>1295</v>
      </c>
      <c r="Y858" t="s">
        <v>8</v>
      </c>
      <c r="Z858">
        <v>19</v>
      </c>
      <c r="AA85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59" spans="1:27" x14ac:dyDescent="0.3">
      <c r="A859" t="s">
        <v>920</v>
      </c>
      <c r="B859">
        <v>659</v>
      </c>
      <c r="C859">
        <v>129</v>
      </c>
      <c r="D859">
        <f>IFERROR(tinder[[#This Row],[Tinder Opened]]/tinder[[#This Row],[Days on Tinder]],0)</f>
        <v>5.1085271317829459</v>
      </c>
      <c r="E859">
        <f>tinder[[#This Row],[Engagement]]/MAX(tinder[Engagement])</f>
        <v>2.5670990611974604E-2</v>
      </c>
      <c r="F85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59">
        <v>5</v>
      </c>
      <c r="H859">
        <f>IFERROR(tinder[[#This Row],[Conversations]]/tinder[[#This Row],[Tinder Opened]],0)</f>
        <v>7.5872534142640367E-3</v>
      </c>
      <c r="I859">
        <f>tinder[[#This Row],[Conversations]]/MAX(tinder[Conversations])</f>
        <v>3.9550704002531246E-4</v>
      </c>
      <c r="J859">
        <f>(tinder[[#This Row],[Norm Engagement]]*2)+(tinder[[#This Row],[Norm Swipes]]*1)+(tinder[[#This Row],[Norm Conversations]]*2)</f>
        <v>7.9916401837335685E-2</v>
      </c>
      <c r="K85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59">
        <v>1</v>
      </c>
      <c r="M859">
        <v>0</v>
      </c>
      <c r="N859">
        <v>6</v>
      </c>
      <c r="O859">
        <v>117</v>
      </c>
      <c r="P859">
        <v>131</v>
      </c>
      <c r="Q859">
        <f>tinder[[#This Row],[All Swipes]]/MAX(tinder[All Swipes])</f>
        <v>2.7783406533335848E-2</v>
      </c>
      <c r="R859">
        <f>tinder[[#This Row],[Swipe Right (LIKE)]]+tinder[[#This Row],[Swipe Left (PASS)]]</f>
        <v>23583</v>
      </c>
      <c r="S859">
        <v>410</v>
      </c>
      <c r="T859">
        <v>23173</v>
      </c>
      <c r="U859" t="s">
        <v>8</v>
      </c>
      <c r="V859" s="1">
        <v>43320</v>
      </c>
      <c r="W859" t="s">
        <v>12</v>
      </c>
      <c r="X859" t="s">
        <v>1295</v>
      </c>
      <c r="Y859" t="s">
        <v>8</v>
      </c>
      <c r="Z859">
        <v>39</v>
      </c>
      <c r="AA859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860" spans="1:27" x14ac:dyDescent="0.3">
      <c r="A860" t="s">
        <v>113</v>
      </c>
      <c r="B860">
        <v>1073</v>
      </c>
      <c r="C860">
        <v>212</v>
      </c>
      <c r="D860">
        <f>IFERROR(tinder[[#This Row],[Tinder Opened]]/tinder[[#This Row],[Days on Tinder]],0)</f>
        <v>5.0613207547169807</v>
      </c>
      <c r="E860">
        <f>tinder[[#This Row],[Engagement]]/MAX(tinder[Engagement])</f>
        <v>2.5433772636768746E-2</v>
      </c>
      <c r="F86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60">
        <v>5</v>
      </c>
      <c r="H860">
        <f>IFERROR(tinder[[#This Row],[Conversations]]/tinder[[#This Row],[Tinder Opened]],0)</f>
        <v>4.6598322460391422E-3</v>
      </c>
      <c r="I860">
        <f>tinder[[#This Row],[Conversations]]/MAX(tinder[Conversations])</f>
        <v>3.9550704002531246E-4</v>
      </c>
      <c r="J860">
        <f>(tinder[[#This Row],[Norm Engagement]]*2)+(tinder[[#This Row],[Norm Swipes]]*1)+(tinder[[#This Row],[Norm Conversations]]*2)</f>
        <v>5.905945660340433E-2</v>
      </c>
      <c r="K86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60">
        <v>2</v>
      </c>
      <c r="M860">
        <v>0</v>
      </c>
      <c r="N860">
        <v>12</v>
      </c>
      <c r="O860">
        <v>14</v>
      </c>
      <c r="P860">
        <v>6</v>
      </c>
      <c r="Q860">
        <f>tinder[[#This Row],[All Swipes]]/MAX(tinder[All Swipes])</f>
        <v>7.4008972498162146E-3</v>
      </c>
      <c r="R860">
        <f>tinder[[#This Row],[Swipe Right (LIKE)]]+tinder[[#This Row],[Swipe Left (PASS)]]</f>
        <v>6282</v>
      </c>
      <c r="S860">
        <v>2258</v>
      </c>
      <c r="T860">
        <v>4024</v>
      </c>
      <c r="U860" t="s">
        <v>75</v>
      </c>
      <c r="V860" s="1">
        <v>41812</v>
      </c>
      <c r="W860" t="s">
        <v>7</v>
      </c>
      <c r="X860" t="s">
        <v>1295</v>
      </c>
      <c r="Y860" t="s">
        <v>8</v>
      </c>
      <c r="Z860">
        <v>20</v>
      </c>
      <c r="AA86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61" spans="1:27" x14ac:dyDescent="0.3">
      <c r="A861" t="s">
        <v>131</v>
      </c>
      <c r="B861">
        <v>558</v>
      </c>
      <c r="C861">
        <v>111</v>
      </c>
      <c r="D861">
        <f>IFERROR(tinder[[#This Row],[Tinder Opened]]/tinder[[#This Row],[Days on Tinder]],0)</f>
        <v>5.0270270270270272</v>
      </c>
      <c r="E861">
        <f>tinder[[#This Row],[Engagement]]/MAX(tinder[Engagement])</f>
        <v>2.5261442346869483E-2</v>
      </c>
      <c r="F86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61">
        <v>31</v>
      </c>
      <c r="H861">
        <f>IFERROR(tinder[[#This Row],[Conversations]]/tinder[[#This Row],[Tinder Opened]],0)</f>
        <v>5.5555555555555552E-2</v>
      </c>
      <c r="I861">
        <f>tinder[[#This Row],[Conversations]]/MAX(tinder[Conversations])</f>
        <v>2.4521436481569374E-3</v>
      </c>
      <c r="J861">
        <f>(tinder[[#This Row],[Norm Engagement]]*2)+(tinder[[#This Row],[Norm Swipes]]*1)+(tinder[[#This Row],[Norm Conversations]]*2)</f>
        <v>7.0494041606082691E-2</v>
      </c>
      <c r="K86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61">
        <v>10</v>
      </c>
      <c r="M861">
        <v>13</v>
      </c>
      <c r="N861">
        <v>167</v>
      </c>
      <c r="O861">
        <v>48</v>
      </c>
      <c r="P861">
        <v>73</v>
      </c>
      <c r="Q861">
        <f>tinder[[#This Row],[All Swipes]]/MAX(tinder[All Swipes])</f>
        <v>1.5066869616029857E-2</v>
      </c>
      <c r="R861">
        <f>tinder[[#This Row],[Swipe Right (LIKE)]]+tinder[[#This Row],[Swipe Left (PASS)]]</f>
        <v>12789</v>
      </c>
      <c r="S861">
        <v>10443</v>
      </c>
      <c r="T861">
        <v>2346</v>
      </c>
      <c r="U861" t="s">
        <v>132</v>
      </c>
      <c r="V861" s="1">
        <v>43625</v>
      </c>
      <c r="W861" t="s">
        <v>12</v>
      </c>
      <c r="X861" t="s">
        <v>1295</v>
      </c>
      <c r="Y861" t="s">
        <v>8</v>
      </c>
      <c r="Z861">
        <v>22</v>
      </c>
      <c r="AA86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62" spans="1:27" x14ac:dyDescent="0.3">
      <c r="A862" t="s">
        <v>1001</v>
      </c>
      <c r="B862">
        <v>5</v>
      </c>
      <c r="C862">
        <v>1</v>
      </c>
      <c r="D862">
        <f>IFERROR(tinder[[#This Row],[Tinder Opened]]/tinder[[#This Row],[Days on Tinder]],0)</f>
        <v>5</v>
      </c>
      <c r="E862">
        <f>tinder[[#This Row],[Engagement]]/MAX(tinder[Engagement])</f>
        <v>2.5125628140703519E-2</v>
      </c>
      <c r="F86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62">
        <v>40</v>
      </c>
      <c r="H862">
        <f>IFERROR(tinder[[#This Row],[Conversations]]/tinder[[#This Row],[Tinder Opened]],0)</f>
        <v>8</v>
      </c>
      <c r="I862">
        <f>tinder[[#This Row],[Conversations]]/MAX(tinder[Conversations])</f>
        <v>3.1640563202024997E-3</v>
      </c>
      <c r="J862">
        <f>(tinder[[#This Row],[Norm Engagement]]*2)+(tinder[[#This Row],[Norm Swipes]]*1)+(tinder[[#This Row],[Norm Conversations]]*2)</f>
        <v>5.6579368921812034E-2</v>
      </c>
      <c r="K86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62">
        <v>25</v>
      </c>
      <c r="M862">
        <v>2</v>
      </c>
      <c r="N862">
        <v>0</v>
      </c>
      <c r="O862">
        <v>182</v>
      </c>
      <c r="P862">
        <v>139</v>
      </c>
      <c r="Q862">
        <f>tinder[[#This Row],[All Swipes]]/MAX(tinder[All Swipes])</f>
        <v>0</v>
      </c>
      <c r="R862">
        <f>tinder[[#This Row],[Swipe Right (LIKE)]]+tinder[[#This Row],[Swipe Left (PASS)]]</f>
        <v>0</v>
      </c>
      <c r="S862">
        <v>0</v>
      </c>
      <c r="T862">
        <v>0</v>
      </c>
      <c r="U862" t="s">
        <v>1002</v>
      </c>
      <c r="V862" s="1">
        <v>44299</v>
      </c>
      <c r="W862" t="s">
        <v>12</v>
      </c>
      <c r="X862" t="s">
        <v>1295</v>
      </c>
      <c r="Y862" t="s">
        <v>291</v>
      </c>
      <c r="Z862">
        <v>30</v>
      </c>
      <c r="AA86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63" spans="1:27" x14ac:dyDescent="0.3">
      <c r="A863" t="s">
        <v>152</v>
      </c>
      <c r="B863">
        <v>877</v>
      </c>
      <c r="C863">
        <v>176</v>
      </c>
      <c r="D863">
        <f>IFERROR(tinder[[#This Row],[Tinder Opened]]/tinder[[#This Row],[Days on Tinder]],0)</f>
        <v>4.9829545454545459</v>
      </c>
      <c r="E863">
        <f>tinder[[#This Row],[Engagement]]/MAX(tinder[Engagement])</f>
        <v>2.503997259022385E-2</v>
      </c>
      <c r="F86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63">
        <v>4</v>
      </c>
      <c r="H863">
        <f>IFERROR(tinder[[#This Row],[Conversations]]/tinder[[#This Row],[Tinder Opened]],0)</f>
        <v>4.5610034207525657E-3</v>
      </c>
      <c r="I863">
        <f>tinder[[#This Row],[Conversations]]/MAX(tinder[Conversations])</f>
        <v>3.1640563202024995E-4</v>
      </c>
      <c r="J863">
        <f>(tinder[[#This Row],[Norm Engagement]]*2)+(tinder[[#This Row],[Norm Swipes]]*1)+(tinder[[#This Row],[Norm Conversations]]*2)</f>
        <v>6.7639864321813792E-2</v>
      </c>
      <c r="K86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63">
        <v>3</v>
      </c>
      <c r="M863">
        <v>0</v>
      </c>
      <c r="N863">
        <v>16</v>
      </c>
      <c r="O863">
        <v>7</v>
      </c>
      <c r="P863">
        <v>4</v>
      </c>
      <c r="Q863">
        <f>tinder[[#This Row],[All Swipes]]/MAX(tinder[All Swipes])</f>
        <v>1.6927107877325591E-2</v>
      </c>
      <c r="R863">
        <f>tinder[[#This Row],[Swipe Right (LIKE)]]+tinder[[#This Row],[Swipe Left (PASS)]]</f>
        <v>14368</v>
      </c>
      <c r="S863">
        <v>6026</v>
      </c>
      <c r="T863">
        <v>8342</v>
      </c>
      <c r="U863" t="s">
        <v>61</v>
      </c>
      <c r="V863" s="1">
        <v>43890</v>
      </c>
      <c r="W863" t="s">
        <v>12</v>
      </c>
      <c r="X863" t="s">
        <v>1295</v>
      </c>
      <c r="Y863" t="s">
        <v>8</v>
      </c>
      <c r="Z863">
        <v>23</v>
      </c>
      <c r="AA86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64" spans="1:27" x14ac:dyDescent="0.3">
      <c r="A864" t="s">
        <v>969</v>
      </c>
      <c r="B864">
        <v>2353</v>
      </c>
      <c r="C864">
        <v>473</v>
      </c>
      <c r="D864">
        <f>IFERROR(tinder[[#This Row],[Tinder Opened]]/tinder[[#This Row],[Days on Tinder]],0)</f>
        <v>4.9746300211416488</v>
      </c>
      <c r="E864">
        <f>tinder[[#This Row],[Engagement]]/MAX(tinder[Engagement])</f>
        <v>2.4998140809757027E-2</v>
      </c>
      <c r="F86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64">
        <v>35</v>
      </c>
      <c r="H864">
        <f>IFERROR(tinder[[#This Row],[Conversations]]/tinder[[#This Row],[Tinder Opened]],0)</f>
        <v>1.4874628134296642E-2</v>
      </c>
      <c r="I864">
        <f>tinder[[#This Row],[Conversations]]/MAX(tinder[Conversations])</f>
        <v>2.7685492801771874E-3</v>
      </c>
      <c r="J864">
        <f>(tinder[[#This Row],[Norm Engagement]]*2)+(tinder[[#This Row],[Norm Swipes]]*1)+(tinder[[#This Row],[Norm Conversations]]*2)</f>
        <v>8.51228318395921E-2</v>
      </c>
      <c r="K86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64">
        <v>8</v>
      </c>
      <c r="M864">
        <v>3</v>
      </c>
      <c r="N864">
        <v>232</v>
      </c>
      <c r="O864">
        <v>200</v>
      </c>
      <c r="P864">
        <v>270</v>
      </c>
      <c r="Q864">
        <f>tinder[[#This Row],[All Swipes]]/MAX(tinder[All Swipes])</f>
        <v>2.9589451659723664E-2</v>
      </c>
      <c r="R864">
        <f>tinder[[#This Row],[Swipe Right (LIKE)]]+tinder[[#This Row],[Swipe Left (PASS)]]</f>
        <v>25116</v>
      </c>
      <c r="S864">
        <v>14302</v>
      </c>
      <c r="T864">
        <v>10814</v>
      </c>
      <c r="U864" t="s">
        <v>75</v>
      </c>
      <c r="V864" s="1">
        <v>43611</v>
      </c>
      <c r="W864" t="s">
        <v>12</v>
      </c>
      <c r="X864" t="s">
        <v>1295</v>
      </c>
      <c r="Y864" t="s">
        <v>8</v>
      </c>
      <c r="Z864">
        <v>20</v>
      </c>
      <c r="AA86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65" spans="1:27" x14ac:dyDescent="0.3">
      <c r="A865" t="s">
        <v>280</v>
      </c>
      <c r="B865">
        <v>4219</v>
      </c>
      <c r="C865">
        <v>858</v>
      </c>
      <c r="D865">
        <f>IFERROR(tinder[[#This Row],[Tinder Opened]]/tinder[[#This Row],[Days on Tinder]],0)</f>
        <v>4.9172494172494172</v>
      </c>
      <c r="E865">
        <f>tinder[[#This Row],[Engagement]]/MAX(tinder[Engagement])</f>
        <v>2.4709796066579987E-2</v>
      </c>
      <c r="F86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65">
        <v>250</v>
      </c>
      <c r="H865">
        <f>IFERROR(tinder[[#This Row],[Conversations]]/tinder[[#This Row],[Tinder Opened]],0)</f>
        <v>5.9255747807537333E-2</v>
      </c>
      <c r="I865">
        <f>tinder[[#This Row],[Conversations]]/MAX(tinder[Conversations])</f>
        <v>1.9775352001265623E-2</v>
      </c>
      <c r="J865">
        <f>(tinder[[#This Row],[Norm Engagement]]*2)+(tinder[[#This Row],[Norm Swipes]]*1)+(tinder[[#This Row],[Norm Conversations]]*2)</f>
        <v>0.13137171175462395</v>
      </c>
      <c r="K86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65">
        <v>86</v>
      </c>
      <c r="M865">
        <v>0</v>
      </c>
      <c r="N865">
        <v>268</v>
      </c>
      <c r="O865">
        <v>4303</v>
      </c>
      <c r="P865">
        <v>3523</v>
      </c>
      <c r="Q865">
        <f>tinder[[#This Row],[All Swipes]]/MAX(tinder[All Swipes])</f>
        <v>4.2401415618932722E-2</v>
      </c>
      <c r="R865">
        <f>tinder[[#This Row],[Swipe Right (LIKE)]]+tinder[[#This Row],[Swipe Left (PASS)]]</f>
        <v>35991</v>
      </c>
      <c r="S865">
        <v>28238</v>
      </c>
      <c r="T865">
        <v>7753</v>
      </c>
      <c r="U865" t="s">
        <v>27</v>
      </c>
      <c r="V865" s="1">
        <v>42887</v>
      </c>
      <c r="W865" t="s">
        <v>7</v>
      </c>
      <c r="X865" t="s">
        <v>1295</v>
      </c>
      <c r="Y865" t="s">
        <v>108</v>
      </c>
      <c r="Z865">
        <v>20</v>
      </c>
      <c r="AA86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66" spans="1:27" x14ac:dyDescent="0.3">
      <c r="A866" t="s">
        <v>1133</v>
      </c>
      <c r="B866">
        <v>644</v>
      </c>
      <c r="C866">
        <v>131</v>
      </c>
      <c r="D866">
        <f>IFERROR(tinder[[#This Row],[Tinder Opened]]/tinder[[#This Row],[Days on Tinder]],0)</f>
        <v>4.9160305343511448</v>
      </c>
      <c r="E866">
        <f>tinder[[#This Row],[Engagement]]/MAX(tinder[Engagement])</f>
        <v>2.4703671026890174E-2</v>
      </c>
      <c r="F86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66">
        <v>44</v>
      </c>
      <c r="H866">
        <f>IFERROR(tinder[[#This Row],[Conversations]]/tinder[[#This Row],[Tinder Opened]],0)</f>
        <v>6.8322981366459631E-2</v>
      </c>
      <c r="I866">
        <f>tinder[[#This Row],[Conversations]]/MAX(tinder[Conversations])</f>
        <v>3.4804619522227497E-3</v>
      </c>
      <c r="J866">
        <f>(tinder[[#This Row],[Norm Engagement]]*2)+(tinder[[#This Row],[Norm Swipes]]*1)+(tinder[[#This Row],[Norm Conversations]]*2)</f>
        <v>6.7496708400404129E-2</v>
      </c>
      <c r="K86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66">
        <v>15</v>
      </c>
      <c r="M866">
        <v>5</v>
      </c>
      <c r="N866">
        <v>160</v>
      </c>
      <c r="O866">
        <v>250</v>
      </c>
      <c r="P866">
        <v>349</v>
      </c>
      <c r="Q866">
        <f>tinder[[#This Row],[All Swipes]]/MAX(tinder[All Swipes])</f>
        <v>1.1128442442178281E-2</v>
      </c>
      <c r="R866">
        <f>tinder[[#This Row],[Swipe Right (LIKE)]]+tinder[[#This Row],[Swipe Left (PASS)]]</f>
        <v>9446</v>
      </c>
      <c r="S866">
        <v>732</v>
      </c>
      <c r="T866">
        <v>8714</v>
      </c>
      <c r="U866" t="s">
        <v>8</v>
      </c>
      <c r="V866" s="1">
        <v>43889</v>
      </c>
      <c r="W866" t="s">
        <v>12</v>
      </c>
      <c r="X866" t="s">
        <v>1296</v>
      </c>
      <c r="Y866" t="s">
        <v>1134</v>
      </c>
      <c r="Z866">
        <v>26</v>
      </c>
      <c r="AA86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67" spans="1:27" x14ac:dyDescent="0.3">
      <c r="A867" t="s">
        <v>1128</v>
      </c>
      <c r="B867">
        <v>377</v>
      </c>
      <c r="C867">
        <v>77</v>
      </c>
      <c r="D867">
        <f>IFERROR(tinder[[#This Row],[Tinder Opened]]/tinder[[#This Row],[Days on Tinder]],0)</f>
        <v>4.8961038961038961</v>
      </c>
      <c r="E867">
        <f>tinder[[#This Row],[Engagement]]/MAX(tinder[Engagement])</f>
        <v>2.4603537166351237E-2</v>
      </c>
      <c r="F86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67">
        <v>11</v>
      </c>
      <c r="H867">
        <f>IFERROR(tinder[[#This Row],[Conversations]]/tinder[[#This Row],[Tinder Opened]],0)</f>
        <v>2.9177718832891247E-2</v>
      </c>
      <c r="I867">
        <f>tinder[[#This Row],[Conversations]]/MAX(tinder[Conversations])</f>
        <v>8.7011548805568742E-4</v>
      </c>
      <c r="J867">
        <f>(tinder[[#This Row],[Norm Engagement]]*2)+(tinder[[#This Row],[Norm Swipes]]*1)+(tinder[[#This Row],[Norm Conversations]]*2)</f>
        <v>5.3473176640174237E-2</v>
      </c>
      <c r="K86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67">
        <v>9</v>
      </c>
      <c r="M867">
        <v>0</v>
      </c>
      <c r="N867">
        <v>36</v>
      </c>
      <c r="O867">
        <v>30</v>
      </c>
      <c r="P867">
        <v>19</v>
      </c>
      <c r="Q867">
        <f>tinder[[#This Row],[All Swipes]]/MAX(tinder[All Swipes])</f>
        <v>2.5258713313603891E-3</v>
      </c>
      <c r="R867">
        <f>tinder[[#This Row],[Swipe Right (LIKE)]]+tinder[[#This Row],[Swipe Left (PASS)]]</f>
        <v>2144</v>
      </c>
      <c r="S867">
        <v>1869</v>
      </c>
      <c r="T867">
        <v>275</v>
      </c>
      <c r="U867" t="s">
        <v>8</v>
      </c>
      <c r="V867" s="1">
        <v>43934</v>
      </c>
      <c r="W867" t="s">
        <v>12</v>
      </c>
      <c r="X867" t="s">
        <v>1295</v>
      </c>
      <c r="Y867" t="s">
        <v>8</v>
      </c>
      <c r="Z867">
        <v>18</v>
      </c>
      <c r="AA867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68" spans="1:27" x14ac:dyDescent="0.3">
      <c r="A868" t="s">
        <v>886</v>
      </c>
      <c r="B868">
        <v>6440</v>
      </c>
      <c r="C868">
        <v>1332</v>
      </c>
      <c r="D868">
        <f>IFERROR(tinder[[#This Row],[Tinder Opened]]/tinder[[#This Row],[Days on Tinder]],0)</f>
        <v>4.8348348348348349</v>
      </c>
      <c r="E868">
        <f>tinder[[#This Row],[Engagement]]/MAX(tinder[Engagement])</f>
        <v>2.4295652436355956E-2</v>
      </c>
      <c r="F86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68">
        <v>1177</v>
      </c>
      <c r="H868">
        <f>IFERROR(tinder[[#This Row],[Conversations]]/tinder[[#This Row],[Tinder Opened]],0)</f>
        <v>0.18276397515527951</v>
      </c>
      <c r="I868">
        <f>tinder[[#This Row],[Conversations]]/MAX(tinder[Conversations])</f>
        <v>9.3102357221958545E-2</v>
      </c>
      <c r="J868">
        <f>(tinder[[#This Row],[Norm Engagement]]*2)+(tinder[[#This Row],[Norm Swipes]]*1)+(tinder[[#This Row],[Norm Conversations]]*2)</f>
        <v>0.35010605117276744</v>
      </c>
      <c r="K86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68">
        <v>496</v>
      </c>
      <c r="M868">
        <v>261</v>
      </c>
      <c r="N868">
        <v>5004</v>
      </c>
      <c r="O868">
        <v>3094</v>
      </c>
      <c r="P868">
        <v>3624</v>
      </c>
      <c r="Q868">
        <f>tinder[[#This Row],[All Swipes]]/MAX(tinder[All Swipes])</f>
        <v>0.11531003185613843</v>
      </c>
      <c r="R868">
        <f>tinder[[#This Row],[Swipe Right (LIKE)]]+tinder[[#This Row],[Swipe Left (PASS)]]</f>
        <v>97877</v>
      </c>
      <c r="S868">
        <v>47540</v>
      </c>
      <c r="T868">
        <v>50337</v>
      </c>
      <c r="U868" t="s">
        <v>8</v>
      </c>
      <c r="V868" s="1">
        <v>41405</v>
      </c>
      <c r="W868" t="s">
        <v>7</v>
      </c>
      <c r="X868" t="s">
        <v>1295</v>
      </c>
      <c r="Y868" t="s">
        <v>8</v>
      </c>
      <c r="Z868">
        <v>20</v>
      </c>
      <c r="AA86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69" spans="1:27" x14ac:dyDescent="0.3">
      <c r="A869" t="s">
        <v>1228</v>
      </c>
      <c r="B869">
        <v>1900</v>
      </c>
      <c r="C869">
        <v>393</v>
      </c>
      <c r="D869">
        <f>IFERROR(tinder[[#This Row],[Tinder Opened]]/tinder[[#This Row],[Days on Tinder]],0)</f>
        <v>4.8346055979643765</v>
      </c>
      <c r="E869">
        <f>tinder[[#This Row],[Engagement]]/MAX(tinder[Engagement])</f>
        <v>2.4294500492283298E-2</v>
      </c>
      <c r="F86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69">
        <v>3</v>
      </c>
      <c r="H869">
        <f>IFERROR(tinder[[#This Row],[Conversations]]/tinder[[#This Row],[Tinder Opened]],0)</f>
        <v>1.5789473684210526E-3</v>
      </c>
      <c r="I869">
        <f>tinder[[#This Row],[Conversations]]/MAX(tinder[Conversations])</f>
        <v>2.3730422401518748E-4</v>
      </c>
      <c r="J869">
        <f>(tinder[[#This Row],[Norm Engagement]]*2)+(tinder[[#This Row],[Norm Swipes]]*1)+(tinder[[#This Row],[Norm Conversations]]*2)</f>
        <v>6.6730571412578502E-2</v>
      </c>
      <c r="K86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69">
        <v>0</v>
      </c>
      <c r="M869">
        <v>0</v>
      </c>
      <c r="N869">
        <v>5</v>
      </c>
      <c r="O869">
        <v>23</v>
      </c>
      <c r="P869">
        <v>17</v>
      </c>
      <c r="Q869">
        <f>tinder[[#This Row],[All Swipes]]/MAX(tinder[All Swipes])</f>
        <v>1.7666961979981528E-2</v>
      </c>
      <c r="R869">
        <f>tinder[[#This Row],[Swipe Right (LIKE)]]+tinder[[#This Row],[Swipe Left (PASS)]]</f>
        <v>14996</v>
      </c>
      <c r="S869">
        <v>225</v>
      </c>
      <c r="T869">
        <v>14771</v>
      </c>
      <c r="U869" t="s">
        <v>122</v>
      </c>
      <c r="V869" s="1">
        <v>43825</v>
      </c>
      <c r="W869" t="s">
        <v>12</v>
      </c>
      <c r="X869" t="s">
        <v>1295</v>
      </c>
      <c r="Y869" t="s">
        <v>8</v>
      </c>
      <c r="Z869">
        <v>22</v>
      </c>
      <c r="AA86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70" spans="1:27" x14ac:dyDescent="0.3">
      <c r="A870" t="s">
        <v>282</v>
      </c>
      <c r="B870">
        <v>2390</v>
      </c>
      <c r="C870">
        <v>496</v>
      </c>
      <c r="D870">
        <f>IFERROR(tinder[[#This Row],[Tinder Opened]]/tinder[[#This Row],[Days on Tinder]],0)</f>
        <v>4.818548387096774</v>
      </c>
      <c r="E870">
        <f>tinder[[#This Row],[Engagement]]/MAX(tinder[Engagement])</f>
        <v>2.4213810990436051E-2</v>
      </c>
      <c r="F87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70">
        <v>174</v>
      </c>
      <c r="H870">
        <f>IFERROR(tinder[[#This Row],[Conversations]]/tinder[[#This Row],[Tinder Opened]],0)</f>
        <v>7.2803347280334732E-2</v>
      </c>
      <c r="I870">
        <f>tinder[[#This Row],[Conversations]]/MAX(tinder[Conversations])</f>
        <v>1.3763644992880873E-2</v>
      </c>
      <c r="J870">
        <f>(tinder[[#This Row],[Norm Engagement]]*2)+(tinder[[#This Row],[Norm Swipes]]*1)+(tinder[[#This Row],[Norm Conversations]]*2)</f>
        <v>0.19673373800195837</v>
      </c>
      <c r="K87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870">
        <v>77</v>
      </c>
      <c r="M870">
        <v>4</v>
      </c>
      <c r="N870">
        <v>274</v>
      </c>
      <c r="O870">
        <v>1179</v>
      </c>
      <c r="P870">
        <v>1382</v>
      </c>
      <c r="Q870">
        <f>tinder[[#This Row],[All Swipes]]/MAX(tinder[All Swipes])</f>
        <v>0.1207788260353245</v>
      </c>
      <c r="R870">
        <f>tinder[[#This Row],[Swipe Right (LIKE)]]+tinder[[#This Row],[Swipe Left (PASS)]]</f>
        <v>102519</v>
      </c>
      <c r="S870">
        <v>874</v>
      </c>
      <c r="T870">
        <v>101645</v>
      </c>
      <c r="U870" t="s">
        <v>14</v>
      </c>
      <c r="V870" s="1">
        <v>42886</v>
      </c>
      <c r="W870" t="s">
        <v>7</v>
      </c>
      <c r="X870" t="s">
        <v>1296</v>
      </c>
      <c r="Y870" t="s">
        <v>8</v>
      </c>
      <c r="Z870">
        <v>22</v>
      </c>
      <c r="AA87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71" spans="1:27" x14ac:dyDescent="0.3">
      <c r="A871" t="s">
        <v>459</v>
      </c>
      <c r="B871">
        <v>1156</v>
      </c>
      <c r="C871">
        <v>240</v>
      </c>
      <c r="D871">
        <f>IFERROR(tinder[[#This Row],[Tinder Opened]]/tinder[[#This Row],[Days on Tinder]],0)</f>
        <v>4.8166666666666664</v>
      </c>
      <c r="E871">
        <f>tinder[[#This Row],[Engagement]]/MAX(tinder[Engagement])</f>
        <v>2.420435510887772E-2</v>
      </c>
      <c r="F87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71">
        <v>14</v>
      </c>
      <c r="H871">
        <f>IFERROR(tinder[[#This Row],[Conversations]]/tinder[[#This Row],[Tinder Opened]],0)</f>
        <v>1.2110726643598616E-2</v>
      </c>
      <c r="I871">
        <f>tinder[[#This Row],[Conversations]]/MAX(tinder[Conversations])</f>
        <v>1.1074197120708748E-3</v>
      </c>
      <c r="J871">
        <f>(tinder[[#This Row],[Norm Engagement]]*2)+(tinder[[#This Row],[Norm Swipes]]*1)+(tinder[[#This Row],[Norm Conversations]]*2)</f>
        <v>6.5000045843665297E-2</v>
      </c>
      <c r="K87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71">
        <v>3</v>
      </c>
      <c r="M871">
        <v>0</v>
      </c>
      <c r="N871">
        <v>97</v>
      </c>
      <c r="O871">
        <v>234</v>
      </c>
      <c r="P871">
        <v>250</v>
      </c>
      <c r="Q871">
        <f>tinder[[#This Row],[All Swipes]]/MAX(tinder[All Swipes])</f>
        <v>1.437649620176811E-2</v>
      </c>
      <c r="R871">
        <f>tinder[[#This Row],[Swipe Right (LIKE)]]+tinder[[#This Row],[Swipe Left (PASS)]]</f>
        <v>12203</v>
      </c>
      <c r="S871">
        <v>1187</v>
      </c>
      <c r="T871">
        <v>11016</v>
      </c>
      <c r="U871" t="s">
        <v>75</v>
      </c>
      <c r="V871" s="1">
        <v>43679</v>
      </c>
      <c r="W871" t="s">
        <v>12</v>
      </c>
      <c r="X871" t="s">
        <v>1295</v>
      </c>
      <c r="Y871" t="s">
        <v>8</v>
      </c>
      <c r="Z871">
        <v>22</v>
      </c>
      <c r="AA87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72" spans="1:27" x14ac:dyDescent="0.3">
      <c r="A872" t="s">
        <v>165</v>
      </c>
      <c r="B872">
        <v>303</v>
      </c>
      <c r="C872">
        <v>63</v>
      </c>
      <c r="D872">
        <f>IFERROR(tinder[[#This Row],[Tinder Opened]]/tinder[[#This Row],[Days on Tinder]],0)</f>
        <v>4.8095238095238093</v>
      </c>
      <c r="E872">
        <f>tinder[[#This Row],[Engagement]]/MAX(tinder[Engagement])</f>
        <v>2.4168461354391001E-2</v>
      </c>
      <c r="F87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72">
        <v>8</v>
      </c>
      <c r="H872">
        <f>IFERROR(tinder[[#This Row],[Conversations]]/tinder[[#This Row],[Tinder Opened]],0)</f>
        <v>2.6402640264026403E-2</v>
      </c>
      <c r="I872">
        <f>tinder[[#This Row],[Conversations]]/MAX(tinder[Conversations])</f>
        <v>6.3281126404049991E-4</v>
      </c>
      <c r="J872">
        <f>(tinder[[#This Row],[Norm Engagement]]*2)+(tinder[[#This Row],[Norm Swipes]]*1)+(tinder[[#This Row],[Norm Conversations]]*2)</f>
        <v>5.4435159136695235E-2</v>
      </c>
      <c r="K87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72">
        <v>4</v>
      </c>
      <c r="M872">
        <v>0</v>
      </c>
      <c r="N872">
        <v>66</v>
      </c>
      <c r="O872">
        <v>22</v>
      </c>
      <c r="P872">
        <v>20</v>
      </c>
      <c r="Q872">
        <f>tinder[[#This Row],[All Swipes]]/MAX(tinder[All Swipes])</f>
        <v>4.8326138998322369E-3</v>
      </c>
      <c r="R872">
        <f>tinder[[#This Row],[Swipe Right (LIKE)]]+tinder[[#This Row],[Swipe Left (PASS)]]</f>
        <v>4102</v>
      </c>
      <c r="S872">
        <v>3484</v>
      </c>
      <c r="T872">
        <v>618</v>
      </c>
      <c r="U872" t="s">
        <v>88</v>
      </c>
      <c r="V872" s="1">
        <v>43683</v>
      </c>
      <c r="W872" t="s">
        <v>12</v>
      </c>
      <c r="X872" t="s">
        <v>1295</v>
      </c>
      <c r="Y872" t="s">
        <v>8</v>
      </c>
      <c r="Z872">
        <v>21</v>
      </c>
      <c r="AA87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73" spans="1:27" x14ac:dyDescent="0.3">
      <c r="A873" t="s">
        <v>366</v>
      </c>
      <c r="B873">
        <v>863</v>
      </c>
      <c r="C873">
        <v>180</v>
      </c>
      <c r="D873">
        <f>IFERROR(tinder[[#This Row],[Tinder Opened]]/tinder[[#This Row],[Days on Tinder]],0)</f>
        <v>4.7944444444444443</v>
      </c>
      <c r="E873">
        <f>tinder[[#This Row],[Engagement]]/MAX(tinder[Engagement])</f>
        <v>2.4092685650474593E-2</v>
      </c>
      <c r="F87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73">
        <v>22</v>
      </c>
      <c r="H873">
        <f>IFERROR(tinder[[#This Row],[Conversations]]/tinder[[#This Row],[Tinder Opened]],0)</f>
        <v>2.5492468134414831E-2</v>
      </c>
      <c r="I873">
        <f>tinder[[#This Row],[Conversations]]/MAX(tinder[Conversations])</f>
        <v>1.7402309761113748E-3</v>
      </c>
      <c r="J873">
        <f>(tinder[[#This Row],[Norm Engagement]]*2)+(tinder[[#This Row],[Norm Swipes]]*1)+(tinder[[#This Row],[Norm Conversations]]*2)</f>
        <v>6.2703561099960878E-2</v>
      </c>
      <c r="K87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73">
        <v>11</v>
      </c>
      <c r="M873">
        <v>0</v>
      </c>
      <c r="N873">
        <v>80</v>
      </c>
      <c r="O873">
        <v>104</v>
      </c>
      <c r="P873">
        <v>104</v>
      </c>
      <c r="Q873">
        <f>tinder[[#This Row],[All Swipes]]/MAX(tinder[All Swipes])</f>
        <v>1.1037727846788938E-2</v>
      </c>
      <c r="R873">
        <f>tinder[[#This Row],[Swipe Right (LIKE)]]+tinder[[#This Row],[Swipe Left (PASS)]]</f>
        <v>9369</v>
      </c>
      <c r="S873">
        <v>8348</v>
      </c>
      <c r="T873">
        <v>1021</v>
      </c>
      <c r="U873" t="s">
        <v>14</v>
      </c>
      <c r="V873" s="1">
        <v>43652</v>
      </c>
      <c r="W873" t="s">
        <v>12</v>
      </c>
      <c r="X873" t="s">
        <v>1296</v>
      </c>
      <c r="Y873" t="s">
        <v>8</v>
      </c>
      <c r="Z873">
        <v>22</v>
      </c>
      <c r="AA87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74" spans="1:27" x14ac:dyDescent="0.3">
      <c r="A874" t="s">
        <v>1082</v>
      </c>
      <c r="B874">
        <v>4443</v>
      </c>
      <c r="C874">
        <v>927</v>
      </c>
      <c r="D874">
        <f>IFERROR(tinder[[#This Row],[Tinder Opened]]/tinder[[#This Row],[Days on Tinder]],0)</f>
        <v>4.7928802588996762</v>
      </c>
      <c r="E874">
        <f>tinder[[#This Row],[Engagement]]/MAX(tinder[Engagement])</f>
        <v>2.4084825421606414E-2</v>
      </c>
      <c r="F87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74">
        <v>196</v>
      </c>
      <c r="H874">
        <f>IFERROR(tinder[[#This Row],[Conversations]]/tinder[[#This Row],[Tinder Opened]],0)</f>
        <v>4.4114337159576862E-2</v>
      </c>
      <c r="I874">
        <f>tinder[[#This Row],[Conversations]]/MAX(tinder[Conversations])</f>
        <v>1.5503875968992248E-2</v>
      </c>
      <c r="J874">
        <f>(tinder[[#This Row],[Norm Engagement]]*2)+(tinder[[#This Row],[Norm Swipes]]*1)+(tinder[[#This Row],[Norm Conversations]]*2)</f>
        <v>0.12615931641147762</v>
      </c>
      <c r="K87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74">
        <v>117</v>
      </c>
      <c r="M874">
        <v>5</v>
      </c>
      <c r="N874">
        <v>349</v>
      </c>
      <c r="O874">
        <v>795</v>
      </c>
      <c r="P874">
        <v>605</v>
      </c>
      <c r="Q874">
        <f>tinder[[#This Row],[All Swipes]]/MAX(tinder[All Swipes])</f>
        <v>4.6981913630280293E-2</v>
      </c>
      <c r="R874">
        <f>tinder[[#This Row],[Swipe Right (LIKE)]]+tinder[[#This Row],[Swipe Left (PASS)]]</f>
        <v>39879</v>
      </c>
      <c r="S874">
        <v>30636</v>
      </c>
      <c r="T874">
        <v>9243</v>
      </c>
      <c r="U874" t="s">
        <v>8</v>
      </c>
      <c r="V874" s="1">
        <v>41816</v>
      </c>
      <c r="W874" t="s">
        <v>7</v>
      </c>
      <c r="X874" t="s">
        <v>1295</v>
      </c>
      <c r="Y874" t="s">
        <v>8</v>
      </c>
      <c r="Z874">
        <v>23</v>
      </c>
      <c r="AA87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75" spans="1:27" x14ac:dyDescent="0.3">
      <c r="A875" t="s">
        <v>979</v>
      </c>
      <c r="B875">
        <v>2114</v>
      </c>
      <c r="C875">
        <v>442</v>
      </c>
      <c r="D875">
        <f>IFERROR(tinder[[#This Row],[Tinder Opened]]/tinder[[#This Row],[Days on Tinder]],0)</f>
        <v>4.7828054298642533</v>
      </c>
      <c r="E875">
        <f>tinder[[#This Row],[Engagement]]/MAX(tinder[Engagement])</f>
        <v>2.4034198140021373E-2</v>
      </c>
      <c r="F87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75">
        <v>48</v>
      </c>
      <c r="H875">
        <f>IFERROR(tinder[[#This Row],[Conversations]]/tinder[[#This Row],[Tinder Opened]],0)</f>
        <v>2.2705771050141911E-2</v>
      </c>
      <c r="I875">
        <f>tinder[[#This Row],[Conversations]]/MAX(tinder[Conversations])</f>
        <v>3.7968675842429997E-3</v>
      </c>
      <c r="J875">
        <f>(tinder[[#This Row],[Norm Engagement]]*2)+(tinder[[#This Row],[Norm Swipes]]*1)+(tinder[[#This Row],[Norm Conversations]]*2)</f>
        <v>0.11645033525241556</v>
      </c>
      <c r="K87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75">
        <v>20</v>
      </c>
      <c r="M875">
        <v>6</v>
      </c>
      <c r="N875">
        <v>176</v>
      </c>
      <c r="O875">
        <v>218</v>
      </c>
      <c r="P875">
        <v>198</v>
      </c>
      <c r="Q875">
        <f>tinder[[#This Row],[All Swipes]]/MAX(tinder[All Swipes])</f>
        <v>6.0788203803886824E-2</v>
      </c>
      <c r="R875">
        <f>tinder[[#This Row],[Swipe Right (LIKE)]]+tinder[[#This Row],[Swipe Left (PASS)]]</f>
        <v>51598</v>
      </c>
      <c r="S875">
        <v>18833</v>
      </c>
      <c r="T875">
        <v>32765</v>
      </c>
      <c r="U875" t="s">
        <v>8</v>
      </c>
      <c r="V875" s="1">
        <v>42228</v>
      </c>
      <c r="W875" t="s">
        <v>7</v>
      </c>
      <c r="X875" t="s">
        <v>1295</v>
      </c>
      <c r="Y875" t="s">
        <v>8</v>
      </c>
      <c r="Z875">
        <v>16</v>
      </c>
      <c r="AA87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76" spans="1:27" x14ac:dyDescent="0.3">
      <c r="A876" t="s">
        <v>347</v>
      </c>
      <c r="B876">
        <v>5297</v>
      </c>
      <c r="C876">
        <v>1111</v>
      </c>
      <c r="D876">
        <f>IFERROR(tinder[[#This Row],[Tinder Opened]]/tinder[[#This Row],[Days on Tinder]],0)</f>
        <v>4.767776777677768</v>
      </c>
      <c r="E876">
        <f>tinder[[#This Row],[Engagement]]/MAX(tinder[Engagement])</f>
        <v>2.3958677274762655E-2</v>
      </c>
      <c r="F87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76">
        <v>105</v>
      </c>
      <c r="H876">
        <f>IFERROR(tinder[[#This Row],[Conversations]]/tinder[[#This Row],[Tinder Opened]],0)</f>
        <v>1.9822541060977913E-2</v>
      </c>
      <c r="I876">
        <f>tinder[[#This Row],[Conversations]]/MAX(tinder[Conversations])</f>
        <v>8.3056478405315621E-3</v>
      </c>
      <c r="J876">
        <f>(tinder[[#This Row],[Norm Engagement]]*2)+(tinder[[#This Row],[Norm Swipes]]*1)+(tinder[[#This Row],[Norm Conversations]]*2)</f>
        <v>0.1032885228060347</v>
      </c>
      <c r="K87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76">
        <v>41</v>
      </c>
      <c r="M876">
        <v>5</v>
      </c>
      <c r="N876">
        <v>187</v>
      </c>
      <c r="O876">
        <v>906</v>
      </c>
      <c r="P876">
        <v>650</v>
      </c>
      <c r="Q876">
        <f>tinder[[#This Row],[All Swipes]]/MAX(tinder[All Swipes])</f>
        <v>3.8759872575446268E-2</v>
      </c>
      <c r="R876">
        <f>tinder[[#This Row],[Swipe Right (LIKE)]]+tinder[[#This Row],[Swipe Left (PASS)]]</f>
        <v>32900</v>
      </c>
      <c r="S876">
        <v>14026</v>
      </c>
      <c r="T876">
        <v>18874</v>
      </c>
      <c r="U876" t="s">
        <v>14</v>
      </c>
      <c r="V876" s="1">
        <v>41500</v>
      </c>
      <c r="W876" t="s">
        <v>7</v>
      </c>
      <c r="X876" t="s">
        <v>1295</v>
      </c>
      <c r="Y876" t="s">
        <v>8</v>
      </c>
      <c r="Z876">
        <v>22</v>
      </c>
      <c r="AA87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77" spans="1:27" x14ac:dyDescent="0.3">
      <c r="A877" t="s">
        <v>1159</v>
      </c>
      <c r="B877">
        <v>781</v>
      </c>
      <c r="C877">
        <v>165</v>
      </c>
      <c r="D877">
        <f>IFERROR(tinder[[#This Row],[Tinder Opened]]/tinder[[#This Row],[Days on Tinder]],0)</f>
        <v>4.7333333333333334</v>
      </c>
      <c r="E877">
        <f>tinder[[#This Row],[Engagement]]/MAX(tinder[Engagement])</f>
        <v>2.3785594639865997E-2</v>
      </c>
      <c r="F87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77">
        <v>7</v>
      </c>
      <c r="H877">
        <f>IFERROR(tinder[[#This Row],[Conversations]]/tinder[[#This Row],[Tinder Opened]],0)</f>
        <v>8.9628681177976958E-3</v>
      </c>
      <c r="I877">
        <f>tinder[[#This Row],[Conversations]]/MAX(tinder[Conversations])</f>
        <v>5.5370985603543741E-4</v>
      </c>
      <c r="J877">
        <f>(tinder[[#This Row],[Norm Engagement]]*2)+(tinder[[#This Row],[Norm Swipes]]*1)+(tinder[[#This Row],[Norm Conversations]]*2)</f>
        <v>6.6582371409099422E-2</v>
      </c>
      <c r="K87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77">
        <v>0</v>
      </c>
      <c r="M877">
        <v>0</v>
      </c>
      <c r="N877">
        <v>15</v>
      </c>
      <c r="O877">
        <v>37</v>
      </c>
      <c r="P877">
        <v>27</v>
      </c>
      <c r="Q877">
        <f>tinder[[#This Row],[All Swipes]]/MAX(tinder[All Swipes])</f>
        <v>1.7903762417296562E-2</v>
      </c>
      <c r="R877">
        <f>tinder[[#This Row],[Swipe Right (LIKE)]]+tinder[[#This Row],[Swipe Left (PASS)]]</f>
        <v>15197</v>
      </c>
      <c r="S877">
        <v>2912</v>
      </c>
      <c r="T877">
        <v>12285</v>
      </c>
      <c r="U877" t="s">
        <v>61</v>
      </c>
      <c r="V877" s="1">
        <v>42571</v>
      </c>
      <c r="W877" t="s">
        <v>7</v>
      </c>
      <c r="X877" t="s">
        <v>1295</v>
      </c>
      <c r="Y877" t="s">
        <v>380</v>
      </c>
      <c r="Z877">
        <v>30</v>
      </c>
      <c r="AA87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78" spans="1:27" x14ac:dyDescent="0.3">
      <c r="A878" t="s">
        <v>550</v>
      </c>
      <c r="B878">
        <v>4887</v>
      </c>
      <c r="C878">
        <v>1035</v>
      </c>
      <c r="D878">
        <f>IFERROR(tinder[[#This Row],[Tinder Opened]]/tinder[[#This Row],[Days on Tinder]],0)</f>
        <v>4.7217391304347824</v>
      </c>
      <c r="E878">
        <f>tinder[[#This Row],[Engagement]]/MAX(tinder[Engagement])</f>
        <v>2.3727332313742626E-2</v>
      </c>
      <c r="F87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78">
        <v>287</v>
      </c>
      <c r="H878">
        <f>IFERROR(tinder[[#This Row],[Conversations]]/tinder[[#This Row],[Tinder Opened]],0)</f>
        <v>5.8727235522815634E-2</v>
      </c>
      <c r="I878">
        <f>tinder[[#This Row],[Conversations]]/MAX(tinder[Conversations])</f>
        <v>2.2702104097452935E-2</v>
      </c>
      <c r="J878">
        <f>(tinder[[#This Row],[Norm Engagement]]*2)+(tinder[[#This Row],[Norm Swipes]]*1)+(tinder[[#This Row],[Norm Conversations]]*2)</f>
        <v>0.12416483312474169</v>
      </c>
      <c r="K87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78">
        <v>168</v>
      </c>
      <c r="M878">
        <v>7</v>
      </c>
      <c r="N878">
        <v>510</v>
      </c>
      <c r="O878">
        <v>1104</v>
      </c>
      <c r="P878">
        <v>1300</v>
      </c>
      <c r="Q878">
        <f>tinder[[#This Row],[All Swipes]]/MAX(tinder[All Swipes])</f>
        <v>3.1305960302350569E-2</v>
      </c>
      <c r="R878">
        <f>tinder[[#This Row],[Swipe Right (LIKE)]]+tinder[[#This Row],[Swipe Left (PASS)]]</f>
        <v>26573</v>
      </c>
      <c r="S878">
        <v>13887</v>
      </c>
      <c r="T878">
        <v>12686</v>
      </c>
      <c r="U878" t="s">
        <v>262</v>
      </c>
      <c r="V878" s="1">
        <v>42801</v>
      </c>
      <c r="W878" t="s">
        <v>12</v>
      </c>
      <c r="X878" t="s">
        <v>1295</v>
      </c>
      <c r="Y878" t="s">
        <v>8</v>
      </c>
      <c r="Z878">
        <v>32</v>
      </c>
      <c r="AA87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879" spans="1:27" x14ac:dyDescent="0.3">
      <c r="A879" t="s">
        <v>914</v>
      </c>
      <c r="B879">
        <v>118</v>
      </c>
      <c r="C879">
        <v>25</v>
      </c>
      <c r="D879">
        <f>IFERROR(tinder[[#This Row],[Tinder Opened]]/tinder[[#This Row],[Days on Tinder]],0)</f>
        <v>4.72</v>
      </c>
      <c r="E879">
        <f>tinder[[#This Row],[Engagement]]/MAX(tinder[Engagement])</f>
        <v>2.371859296482412E-2</v>
      </c>
      <c r="F87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79">
        <v>22</v>
      </c>
      <c r="H879">
        <f>IFERROR(tinder[[#This Row],[Conversations]]/tinder[[#This Row],[Tinder Opened]],0)</f>
        <v>0.1864406779661017</v>
      </c>
      <c r="I879">
        <f>tinder[[#This Row],[Conversations]]/MAX(tinder[Conversations])</f>
        <v>1.7402309761113748E-3</v>
      </c>
      <c r="J879">
        <f>(tinder[[#This Row],[Norm Engagement]]*2)+(tinder[[#This Row],[Norm Swipes]]*1)+(tinder[[#This Row],[Norm Conversations]]*2)</f>
        <v>5.319375954800358E-2</v>
      </c>
      <c r="K87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79">
        <v>7</v>
      </c>
      <c r="M879">
        <v>0</v>
      </c>
      <c r="N879">
        <v>16</v>
      </c>
      <c r="O879">
        <v>83</v>
      </c>
      <c r="P879">
        <v>68</v>
      </c>
      <c r="Q879">
        <f>tinder[[#This Row],[All Swipes]]/MAX(tinder[All Swipes])</f>
        <v>2.2761116661325896E-3</v>
      </c>
      <c r="R879">
        <f>tinder[[#This Row],[Swipe Right (LIKE)]]+tinder[[#This Row],[Swipe Left (PASS)]]</f>
        <v>1932</v>
      </c>
      <c r="S879">
        <v>764</v>
      </c>
      <c r="T879">
        <v>1168</v>
      </c>
      <c r="U879" t="s">
        <v>27</v>
      </c>
      <c r="V879" s="1">
        <v>44256</v>
      </c>
      <c r="W879" t="s">
        <v>12</v>
      </c>
      <c r="X879" t="s">
        <v>1295</v>
      </c>
      <c r="Y879" t="s">
        <v>8</v>
      </c>
      <c r="Z879">
        <v>19</v>
      </c>
      <c r="AA87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80" spans="1:27" x14ac:dyDescent="0.3">
      <c r="A880" t="s">
        <v>1274</v>
      </c>
      <c r="B880">
        <v>33</v>
      </c>
      <c r="C880">
        <v>7</v>
      </c>
      <c r="D880">
        <f>IFERROR(tinder[[#This Row],[Tinder Opened]]/tinder[[#This Row],[Days on Tinder]],0)</f>
        <v>4.7142857142857144</v>
      </c>
      <c r="E880">
        <f>tinder[[#This Row],[Engagement]]/MAX(tinder[Engagement])</f>
        <v>2.3689877961234746E-2</v>
      </c>
      <c r="F88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80">
        <v>58</v>
      </c>
      <c r="H880">
        <f>IFERROR(tinder[[#This Row],[Conversations]]/tinder[[#This Row],[Tinder Opened]],0)</f>
        <v>1.7575757575757576</v>
      </c>
      <c r="I880">
        <f>tinder[[#This Row],[Conversations]]/MAX(tinder[Conversations])</f>
        <v>4.5878816642936247E-3</v>
      </c>
      <c r="J880">
        <f>(tinder[[#This Row],[Norm Engagement]]*2)+(tinder[[#This Row],[Norm Swipes]]*1)+(tinder[[#This Row],[Norm Conversations]]*2)</f>
        <v>5.6887746730274857E-2</v>
      </c>
      <c r="K88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80">
        <v>16</v>
      </c>
      <c r="M880">
        <v>0</v>
      </c>
      <c r="N880">
        <v>0</v>
      </c>
      <c r="O880">
        <v>981</v>
      </c>
      <c r="P880">
        <v>859</v>
      </c>
      <c r="Q880">
        <f>tinder[[#This Row],[All Swipes]]/MAX(tinder[All Swipes])</f>
        <v>3.3222747921811087E-4</v>
      </c>
      <c r="R880">
        <f>tinder[[#This Row],[Swipe Right (LIKE)]]+tinder[[#This Row],[Swipe Left (PASS)]]</f>
        <v>282</v>
      </c>
      <c r="S880">
        <v>72</v>
      </c>
      <c r="T880">
        <v>210</v>
      </c>
      <c r="U880" t="s">
        <v>61</v>
      </c>
      <c r="V880" s="1">
        <v>44141</v>
      </c>
      <c r="W880" t="s">
        <v>12</v>
      </c>
      <c r="X880" t="s">
        <v>1295</v>
      </c>
      <c r="Y880" t="s">
        <v>8</v>
      </c>
      <c r="Z880">
        <v>19</v>
      </c>
      <c r="AA88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81" spans="1:27" x14ac:dyDescent="0.3">
      <c r="A881" t="s">
        <v>560</v>
      </c>
      <c r="B881">
        <v>226</v>
      </c>
      <c r="C881">
        <v>48</v>
      </c>
      <c r="D881">
        <f>IFERROR(tinder[[#This Row],[Tinder Opened]]/tinder[[#This Row],[Days on Tinder]],0)</f>
        <v>4.708333333333333</v>
      </c>
      <c r="E881">
        <f>tinder[[#This Row],[Engagement]]/MAX(tinder[Engagement])</f>
        <v>2.3659966499162476E-2</v>
      </c>
      <c r="F88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81">
        <v>6</v>
      </c>
      <c r="H881">
        <f>IFERROR(tinder[[#This Row],[Conversations]]/tinder[[#This Row],[Tinder Opened]],0)</f>
        <v>2.6548672566371681E-2</v>
      </c>
      <c r="I881">
        <f>tinder[[#This Row],[Conversations]]/MAX(tinder[Conversations])</f>
        <v>4.7460844803037496E-4</v>
      </c>
      <c r="J881">
        <f>(tinder[[#This Row],[Norm Engagement]]*2)+(tinder[[#This Row],[Norm Swipes]]*1)+(tinder[[#This Row],[Norm Conversations]]*2)</f>
        <v>5.1745757309891539E-2</v>
      </c>
      <c r="K88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81">
        <v>0</v>
      </c>
      <c r="M881">
        <v>2</v>
      </c>
      <c r="N881">
        <v>16</v>
      </c>
      <c r="O881">
        <v>12</v>
      </c>
      <c r="P881">
        <v>12</v>
      </c>
      <c r="Q881">
        <f>tinder[[#This Row],[All Swipes]]/MAX(tinder[All Swipes])</f>
        <v>3.4766074155058342E-3</v>
      </c>
      <c r="R881">
        <f>tinder[[#This Row],[Swipe Right (LIKE)]]+tinder[[#This Row],[Swipe Left (PASS)]]</f>
        <v>2951</v>
      </c>
      <c r="S881">
        <v>1064</v>
      </c>
      <c r="T881">
        <v>1887</v>
      </c>
      <c r="U881" t="s">
        <v>25</v>
      </c>
      <c r="V881" s="1">
        <v>44233</v>
      </c>
      <c r="W881" t="s">
        <v>12</v>
      </c>
      <c r="X881" t="s">
        <v>1295</v>
      </c>
      <c r="Y881" t="s">
        <v>561</v>
      </c>
      <c r="Z881">
        <v>41</v>
      </c>
      <c r="AA881" t="str">
        <f>_xlfn.IFS(tinder[[#This Row],[Age]]&lt;=20,"Teen",tinder[[#This Row],[Age]]&lt;=30,"Young Adult",tinder[[#This Row],[Age]]&lt;=40,"Adult",tinder[[#This Row],[Age]]&lt;=50,"Middle-Aged",TRUE,"Senior")</f>
        <v>Middle-Aged</v>
      </c>
    </row>
    <row r="882" spans="1:27" x14ac:dyDescent="0.3">
      <c r="A882" t="s">
        <v>460</v>
      </c>
      <c r="B882">
        <v>2726</v>
      </c>
      <c r="C882">
        <v>581</v>
      </c>
      <c r="D882">
        <f>IFERROR(tinder[[#This Row],[Tinder Opened]]/tinder[[#This Row],[Days on Tinder]],0)</f>
        <v>4.6919104991394152</v>
      </c>
      <c r="E882">
        <f>tinder[[#This Row],[Engagement]]/MAX(tinder[Engagement])</f>
        <v>2.3577439694167916E-2</v>
      </c>
      <c r="F88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82">
        <v>24</v>
      </c>
      <c r="H882">
        <f>IFERROR(tinder[[#This Row],[Conversations]]/tinder[[#This Row],[Tinder Opened]],0)</f>
        <v>8.8041085840058694E-3</v>
      </c>
      <c r="I882">
        <f>tinder[[#This Row],[Conversations]]/MAX(tinder[Conversations])</f>
        <v>1.8984337921214998E-3</v>
      </c>
      <c r="J882">
        <f>(tinder[[#This Row],[Norm Engagement]]*2)+(tinder[[#This Row],[Norm Swipes]]*1)+(tinder[[#This Row],[Norm Conversations]]*2)</f>
        <v>9.7096023235043252E-2</v>
      </c>
      <c r="K88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82">
        <v>6</v>
      </c>
      <c r="M882">
        <v>0</v>
      </c>
      <c r="N882">
        <v>26</v>
      </c>
      <c r="O882">
        <v>182</v>
      </c>
      <c r="P882">
        <v>160</v>
      </c>
      <c r="Q882">
        <f>tinder[[#This Row],[All Swipes]]/MAX(tinder[All Swipes])</f>
        <v>4.6144276262464423E-2</v>
      </c>
      <c r="R882">
        <f>tinder[[#This Row],[Swipe Right (LIKE)]]+tinder[[#This Row],[Swipe Left (PASS)]]</f>
        <v>39168</v>
      </c>
      <c r="S882">
        <v>8255</v>
      </c>
      <c r="T882">
        <v>30913</v>
      </c>
      <c r="U882" t="s">
        <v>10</v>
      </c>
      <c r="V882" s="1">
        <v>43259</v>
      </c>
      <c r="W882" t="s">
        <v>12</v>
      </c>
      <c r="X882" t="s">
        <v>1295</v>
      </c>
      <c r="Y882" t="s">
        <v>461</v>
      </c>
      <c r="Z882">
        <v>21</v>
      </c>
      <c r="AA88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83" spans="1:27" x14ac:dyDescent="0.3">
      <c r="A883" t="s">
        <v>1246</v>
      </c>
      <c r="B883">
        <v>1190</v>
      </c>
      <c r="C883">
        <v>254</v>
      </c>
      <c r="D883">
        <f>IFERROR(tinder[[#This Row],[Tinder Opened]]/tinder[[#This Row],[Days on Tinder]],0)</f>
        <v>4.6850393700787398</v>
      </c>
      <c r="E883">
        <f>tinder[[#This Row],[Engagement]]/MAX(tinder[Engagement])</f>
        <v>2.3542911407430853E-2</v>
      </c>
      <c r="F88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83">
        <v>81</v>
      </c>
      <c r="H883">
        <f>IFERROR(tinder[[#This Row],[Conversations]]/tinder[[#This Row],[Tinder Opened]],0)</f>
        <v>6.8067226890756297E-2</v>
      </c>
      <c r="I883">
        <f>tinder[[#This Row],[Conversations]]/MAX(tinder[Conversations])</f>
        <v>6.407214048410062E-3</v>
      </c>
      <c r="J883">
        <f>(tinder[[#This Row],[Norm Engagement]]*2)+(tinder[[#This Row],[Norm Swipes]]*1)+(tinder[[#This Row],[Norm Conversations]]*2)</f>
        <v>8.4718350476251772E-2</v>
      </c>
      <c r="K88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83">
        <v>46</v>
      </c>
      <c r="M883">
        <v>0</v>
      </c>
      <c r="N883">
        <v>108</v>
      </c>
      <c r="O883">
        <v>466</v>
      </c>
      <c r="P883">
        <v>428</v>
      </c>
      <c r="Q883">
        <f>tinder[[#This Row],[All Swipes]]/MAX(tinder[All Swipes])</f>
        <v>2.4818099564569943E-2</v>
      </c>
      <c r="R883">
        <f>tinder[[#This Row],[Swipe Right (LIKE)]]+tinder[[#This Row],[Swipe Left (PASS)]]</f>
        <v>21066</v>
      </c>
      <c r="S883">
        <v>16214</v>
      </c>
      <c r="T883">
        <v>4852</v>
      </c>
      <c r="U883" t="s">
        <v>61</v>
      </c>
      <c r="V883" s="1">
        <v>42013</v>
      </c>
      <c r="W883" t="s">
        <v>7</v>
      </c>
      <c r="X883" t="s">
        <v>1295</v>
      </c>
      <c r="Y883" t="s">
        <v>8</v>
      </c>
      <c r="Z883">
        <v>18</v>
      </c>
      <c r="AA88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84" spans="1:27" x14ac:dyDescent="0.3">
      <c r="A884" t="s">
        <v>557</v>
      </c>
      <c r="B884">
        <v>3980</v>
      </c>
      <c r="C884">
        <v>856</v>
      </c>
      <c r="D884">
        <f>IFERROR(tinder[[#This Row],[Tinder Opened]]/tinder[[#This Row],[Days on Tinder]],0)</f>
        <v>4.6495327102803738</v>
      </c>
      <c r="E884">
        <f>tinder[[#This Row],[Engagement]]/MAX(tinder[Engagement])</f>
        <v>2.336448598130841E-2</v>
      </c>
      <c r="F88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84">
        <v>63</v>
      </c>
      <c r="H884">
        <f>IFERROR(tinder[[#This Row],[Conversations]]/tinder[[#This Row],[Tinder Opened]],0)</f>
        <v>1.5829145728643215E-2</v>
      </c>
      <c r="I884">
        <f>tinder[[#This Row],[Conversations]]/MAX(tinder[Conversations])</f>
        <v>4.9833887043189366E-3</v>
      </c>
      <c r="J884">
        <f>(tinder[[#This Row],[Norm Engagement]]*2)+(tinder[[#This Row],[Norm Swipes]]*1)+(tinder[[#This Row],[Norm Conversations]]*2)</f>
        <v>0.13365235716375626</v>
      </c>
      <c r="K88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84">
        <v>16</v>
      </c>
      <c r="M884">
        <v>2</v>
      </c>
      <c r="N884">
        <v>85</v>
      </c>
      <c r="O884">
        <v>422</v>
      </c>
      <c r="P884">
        <v>263</v>
      </c>
      <c r="Q884">
        <f>tinder[[#This Row],[All Swipes]]/MAX(tinder[All Swipes])</f>
        <v>7.6956607792501561E-2</v>
      </c>
      <c r="R884">
        <f>tinder[[#This Row],[Swipe Right (LIKE)]]+tinder[[#This Row],[Swipe Left (PASS)]]</f>
        <v>65322</v>
      </c>
      <c r="S884">
        <v>40338</v>
      </c>
      <c r="T884">
        <v>24984</v>
      </c>
      <c r="U884" t="s">
        <v>8</v>
      </c>
      <c r="V884" s="1">
        <v>42904</v>
      </c>
      <c r="W884" t="s">
        <v>7</v>
      </c>
      <c r="X884" t="s">
        <v>1295</v>
      </c>
      <c r="Y884" t="s">
        <v>108</v>
      </c>
      <c r="Z884">
        <v>25</v>
      </c>
      <c r="AA88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85" spans="1:27" x14ac:dyDescent="0.3">
      <c r="A885" t="s">
        <v>959</v>
      </c>
      <c r="B885">
        <v>725</v>
      </c>
      <c r="C885">
        <v>156</v>
      </c>
      <c r="D885">
        <f>IFERROR(tinder[[#This Row],[Tinder Opened]]/tinder[[#This Row],[Days on Tinder]],0)</f>
        <v>4.6474358974358978</v>
      </c>
      <c r="E885">
        <f>tinder[[#This Row],[Engagement]]/MAX(tinder[Engagement])</f>
        <v>2.335394923334622E-2</v>
      </c>
      <c r="F88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85">
        <v>13</v>
      </c>
      <c r="H885">
        <f>IFERROR(tinder[[#This Row],[Conversations]]/tinder[[#This Row],[Tinder Opened]],0)</f>
        <v>1.793103448275862E-2</v>
      </c>
      <c r="I885">
        <f>tinder[[#This Row],[Conversations]]/MAX(tinder[Conversations])</f>
        <v>1.0283183040658123E-3</v>
      </c>
      <c r="J885">
        <f>(tinder[[#This Row],[Norm Engagement]]*2)+(tinder[[#This Row],[Norm Swipes]]*1)+(tinder[[#This Row],[Norm Conversations]]*2)</f>
        <v>5.2796033067321849E-2</v>
      </c>
      <c r="K88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85">
        <v>7</v>
      </c>
      <c r="M885">
        <v>0</v>
      </c>
      <c r="N885">
        <v>24</v>
      </c>
      <c r="O885">
        <v>71</v>
      </c>
      <c r="P885">
        <v>54</v>
      </c>
      <c r="Q885">
        <f>tinder[[#This Row],[All Swipes]]/MAX(tinder[All Swipes])</f>
        <v>4.0314979924977856E-3</v>
      </c>
      <c r="R885">
        <f>tinder[[#This Row],[Swipe Right (LIKE)]]+tinder[[#This Row],[Swipe Left (PASS)]]</f>
        <v>3422</v>
      </c>
      <c r="S885">
        <v>1455</v>
      </c>
      <c r="T885">
        <v>1967</v>
      </c>
      <c r="U885" t="s">
        <v>311</v>
      </c>
      <c r="V885" s="1">
        <v>43890</v>
      </c>
      <c r="W885" t="s">
        <v>12</v>
      </c>
      <c r="X885" t="s">
        <v>1295</v>
      </c>
      <c r="Y885" t="s">
        <v>960</v>
      </c>
      <c r="Z885">
        <v>28</v>
      </c>
      <c r="AA88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86" spans="1:27" x14ac:dyDescent="0.3">
      <c r="A886" t="s">
        <v>321</v>
      </c>
      <c r="B886">
        <v>1027</v>
      </c>
      <c r="C886">
        <v>224</v>
      </c>
      <c r="D886">
        <f>IFERROR(tinder[[#This Row],[Tinder Opened]]/tinder[[#This Row],[Days on Tinder]],0)</f>
        <v>4.5848214285714288</v>
      </c>
      <c r="E886">
        <f>tinder[[#This Row],[Engagement]]/MAX(tinder[Engagement])</f>
        <v>2.3039303661162958E-2</v>
      </c>
      <c r="F88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86">
        <v>6</v>
      </c>
      <c r="H886">
        <f>IFERROR(tinder[[#This Row],[Conversations]]/tinder[[#This Row],[Tinder Opened]],0)</f>
        <v>5.8422590068159686E-3</v>
      </c>
      <c r="I886">
        <f>tinder[[#This Row],[Conversations]]/MAX(tinder[Conversations])</f>
        <v>4.7460844803037496E-4</v>
      </c>
      <c r="J886">
        <f>(tinder[[#This Row],[Norm Engagement]]*2)+(tinder[[#This Row],[Norm Swipes]]*1)+(tinder[[#This Row],[Norm Conversations]]*2)</f>
        <v>7.122977140128614E-2</v>
      </c>
      <c r="K88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86">
        <v>1</v>
      </c>
      <c r="M886">
        <v>1</v>
      </c>
      <c r="N886">
        <v>11</v>
      </c>
      <c r="O886">
        <v>11</v>
      </c>
      <c r="P886">
        <v>8</v>
      </c>
      <c r="Q886">
        <f>tinder[[#This Row],[All Swipes]]/MAX(tinder[All Swipes])</f>
        <v>2.4201947182899475E-2</v>
      </c>
      <c r="R886">
        <f>tinder[[#This Row],[Swipe Right (LIKE)]]+tinder[[#This Row],[Swipe Left (PASS)]]</f>
        <v>20543</v>
      </c>
      <c r="S886">
        <v>2033</v>
      </c>
      <c r="T886">
        <v>18510</v>
      </c>
      <c r="U886" t="s">
        <v>10</v>
      </c>
      <c r="V886" s="1">
        <v>42994</v>
      </c>
      <c r="W886" t="s">
        <v>12</v>
      </c>
      <c r="X886" t="s">
        <v>1295</v>
      </c>
      <c r="Y886" t="s">
        <v>8</v>
      </c>
      <c r="Z886">
        <v>32</v>
      </c>
      <c r="AA886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887" spans="1:27" x14ac:dyDescent="0.3">
      <c r="A887" t="s">
        <v>1095</v>
      </c>
      <c r="B887">
        <v>3963</v>
      </c>
      <c r="C887">
        <v>869</v>
      </c>
      <c r="D887">
        <f>IFERROR(tinder[[#This Row],[Tinder Opened]]/tinder[[#This Row],[Days on Tinder]],0)</f>
        <v>4.5604142692750287</v>
      </c>
      <c r="E887">
        <f>tinder[[#This Row],[Engagement]]/MAX(tinder[Engagement])</f>
        <v>2.2916654619472506E-2</v>
      </c>
      <c r="F88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87">
        <v>55</v>
      </c>
      <c r="H887">
        <f>IFERROR(tinder[[#This Row],[Conversations]]/tinder[[#This Row],[Tinder Opened]],0)</f>
        <v>1.387837496845824E-2</v>
      </c>
      <c r="I887">
        <f>tinder[[#This Row],[Conversations]]/MAX(tinder[Conversations])</f>
        <v>4.3505774402784365E-3</v>
      </c>
      <c r="J887">
        <f>(tinder[[#This Row],[Norm Engagement]]*2)+(tinder[[#This Row],[Norm Swipes]]*1)+(tinder[[#This Row],[Norm Conversations]]*2)</f>
        <v>8.411684710945494E-2</v>
      </c>
      <c r="K88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87">
        <v>18</v>
      </c>
      <c r="M887">
        <v>0</v>
      </c>
      <c r="N887">
        <v>334</v>
      </c>
      <c r="O887">
        <v>464</v>
      </c>
      <c r="P887">
        <v>518</v>
      </c>
      <c r="Q887">
        <f>tinder[[#This Row],[All Swipes]]/MAX(tinder[All Swipes])</f>
        <v>2.9582382989953065E-2</v>
      </c>
      <c r="R887">
        <f>tinder[[#This Row],[Swipe Right (LIKE)]]+tinder[[#This Row],[Swipe Left (PASS)]]</f>
        <v>25110</v>
      </c>
      <c r="S887">
        <v>5506</v>
      </c>
      <c r="T887">
        <v>19604</v>
      </c>
      <c r="U887" t="s">
        <v>8</v>
      </c>
      <c r="V887" s="1">
        <v>42365</v>
      </c>
      <c r="W887" t="s">
        <v>7</v>
      </c>
      <c r="X887" t="s">
        <v>1295</v>
      </c>
      <c r="Y887" t="s">
        <v>19</v>
      </c>
      <c r="Z887">
        <v>27</v>
      </c>
      <c r="AA88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88" spans="1:27" x14ac:dyDescent="0.3">
      <c r="A888" t="s">
        <v>1038</v>
      </c>
      <c r="B888">
        <v>1801</v>
      </c>
      <c r="C888">
        <v>395</v>
      </c>
      <c r="D888">
        <f>IFERROR(tinder[[#This Row],[Tinder Opened]]/tinder[[#This Row],[Days on Tinder]],0)</f>
        <v>4.5594936708860763</v>
      </c>
      <c r="E888">
        <f>tinder[[#This Row],[Engagement]]/MAX(tinder[Engagement])</f>
        <v>2.2912028496914955E-2</v>
      </c>
      <c r="F88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88">
        <v>82</v>
      </c>
      <c r="H888">
        <f>IFERROR(tinder[[#This Row],[Conversations]]/tinder[[#This Row],[Tinder Opened]],0)</f>
        <v>4.5530260966129929E-2</v>
      </c>
      <c r="I888">
        <f>tinder[[#This Row],[Conversations]]/MAX(tinder[Conversations])</f>
        <v>6.4863154564151239E-3</v>
      </c>
      <c r="J888">
        <f>(tinder[[#This Row],[Norm Engagement]]*2)+(tinder[[#This Row],[Norm Swipes]]*1)+(tinder[[#This Row],[Norm Conversations]]*2)</f>
        <v>0.10579627321136695</v>
      </c>
      <c r="K88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88">
        <v>48</v>
      </c>
      <c r="M888">
        <v>2</v>
      </c>
      <c r="N888">
        <v>169</v>
      </c>
      <c r="O888">
        <v>418</v>
      </c>
      <c r="P888">
        <v>382</v>
      </c>
      <c r="Q888">
        <f>tinder[[#This Row],[All Swipes]]/MAX(tinder[All Swipes])</f>
        <v>4.6999585304706791E-2</v>
      </c>
      <c r="R888">
        <f>tinder[[#This Row],[Swipe Right (LIKE)]]+tinder[[#This Row],[Swipe Left (PASS)]]</f>
        <v>39894</v>
      </c>
      <c r="S888">
        <v>11142</v>
      </c>
      <c r="T888">
        <v>28752</v>
      </c>
      <c r="U888" t="s">
        <v>10</v>
      </c>
      <c r="V888" s="1">
        <v>43408</v>
      </c>
      <c r="W888" t="s">
        <v>12</v>
      </c>
      <c r="X888" t="s">
        <v>1295</v>
      </c>
      <c r="Y888" t="s">
        <v>1039</v>
      </c>
      <c r="Z888">
        <v>23</v>
      </c>
      <c r="AA88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89" spans="1:27" x14ac:dyDescent="0.3">
      <c r="A889" t="s">
        <v>816</v>
      </c>
      <c r="B889">
        <v>50</v>
      </c>
      <c r="C889">
        <v>11</v>
      </c>
      <c r="D889">
        <f>IFERROR(tinder[[#This Row],[Tinder Opened]]/tinder[[#This Row],[Days on Tinder]],0)</f>
        <v>4.5454545454545459</v>
      </c>
      <c r="E889">
        <f>tinder[[#This Row],[Engagement]]/MAX(tinder[Engagement])</f>
        <v>2.2841480127912289E-2</v>
      </c>
      <c r="F88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89">
        <v>11</v>
      </c>
      <c r="H889">
        <f>IFERROR(tinder[[#This Row],[Conversations]]/tinder[[#This Row],[Tinder Opened]],0)</f>
        <v>0.22</v>
      </c>
      <c r="I889">
        <f>tinder[[#This Row],[Conversations]]/MAX(tinder[Conversations])</f>
        <v>8.7011548805568742E-4</v>
      </c>
      <c r="J889">
        <f>(tinder[[#This Row],[Norm Engagement]]*2)+(tinder[[#This Row],[Norm Swipes]]*1)+(tinder[[#This Row],[Norm Conversations]]*2)</f>
        <v>4.9626259977105694E-2</v>
      </c>
      <c r="K88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89">
        <v>4</v>
      </c>
      <c r="M889">
        <v>6</v>
      </c>
      <c r="N889">
        <v>7</v>
      </c>
      <c r="O889">
        <v>8</v>
      </c>
      <c r="P889">
        <v>8</v>
      </c>
      <c r="Q889">
        <f>tinder[[#This Row],[All Swipes]]/MAX(tinder[All Swipes])</f>
        <v>2.2030687451697422E-3</v>
      </c>
      <c r="R889">
        <f>tinder[[#This Row],[Swipe Right (LIKE)]]+tinder[[#This Row],[Swipe Left (PASS)]]</f>
        <v>1870</v>
      </c>
      <c r="S889">
        <v>449</v>
      </c>
      <c r="T889">
        <v>1421</v>
      </c>
      <c r="U889" t="s">
        <v>10</v>
      </c>
      <c r="V889" s="1">
        <v>44287</v>
      </c>
      <c r="W889" t="s">
        <v>12</v>
      </c>
      <c r="X889" t="s">
        <v>1295</v>
      </c>
      <c r="Y889" t="s">
        <v>817</v>
      </c>
      <c r="Z889">
        <v>24</v>
      </c>
      <c r="AA88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90" spans="1:27" x14ac:dyDescent="0.3">
      <c r="A890" t="s">
        <v>575</v>
      </c>
      <c r="B890">
        <v>712</v>
      </c>
      <c r="C890">
        <v>157</v>
      </c>
      <c r="D890">
        <f>IFERROR(tinder[[#This Row],[Tinder Opened]]/tinder[[#This Row],[Days on Tinder]],0)</f>
        <v>4.5350318471337578</v>
      </c>
      <c r="E890">
        <f>tinder[[#This Row],[Engagement]]/MAX(tinder[Engagement])</f>
        <v>2.2789104759466119E-2</v>
      </c>
      <c r="F89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90">
        <v>42</v>
      </c>
      <c r="H890">
        <f>IFERROR(tinder[[#This Row],[Conversations]]/tinder[[#This Row],[Tinder Opened]],0)</f>
        <v>5.8988764044943819E-2</v>
      </c>
      <c r="I890">
        <f>tinder[[#This Row],[Conversations]]/MAX(tinder[Conversations])</f>
        <v>3.3222591362126247E-3</v>
      </c>
      <c r="J890">
        <f>(tinder[[#This Row],[Norm Engagement]]*2)+(tinder[[#This Row],[Norm Swipes]]*1)+(tinder[[#This Row],[Norm Conversations]]*2)</f>
        <v>7.064485932516458E-2</v>
      </c>
      <c r="K89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90">
        <v>10</v>
      </c>
      <c r="M890">
        <v>0</v>
      </c>
      <c r="N890">
        <v>57</v>
      </c>
      <c r="O890">
        <v>287</v>
      </c>
      <c r="P890">
        <v>227</v>
      </c>
      <c r="Q890">
        <f>tinder[[#This Row],[All Swipes]]/MAX(tinder[All Swipes])</f>
        <v>1.842213153380709E-2</v>
      </c>
      <c r="R890">
        <f>tinder[[#This Row],[Swipe Right (LIKE)]]+tinder[[#This Row],[Swipe Left (PASS)]]</f>
        <v>15637</v>
      </c>
      <c r="S890">
        <v>10658</v>
      </c>
      <c r="T890">
        <v>4979</v>
      </c>
      <c r="U890" t="s">
        <v>8</v>
      </c>
      <c r="V890" s="1">
        <v>43760</v>
      </c>
      <c r="W890" t="s">
        <v>12</v>
      </c>
      <c r="X890" t="s">
        <v>1295</v>
      </c>
      <c r="Y890" t="s">
        <v>8</v>
      </c>
      <c r="Z890">
        <v>22</v>
      </c>
      <c r="AA89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91" spans="1:27" x14ac:dyDescent="0.3">
      <c r="A891" t="s">
        <v>826</v>
      </c>
      <c r="B891">
        <v>3175</v>
      </c>
      <c r="C891">
        <v>711</v>
      </c>
      <c r="D891">
        <f>IFERROR(tinder[[#This Row],[Tinder Opened]]/tinder[[#This Row],[Days on Tinder]],0)</f>
        <v>4.4655414908579463</v>
      </c>
      <c r="E891">
        <f>tinder[[#This Row],[Engagement]]/MAX(tinder[Engagement])</f>
        <v>2.2439906989235911E-2</v>
      </c>
      <c r="F89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91">
        <v>32</v>
      </c>
      <c r="H891">
        <f>IFERROR(tinder[[#This Row],[Conversations]]/tinder[[#This Row],[Tinder Opened]],0)</f>
        <v>1.0078740157480314E-2</v>
      </c>
      <c r="I891">
        <f>tinder[[#This Row],[Conversations]]/MAX(tinder[Conversations])</f>
        <v>2.5312450561619996E-3</v>
      </c>
      <c r="J891">
        <f>(tinder[[#This Row],[Norm Engagement]]*2)+(tinder[[#This Row],[Norm Swipes]]*1)+(tinder[[#This Row],[Norm Conversations]]*2)</f>
        <v>9.1890146732781827E-2</v>
      </c>
      <c r="K89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91">
        <v>11</v>
      </c>
      <c r="M891">
        <v>0</v>
      </c>
      <c r="N891">
        <v>57</v>
      </c>
      <c r="O891">
        <v>229</v>
      </c>
      <c r="P891">
        <v>330</v>
      </c>
      <c r="Q891">
        <f>tinder[[#This Row],[All Swipes]]/MAX(tinder[All Swipes])</f>
        <v>4.1947842641986012E-2</v>
      </c>
      <c r="R891">
        <f>tinder[[#This Row],[Swipe Right (LIKE)]]+tinder[[#This Row],[Swipe Left (PASS)]]</f>
        <v>35606</v>
      </c>
      <c r="S891">
        <v>1928</v>
      </c>
      <c r="T891">
        <v>33678</v>
      </c>
      <c r="U891" t="s">
        <v>418</v>
      </c>
      <c r="V891" s="1">
        <v>42756</v>
      </c>
      <c r="W891" t="s">
        <v>7</v>
      </c>
      <c r="X891" t="s">
        <v>1295</v>
      </c>
      <c r="Y891" t="s">
        <v>8</v>
      </c>
      <c r="Z891">
        <v>20</v>
      </c>
      <c r="AA89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892" spans="1:27" x14ac:dyDescent="0.3">
      <c r="A892" t="s">
        <v>721</v>
      </c>
      <c r="B892">
        <v>2024</v>
      </c>
      <c r="C892">
        <v>455</v>
      </c>
      <c r="D892">
        <f>IFERROR(tinder[[#This Row],[Tinder Opened]]/tinder[[#This Row],[Days on Tinder]],0)</f>
        <v>4.4483516483516485</v>
      </c>
      <c r="E892">
        <f>tinder[[#This Row],[Engagement]]/MAX(tinder[Engagement])</f>
        <v>2.2353525871113812E-2</v>
      </c>
      <c r="F89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92">
        <v>179</v>
      </c>
      <c r="H892">
        <f>IFERROR(tinder[[#This Row],[Conversations]]/tinder[[#This Row],[Tinder Opened]],0)</f>
        <v>8.8438735177865616E-2</v>
      </c>
      <c r="I892">
        <f>tinder[[#This Row],[Conversations]]/MAX(tinder[Conversations])</f>
        <v>1.4159152032906186E-2</v>
      </c>
      <c r="J892">
        <f>(tinder[[#This Row],[Norm Engagement]]*2)+(tinder[[#This Row],[Norm Swipes]]*1)+(tinder[[#This Row],[Norm Conversations]]*2)</f>
        <v>8.7829506530929288E-2</v>
      </c>
      <c r="K89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92">
        <v>59</v>
      </c>
      <c r="M892">
        <v>81</v>
      </c>
      <c r="N892">
        <v>429</v>
      </c>
      <c r="O892">
        <v>256</v>
      </c>
      <c r="P892">
        <v>289</v>
      </c>
      <c r="Q892">
        <f>tinder[[#This Row],[All Swipes]]/MAX(tinder[All Swipes])</f>
        <v>1.4804150722889296E-2</v>
      </c>
      <c r="R892">
        <f>tinder[[#This Row],[Swipe Right (LIKE)]]+tinder[[#This Row],[Swipe Left (PASS)]]</f>
        <v>12566</v>
      </c>
      <c r="S892">
        <v>7913</v>
      </c>
      <c r="T892">
        <v>4653</v>
      </c>
      <c r="U892" t="s">
        <v>10</v>
      </c>
      <c r="V892" s="1">
        <v>41527</v>
      </c>
      <c r="W892" t="s">
        <v>12</v>
      </c>
      <c r="X892" t="s">
        <v>1295</v>
      </c>
      <c r="Y892" t="s">
        <v>722</v>
      </c>
      <c r="Z892">
        <v>43</v>
      </c>
      <c r="AA892" t="str">
        <f>_xlfn.IFS(tinder[[#This Row],[Age]]&lt;=20,"Teen",tinder[[#This Row],[Age]]&lt;=30,"Young Adult",tinder[[#This Row],[Age]]&lt;=40,"Adult",tinder[[#This Row],[Age]]&lt;=50,"Middle-Aged",TRUE,"Senior")</f>
        <v>Middle-Aged</v>
      </c>
    </row>
    <row r="893" spans="1:27" x14ac:dyDescent="0.3">
      <c r="A893" t="s">
        <v>543</v>
      </c>
      <c r="B893">
        <v>2157</v>
      </c>
      <c r="C893">
        <v>489</v>
      </c>
      <c r="D893">
        <f>IFERROR(tinder[[#This Row],[Tinder Opened]]/tinder[[#This Row],[Days on Tinder]],0)</f>
        <v>4.4110429447852759</v>
      </c>
      <c r="E893">
        <f>tinder[[#This Row],[Engagement]]/MAX(tinder[Engagement])</f>
        <v>2.2166044948669729E-2</v>
      </c>
      <c r="F89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93">
        <v>30</v>
      </c>
      <c r="H893">
        <f>IFERROR(tinder[[#This Row],[Conversations]]/tinder[[#This Row],[Tinder Opened]],0)</f>
        <v>1.3908205841446454E-2</v>
      </c>
      <c r="I893">
        <f>tinder[[#This Row],[Conversations]]/MAX(tinder[Conversations])</f>
        <v>2.3730422401518746E-3</v>
      </c>
      <c r="J893">
        <f>(tinder[[#This Row],[Norm Engagement]]*2)+(tinder[[#This Row],[Norm Swipes]]*1)+(tinder[[#This Row],[Norm Conversations]]*2)</f>
        <v>9.1915491299096153E-2</v>
      </c>
      <c r="K89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93">
        <v>8</v>
      </c>
      <c r="M893">
        <v>6</v>
      </c>
      <c r="N893">
        <v>177</v>
      </c>
      <c r="O893">
        <v>146</v>
      </c>
      <c r="P893">
        <v>140</v>
      </c>
      <c r="Q893">
        <f>tinder[[#This Row],[All Swipes]]/MAX(tinder[All Swipes])</f>
        <v>4.2837316921452942E-2</v>
      </c>
      <c r="R893">
        <f>tinder[[#This Row],[Swipe Right (LIKE)]]+tinder[[#This Row],[Swipe Left (PASS)]]</f>
        <v>36361</v>
      </c>
      <c r="S893">
        <v>27153</v>
      </c>
      <c r="T893">
        <v>9208</v>
      </c>
      <c r="U893" t="s">
        <v>61</v>
      </c>
      <c r="V893" s="1">
        <v>43481</v>
      </c>
      <c r="W893" t="s">
        <v>12</v>
      </c>
      <c r="X893" t="s">
        <v>1295</v>
      </c>
      <c r="Y893" t="s">
        <v>8</v>
      </c>
      <c r="Z893">
        <v>21</v>
      </c>
      <c r="AA89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94" spans="1:27" x14ac:dyDescent="0.3">
      <c r="A894" t="s">
        <v>1052</v>
      </c>
      <c r="B894">
        <v>136</v>
      </c>
      <c r="C894">
        <v>31</v>
      </c>
      <c r="D894">
        <f>IFERROR(tinder[[#This Row],[Tinder Opened]]/tinder[[#This Row],[Days on Tinder]],0)</f>
        <v>4.387096774193548</v>
      </c>
      <c r="E894">
        <f>tinder[[#This Row],[Engagement]]/MAX(tinder[Engagement])</f>
        <v>2.2045712433133406E-2</v>
      </c>
      <c r="F89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94">
        <v>44</v>
      </c>
      <c r="H894">
        <f>IFERROR(tinder[[#This Row],[Conversations]]/tinder[[#This Row],[Tinder Opened]],0)</f>
        <v>0.3235294117647059</v>
      </c>
      <c r="I894">
        <f>tinder[[#This Row],[Conversations]]/MAX(tinder[Conversations])</f>
        <v>3.4804619522227497E-3</v>
      </c>
      <c r="J894">
        <f>(tinder[[#This Row],[Norm Engagement]]*2)+(tinder[[#This Row],[Norm Swipes]]*1)+(tinder[[#This Row],[Norm Conversations]]*2)</f>
        <v>5.4124863897665618E-2</v>
      </c>
      <c r="K89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94">
        <v>10</v>
      </c>
      <c r="M894">
        <v>6</v>
      </c>
      <c r="N894">
        <v>19</v>
      </c>
      <c r="O894">
        <v>236</v>
      </c>
      <c r="P894">
        <v>260</v>
      </c>
      <c r="Q894">
        <f>tinder[[#This Row],[All Swipes]]/MAX(tinder[All Swipes])</f>
        <v>3.072515126953309E-3</v>
      </c>
      <c r="R894">
        <f>tinder[[#This Row],[Swipe Right (LIKE)]]+tinder[[#This Row],[Swipe Left (PASS)]]</f>
        <v>2608</v>
      </c>
      <c r="S894">
        <v>580</v>
      </c>
      <c r="T894">
        <v>2028</v>
      </c>
      <c r="U894" t="s">
        <v>497</v>
      </c>
      <c r="V894" s="1">
        <v>44064</v>
      </c>
      <c r="W894" t="s">
        <v>12</v>
      </c>
      <c r="X894" t="s">
        <v>1295</v>
      </c>
      <c r="Y894" t="s">
        <v>8</v>
      </c>
      <c r="Z894">
        <v>36</v>
      </c>
      <c r="AA894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895" spans="1:27" x14ac:dyDescent="0.3">
      <c r="A895" t="s">
        <v>975</v>
      </c>
      <c r="B895">
        <v>328</v>
      </c>
      <c r="C895">
        <v>75</v>
      </c>
      <c r="D895">
        <f>IFERROR(tinder[[#This Row],[Tinder Opened]]/tinder[[#This Row],[Days on Tinder]],0)</f>
        <v>4.3733333333333331</v>
      </c>
      <c r="E895">
        <f>tinder[[#This Row],[Engagement]]/MAX(tinder[Engagement])</f>
        <v>2.1976549413735343E-2</v>
      </c>
      <c r="F89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95">
        <v>21</v>
      </c>
      <c r="H895">
        <f>IFERROR(tinder[[#This Row],[Conversations]]/tinder[[#This Row],[Tinder Opened]],0)</f>
        <v>6.402439024390244E-2</v>
      </c>
      <c r="I895">
        <f>tinder[[#This Row],[Conversations]]/MAX(tinder[Conversations])</f>
        <v>1.6611295681063123E-3</v>
      </c>
      <c r="J895">
        <f>(tinder[[#This Row],[Norm Engagement]]*2)+(tinder[[#This Row],[Norm Swipes]]*1)+(tinder[[#This Row],[Norm Conversations]]*2)</f>
        <v>5.4640911864646535E-2</v>
      </c>
      <c r="K89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95">
        <v>12</v>
      </c>
      <c r="M895">
        <v>3</v>
      </c>
      <c r="N895">
        <v>64</v>
      </c>
      <c r="O895">
        <v>86</v>
      </c>
      <c r="P895">
        <v>53</v>
      </c>
      <c r="Q895">
        <f>tinder[[#This Row],[All Swipes]]/MAX(tinder[All Swipes])</f>
        <v>7.3655539009632237E-3</v>
      </c>
      <c r="R895">
        <f>tinder[[#This Row],[Swipe Right (LIKE)]]+tinder[[#This Row],[Swipe Left (PASS)]]</f>
        <v>6252</v>
      </c>
      <c r="S895">
        <v>3610</v>
      </c>
      <c r="T895">
        <v>2642</v>
      </c>
      <c r="U895" t="s">
        <v>14</v>
      </c>
      <c r="V895" s="1">
        <v>44035</v>
      </c>
      <c r="W895" t="s">
        <v>12</v>
      </c>
      <c r="X895" t="s">
        <v>1295</v>
      </c>
      <c r="Y895" t="s">
        <v>976</v>
      </c>
      <c r="Z895">
        <v>21</v>
      </c>
      <c r="AA89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96" spans="1:27" x14ac:dyDescent="0.3">
      <c r="A896" t="s">
        <v>794</v>
      </c>
      <c r="B896">
        <v>1365</v>
      </c>
      <c r="C896">
        <v>313</v>
      </c>
      <c r="D896">
        <f>IFERROR(tinder[[#This Row],[Tinder Opened]]/tinder[[#This Row],[Days on Tinder]],0)</f>
        <v>4.3610223642172521</v>
      </c>
      <c r="E896">
        <f>tinder[[#This Row],[Engagement]]/MAX(tinder[Engagement])</f>
        <v>2.1914685247322874E-2</v>
      </c>
      <c r="F89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96">
        <v>152</v>
      </c>
      <c r="H896">
        <f>IFERROR(tinder[[#This Row],[Conversations]]/tinder[[#This Row],[Tinder Opened]],0)</f>
        <v>0.11135531135531136</v>
      </c>
      <c r="I896">
        <f>tinder[[#This Row],[Conversations]]/MAX(tinder[Conversations])</f>
        <v>1.2023414016769499E-2</v>
      </c>
      <c r="J896">
        <f>(tinder[[#This Row],[Norm Engagement]]*2)+(tinder[[#This Row],[Norm Swipes]]*1)+(tinder[[#This Row],[Norm Conversations]]*2)</f>
        <v>8.1764956515781584E-2</v>
      </c>
      <c r="K89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96">
        <v>54</v>
      </c>
      <c r="M896">
        <v>32</v>
      </c>
      <c r="N896">
        <v>464</v>
      </c>
      <c r="O896">
        <v>812</v>
      </c>
      <c r="P896">
        <v>912</v>
      </c>
      <c r="Q896">
        <f>tinder[[#This Row],[All Swipes]]/MAX(tinder[All Swipes])</f>
        <v>1.3888757987596841E-2</v>
      </c>
      <c r="R896">
        <f>tinder[[#This Row],[Swipe Right (LIKE)]]+tinder[[#This Row],[Swipe Left (PASS)]]</f>
        <v>11789</v>
      </c>
      <c r="S896">
        <v>10009</v>
      </c>
      <c r="T896">
        <v>1780</v>
      </c>
      <c r="U896" t="s">
        <v>8</v>
      </c>
      <c r="V896" s="1">
        <v>43887</v>
      </c>
      <c r="W896" t="s">
        <v>12</v>
      </c>
      <c r="X896" t="s">
        <v>1295</v>
      </c>
      <c r="Y896" t="s">
        <v>8</v>
      </c>
      <c r="Z896">
        <v>22</v>
      </c>
      <c r="AA89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97" spans="1:27" x14ac:dyDescent="0.3">
      <c r="A897" t="s">
        <v>1243</v>
      </c>
      <c r="B897">
        <v>1717</v>
      </c>
      <c r="C897">
        <v>394</v>
      </c>
      <c r="D897">
        <f>IFERROR(tinder[[#This Row],[Tinder Opened]]/tinder[[#This Row],[Days on Tinder]],0)</f>
        <v>4.3578680203045685</v>
      </c>
      <c r="E897">
        <f>tinder[[#This Row],[Engagement]]/MAX(tinder[Engagement])</f>
        <v>2.1898834272887278E-2</v>
      </c>
      <c r="F89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97">
        <v>65</v>
      </c>
      <c r="H897">
        <f>IFERROR(tinder[[#This Row],[Conversations]]/tinder[[#This Row],[Tinder Opened]],0)</f>
        <v>3.7856726849155503E-2</v>
      </c>
      <c r="I897">
        <f>tinder[[#This Row],[Conversations]]/MAX(tinder[Conversations])</f>
        <v>5.141591520329062E-3</v>
      </c>
      <c r="J897">
        <f>(tinder[[#This Row],[Norm Engagement]]*2)+(tinder[[#This Row],[Norm Swipes]]*1)+(tinder[[#This Row],[Norm Conversations]]*2)</f>
        <v>8.8498204699474836E-2</v>
      </c>
      <c r="K89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97">
        <v>23</v>
      </c>
      <c r="M897">
        <v>3</v>
      </c>
      <c r="N897">
        <v>114</v>
      </c>
      <c r="O897">
        <v>687</v>
      </c>
      <c r="P897">
        <v>353</v>
      </c>
      <c r="Q897">
        <f>tinder[[#This Row],[All Swipes]]/MAX(tinder[All Swipes])</f>
        <v>3.4417353113042164E-2</v>
      </c>
      <c r="R897">
        <f>tinder[[#This Row],[Swipe Right (LIKE)]]+tinder[[#This Row],[Swipe Left (PASS)]]</f>
        <v>29214</v>
      </c>
      <c r="S897">
        <v>14627</v>
      </c>
      <c r="T897">
        <v>14587</v>
      </c>
      <c r="U897" t="s">
        <v>10</v>
      </c>
      <c r="V897" s="1">
        <v>42943</v>
      </c>
      <c r="W897" t="s">
        <v>7</v>
      </c>
      <c r="X897" t="s">
        <v>1295</v>
      </c>
      <c r="Y897" t="s">
        <v>8</v>
      </c>
      <c r="Z897">
        <v>26</v>
      </c>
      <c r="AA89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898" spans="1:27" x14ac:dyDescent="0.3">
      <c r="A898" t="s">
        <v>942</v>
      </c>
      <c r="B898">
        <v>152</v>
      </c>
      <c r="C898">
        <v>35</v>
      </c>
      <c r="D898">
        <f>IFERROR(tinder[[#This Row],[Tinder Opened]]/tinder[[#This Row],[Days on Tinder]],0)</f>
        <v>4.3428571428571425</v>
      </c>
      <c r="E898">
        <f>tinder[[#This Row],[Engagement]]/MAX(tinder[Engagement])</f>
        <v>2.182340272792534E-2</v>
      </c>
      <c r="F89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98">
        <v>61</v>
      </c>
      <c r="H898">
        <f>IFERROR(tinder[[#This Row],[Conversations]]/tinder[[#This Row],[Tinder Opened]],0)</f>
        <v>0.40131578947368424</v>
      </c>
      <c r="I898">
        <f>tinder[[#This Row],[Conversations]]/MAX(tinder[Conversations])</f>
        <v>4.825185888308812E-3</v>
      </c>
      <c r="J898">
        <f>(tinder[[#This Row],[Norm Engagement]]*2)+(tinder[[#This Row],[Norm Swipes]]*1)+(tinder[[#This Row],[Norm Conversations]]*2)</f>
        <v>5.4805160116862567E-2</v>
      </c>
      <c r="K89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898">
        <v>15</v>
      </c>
      <c r="M898">
        <v>4</v>
      </c>
      <c r="N898">
        <v>52</v>
      </c>
      <c r="O898">
        <v>531</v>
      </c>
      <c r="P898">
        <v>674</v>
      </c>
      <c r="Q898">
        <f>tinder[[#This Row],[All Swipes]]/MAX(tinder[All Swipes])</f>
        <v>1.5079828843942622E-3</v>
      </c>
      <c r="R898">
        <f>tinder[[#This Row],[Swipe Right (LIKE)]]+tinder[[#This Row],[Swipe Left (PASS)]]</f>
        <v>1280</v>
      </c>
      <c r="S898">
        <v>638</v>
      </c>
      <c r="T898">
        <v>642</v>
      </c>
      <c r="U898" t="s">
        <v>10</v>
      </c>
      <c r="V898" s="1">
        <v>44189</v>
      </c>
      <c r="W898" t="s">
        <v>12</v>
      </c>
      <c r="X898" t="s">
        <v>1296</v>
      </c>
      <c r="Y898" t="s">
        <v>8</v>
      </c>
      <c r="Z898">
        <v>33</v>
      </c>
      <c r="AA89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899" spans="1:27" x14ac:dyDescent="0.3">
      <c r="A899" t="s">
        <v>1047</v>
      </c>
      <c r="B899">
        <v>2187</v>
      </c>
      <c r="C899">
        <v>504</v>
      </c>
      <c r="D899">
        <f>IFERROR(tinder[[#This Row],[Tinder Opened]]/tinder[[#This Row],[Days on Tinder]],0)</f>
        <v>4.3392857142857144</v>
      </c>
      <c r="E899">
        <f>tinder[[#This Row],[Engagement]]/MAX(tinder[Engagement])</f>
        <v>2.1805455850681981E-2</v>
      </c>
      <c r="F89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899">
        <v>39</v>
      </c>
      <c r="H899">
        <f>IFERROR(tinder[[#This Row],[Conversations]]/tinder[[#This Row],[Tinder Opened]],0)</f>
        <v>1.7832647462277092E-2</v>
      </c>
      <c r="I899">
        <f>tinder[[#This Row],[Conversations]]/MAX(tinder[Conversations])</f>
        <v>3.0849549121974369E-3</v>
      </c>
      <c r="J899">
        <f>(tinder[[#This Row],[Norm Engagement]]*2)+(tinder[[#This Row],[Norm Swipes]]*1)+(tinder[[#This Row],[Norm Conversations]]*2)</f>
        <v>8.9633981692390938E-2</v>
      </c>
      <c r="K89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899">
        <v>22</v>
      </c>
      <c r="M899">
        <v>2</v>
      </c>
      <c r="N899">
        <v>78</v>
      </c>
      <c r="O899">
        <v>193</v>
      </c>
      <c r="P899">
        <v>148</v>
      </c>
      <c r="Q899">
        <f>tinder[[#This Row],[All Swipes]]/MAX(tinder[All Swipes])</f>
        <v>3.9853160166632109E-2</v>
      </c>
      <c r="R899">
        <f>tinder[[#This Row],[Swipe Right (LIKE)]]+tinder[[#This Row],[Swipe Left (PASS)]]</f>
        <v>33828</v>
      </c>
      <c r="S899">
        <v>4983</v>
      </c>
      <c r="T899">
        <v>28845</v>
      </c>
      <c r="U899" t="s">
        <v>10</v>
      </c>
      <c r="V899" s="1">
        <v>43018</v>
      </c>
      <c r="W899" t="s">
        <v>12</v>
      </c>
      <c r="X899" t="s">
        <v>1295</v>
      </c>
      <c r="Y899" t="s">
        <v>1048</v>
      </c>
      <c r="Z899">
        <v>22</v>
      </c>
      <c r="AA89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00" spans="1:27" x14ac:dyDescent="0.3">
      <c r="A900" t="s">
        <v>345</v>
      </c>
      <c r="B900">
        <v>1032</v>
      </c>
      <c r="C900">
        <v>240</v>
      </c>
      <c r="D900">
        <f>IFERROR(tinder[[#This Row],[Tinder Opened]]/tinder[[#This Row],[Days on Tinder]],0)</f>
        <v>4.3</v>
      </c>
      <c r="E900">
        <f>tinder[[#This Row],[Engagement]]/MAX(tinder[Engagement])</f>
        <v>2.1608040201005024E-2</v>
      </c>
      <c r="F90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00">
        <v>4</v>
      </c>
      <c r="H900">
        <f>IFERROR(tinder[[#This Row],[Conversations]]/tinder[[#This Row],[Tinder Opened]],0)</f>
        <v>3.875968992248062E-3</v>
      </c>
      <c r="I900">
        <f>tinder[[#This Row],[Conversations]]/MAX(tinder[Conversations])</f>
        <v>3.1640563202024995E-4</v>
      </c>
      <c r="J900">
        <f>(tinder[[#This Row],[Norm Engagement]]*2)+(tinder[[#This Row],[Norm Swipes]]*1)+(tinder[[#This Row],[Norm Conversations]]*2)</f>
        <v>6.2871860130358476E-2</v>
      </c>
      <c r="K90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00">
        <v>2</v>
      </c>
      <c r="M900">
        <v>0</v>
      </c>
      <c r="N900">
        <v>16</v>
      </c>
      <c r="O900">
        <v>25</v>
      </c>
      <c r="P900">
        <v>18</v>
      </c>
      <c r="Q900">
        <f>tinder[[#This Row],[All Swipes]]/MAX(tinder[All Swipes])</f>
        <v>1.902296846430793E-2</v>
      </c>
      <c r="R900">
        <f>tinder[[#This Row],[Swipe Right (LIKE)]]+tinder[[#This Row],[Swipe Left (PASS)]]</f>
        <v>16147</v>
      </c>
      <c r="S900">
        <v>8081</v>
      </c>
      <c r="T900">
        <v>8066</v>
      </c>
      <c r="U900" t="s">
        <v>8</v>
      </c>
      <c r="V900" s="1">
        <v>43319</v>
      </c>
      <c r="W900" t="s">
        <v>12</v>
      </c>
      <c r="X900" t="s">
        <v>1295</v>
      </c>
      <c r="Y900" t="s">
        <v>8</v>
      </c>
      <c r="Z900">
        <v>18</v>
      </c>
      <c r="AA90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01" spans="1:27" x14ac:dyDescent="0.3">
      <c r="A901" t="s">
        <v>338</v>
      </c>
      <c r="B901">
        <v>1565</v>
      </c>
      <c r="C901">
        <v>364</v>
      </c>
      <c r="D901">
        <f>IFERROR(tinder[[#This Row],[Tinder Opened]]/tinder[[#This Row],[Days on Tinder]],0)</f>
        <v>4.2994505494505493</v>
      </c>
      <c r="E901">
        <f>tinder[[#This Row],[Engagement]]/MAX(tinder[Engagement])</f>
        <v>2.1605279142967584E-2</v>
      </c>
      <c r="F90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01">
        <v>35</v>
      </c>
      <c r="H901">
        <f>IFERROR(tinder[[#This Row],[Conversations]]/tinder[[#This Row],[Tinder Opened]],0)</f>
        <v>2.2364217252396165E-2</v>
      </c>
      <c r="I901">
        <f>tinder[[#This Row],[Conversations]]/MAX(tinder[Conversations])</f>
        <v>2.7685492801771874E-3</v>
      </c>
      <c r="J901">
        <f>(tinder[[#This Row],[Norm Engagement]]*2)+(tinder[[#This Row],[Norm Swipes]]*1)+(tinder[[#This Row],[Norm Conversations]]*2)</f>
        <v>9.8843319510518307E-2</v>
      </c>
      <c r="K90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01">
        <v>15</v>
      </c>
      <c r="M901">
        <v>10</v>
      </c>
      <c r="N901">
        <v>39</v>
      </c>
      <c r="O901">
        <v>57</v>
      </c>
      <c r="P901">
        <v>38</v>
      </c>
      <c r="Q901">
        <f>tinder[[#This Row],[All Swipes]]/MAX(tinder[All Swipes])</f>
        <v>5.0095662664228761E-2</v>
      </c>
      <c r="R901">
        <f>tinder[[#This Row],[Swipe Right (LIKE)]]+tinder[[#This Row],[Swipe Left (PASS)]]</f>
        <v>42522</v>
      </c>
      <c r="S901">
        <v>26631</v>
      </c>
      <c r="T901">
        <v>15891</v>
      </c>
      <c r="U901" t="s">
        <v>10</v>
      </c>
      <c r="V901" s="1">
        <v>43626</v>
      </c>
      <c r="W901" t="s">
        <v>12</v>
      </c>
      <c r="X901" t="s">
        <v>1295</v>
      </c>
      <c r="Y901" t="s">
        <v>179</v>
      </c>
      <c r="Z901">
        <v>20</v>
      </c>
      <c r="AA90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02" spans="1:27" x14ac:dyDescent="0.3">
      <c r="A902" t="s">
        <v>592</v>
      </c>
      <c r="B902">
        <v>1029</v>
      </c>
      <c r="C902">
        <v>240</v>
      </c>
      <c r="D902">
        <f>IFERROR(tinder[[#This Row],[Tinder Opened]]/tinder[[#This Row],[Days on Tinder]],0)</f>
        <v>4.2874999999999996</v>
      </c>
      <c r="E902">
        <f>tinder[[#This Row],[Engagement]]/MAX(tinder[Engagement])</f>
        <v>2.1545226130653263E-2</v>
      </c>
      <c r="F90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02">
        <v>26</v>
      </c>
      <c r="H902">
        <f>IFERROR(tinder[[#This Row],[Conversations]]/tinder[[#This Row],[Tinder Opened]],0)</f>
        <v>2.5267249757045675E-2</v>
      </c>
      <c r="I902">
        <f>tinder[[#This Row],[Conversations]]/MAX(tinder[Conversations])</f>
        <v>2.0566366081316246E-3</v>
      </c>
      <c r="J902">
        <f>(tinder[[#This Row],[Norm Engagement]]*2)+(tinder[[#This Row],[Norm Swipes]]*1)+(tinder[[#This Row],[Norm Conversations]]*2)</f>
        <v>7.5604462504204523E-2</v>
      </c>
      <c r="K90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02">
        <v>17</v>
      </c>
      <c r="M902">
        <v>0</v>
      </c>
      <c r="N902">
        <v>41</v>
      </c>
      <c r="O902">
        <v>106</v>
      </c>
      <c r="P902">
        <v>88</v>
      </c>
      <c r="Q902">
        <f>tinder[[#This Row],[All Swipes]]/MAX(tinder[All Swipes])</f>
        <v>2.8400737026634749E-2</v>
      </c>
      <c r="R902">
        <f>tinder[[#This Row],[Swipe Right (LIKE)]]+tinder[[#This Row],[Swipe Left (PASS)]]</f>
        <v>24107</v>
      </c>
      <c r="S902">
        <v>19679</v>
      </c>
      <c r="T902">
        <v>4428</v>
      </c>
      <c r="U902" t="s">
        <v>238</v>
      </c>
      <c r="V902" s="1">
        <v>43770</v>
      </c>
      <c r="W902" t="s">
        <v>12</v>
      </c>
      <c r="X902" t="s">
        <v>1295</v>
      </c>
      <c r="Y902" t="s">
        <v>8</v>
      </c>
      <c r="Z902">
        <v>29</v>
      </c>
      <c r="AA90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03" spans="1:27" x14ac:dyDescent="0.3">
      <c r="A903" t="s">
        <v>1111</v>
      </c>
      <c r="B903">
        <v>552</v>
      </c>
      <c r="C903">
        <v>129</v>
      </c>
      <c r="D903">
        <f>IFERROR(tinder[[#This Row],[Tinder Opened]]/tinder[[#This Row],[Days on Tinder]],0)</f>
        <v>4.2790697674418601</v>
      </c>
      <c r="E903">
        <f>tinder[[#This Row],[Engagement]]/MAX(tinder[Engagement])</f>
        <v>2.1502863152974172E-2</v>
      </c>
      <c r="F90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03">
        <v>13</v>
      </c>
      <c r="H903">
        <f>IFERROR(tinder[[#This Row],[Conversations]]/tinder[[#This Row],[Tinder Opened]],0)</f>
        <v>2.355072463768116E-2</v>
      </c>
      <c r="I903">
        <f>tinder[[#This Row],[Conversations]]/MAX(tinder[Conversations])</f>
        <v>1.0283183040658123E-3</v>
      </c>
      <c r="J903">
        <f>(tinder[[#This Row],[Norm Engagement]]*2)+(tinder[[#This Row],[Norm Swipes]]*1)+(tinder[[#This Row],[Norm Conversations]]*2)</f>
        <v>4.9358936022975176E-2</v>
      </c>
      <c r="K90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03">
        <v>4</v>
      </c>
      <c r="M903">
        <v>0</v>
      </c>
      <c r="N903">
        <v>13</v>
      </c>
      <c r="O903">
        <v>181</v>
      </c>
      <c r="P903">
        <v>166</v>
      </c>
      <c r="Q903">
        <f>tinder[[#This Row],[All Swipes]]/MAX(tinder[All Swipes])</f>
        <v>4.2965731088952137E-3</v>
      </c>
      <c r="R903">
        <f>tinder[[#This Row],[Swipe Right (LIKE)]]+tinder[[#This Row],[Swipe Left (PASS)]]</f>
        <v>3647</v>
      </c>
      <c r="S903">
        <v>1484</v>
      </c>
      <c r="T903">
        <v>2163</v>
      </c>
      <c r="U903" t="s">
        <v>8</v>
      </c>
      <c r="V903" s="1">
        <v>44108</v>
      </c>
      <c r="W903" t="s">
        <v>12</v>
      </c>
      <c r="X903" t="s">
        <v>1295</v>
      </c>
      <c r="Y903" t="s">
        <v>108</v>
      </c>
      <c r="Z903">
        <v>21</v>
      </c>
      <c r="AA90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04" spans="1:27" x14ac:dyDescent="0.3">
      <c r="A904" t="s">
        <v>777</v>
      </c>
      <c r="B904">
        <v>958</v>
      </c>
      <c r="C904">
        <v>224</v>
      </c>
      <c r="D904">
        <f>IFERROR(tinder[[#This Row],[Tinder Opened]]/tinder[[#This Row],[Days on Tinder]],0)</f>
        <v>4.2767857142857144</v>
      </c>
      <c r="E904">
        <f>tinder[[#This Row],[Engagement]]/MAX(tinder[Engagement])</f>
        <v>2.1491385498923189E-2</v>
      </c>
      <c r="F90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04">
        <v>31</v>
      </c>
      <c r="H904">
        <f>IFERROR(tinder[[#This Row],[Conversations]]/tinder[[#This Row],[Tinder Opened]],0)</f>
        <v>3.2359081419624215E-2</v>
      </c>
      <c r="I904">
        <f>tinder[[#This Row],[Conversations]]/MAX(tinder[Conversations])</f>
        <v>2.4521436481569374E-3</v>
      </c>
      <c r="J904">
        <f>(tinder[[#This Row],[Norm Engagement]]*2)+(tinder[[#This Row],[Norm Swipes]]*1)+(tinder[[#This Row],[Norm Conversations]]*2)</f>
        <v>6.4119080310710355E-2</v>
      </c>
      <c r="K90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04">
        <v>21</v>
      </c>
      <c r="M904">
        <v>0</v>
      </c>
      <c r="N904">
        <v>53</v>
      </c>
      <c r="O904">
        <v>96</v>
      </c>
      <c r="P904">
        <v>86</v>
      </c>
      <c r="Q904">
        <f>tinder[[#This Row],[All Swipes]]/MAX(tinder[All Swipes])</f>
        <v>1.6232022016550111E-2</v>
      </c>
      <c r="R904">
        <f>tinder[[#This Row],[Swipe Right (LIKE)]]+tinder[[#This Row],[Swipe Left (PASS)]]</f>
        <v>13778</v>
      </c>
      <c r="S904">
        <v>6293</v>
      </c>
      <c r="T904">
        <v>7485</v>
      </c>
      <c r="U904" t="s">
        <v>10</v>
      </c>
      <c r="V904" s="1">
        <v>43350</v>
      </c>
      <c r="W904" t="s">
        <v>12</v>
      </c>
      <c r="X904" t="s">
        <v>1295</v>
      </c>
      <c r="Y904" t="s">
        <v>8</v>
      </c>
      <c r="Z904">
        <v>25</v>
      </c>
      <c r="AA90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05" spans="1:27" x14ac:dyDescent="0.3">
      <c r="A905" t="s">
        <v>856</v>
      </c>
      <c r="B905">
        <v>1295</v>
      </c>
      <c r="C905">
        <v>306</v>
      </c>
      <c r="D905">
        <f>IFERROR(tinder[[#This Row],[Tinder Opened]]/tinder[[#This Row],[Days on Tinder]],0)</f>
        <v>4.2320261437908497</v>
      </c>
      <c r="E905">
        <f>tinder[[#This Row],[Engagement]]/MAX(tinder[Engagement])</f>
        <v>2.1266463034124872E-2</v>
      </c>
      <c r="F90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05">
        <v>8</v>
      </c>
      <c r="H905">
        <f>IFERROR(tinder[[#This Row],[Conversations]]/tinder[[#This Row],[Tinder Opened]],0)</f>
        <v>6.1776061776061776E-3</v>
      </c>
      <c r="I905">
        <f>tinder[[#This Row],[Conversations]]/MAX(tinder[Conversations])</f>
        <v>6.3281126404049991E-4</v>
      </c>
      <c r="J905">
        <f>(tinder[[#This Row],[Norm Engagement]]*2)+(tinder[[#This Row],[Norm Swipes]]*1)+(tinder[[#This Row],[Norm Conversations]]*2)</f>
        <v>6.7539854132512914E-2</v>
      </c>
      <c r="K90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05">
        <v>1</v>
      </c>
      <c r="M905">
        <v>0</v>
      </c>
      <c r="N905">
        <v>9</v>
      </c>
      <c r="O905">
        <v>97</v>
      </c>
      <c r="P905">
        <v>93</v>
      </c>
      <c r="Q905">
        <f>tinder[[#This Row],[All Swipes]]/MAX(tinder[All Swipes])</f>
        <v>2.3741305536182165E-2</v>
      </c>
      <c r="R905">
        <f>tinder[[#This Row],[Swipe Right (LIKE)]]+tinder[[#This Row],[Swipe Left (PASS)]]</f>
        <v>20152</v>
      </c>
      <c r="S905">
        <v>1499</v>
      </c>
      <c r="T905">
        <v>18653</v>
      </c>
      <c r="U905" t="s">
        <v>10</v>
      </c>
      <c r="V905" s="1">
        <v>43666</v>
      </c>
      <c r="W905" t="s">
        <v>12</v>
      </c>
      <c r="X905" t="s">
        <v>1295</v>
      </c>
      <c r="Y905" t="s">
        <v>8</v>
      </c>
      <c r="Z905">
        <v>22</v>
      </c>
      <c r="AA90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06" spans="1:27" x14ac:dyDescent="0.3">
      <c r="A906" t="s">
        <v>743</v>
      </c>
      <c r="B906">
        <v>1585</v>
      </c>
      <c r="C906">
        <v>376</v>
      </c>
      <c r="D906">
        <f>IFERROR(tinder[[#This Row],[Tinder Opened]]/tinder[[#This Row],[Days on Tinder]],0)</f>
        <v>4.2154255319148932</v>
      </c>
      <c r="E906">
        <f>tinder[[#This Row],[Engagement]]/MAX(tinder[Engagement])</f>
        <v>2.1183042873944187E-2</v>
      </c>
      <c r="F90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06">
        <v>81</v>
      </c>
      <c r="H906">
        <f>IFERROR(tinder[[#This Row],[Conversations]]/tinder[[#This Row],[Tinder Opened]],0)</f>
        <v>5.1104100946372237E-2</v>
      </c>
      <c r="I906">
        <f>tinder[[#This Row],[Conversations]]/MAX(tinder[Conversations])</f>
        <v>6.407214048410062E-3</v>
      </c>
      <c r="J906">
        <f>(tinder[[#This Row],[Norm Engagement]]*2)+(tinder[[#This Row],[Norm Swipes]]*1)+(tinder[[#This Row],[Norm Conversations]]*2)</f>
        <v>8.7706997794115671E-2</v>
      </c>
      <c r="K90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06">
        <v>35</v>
      </c>
      <c r="M906">
        <v>4</v>
      </c>
      <c r="N906">
        <v>116</v>
      </c>
      <c r="O906">
        <v>289</v>
      </c>
      <c r="P906">
        <v>243</v>
      </c>
      <c r="Q906">
        <f>tinder[[#This Row],[All Swipes]]/MAX(tinder[All Swipes])</f>
        <v>3.2526483949407173E-2</v>
      </c>
      <c r="R906">
        <f>tinder[[#This Row],[Swipe Right (LIKE)]]+tinder[[#This Row],[Swipe Left (PASS)]]</f>
        <v>27609</v>
      </c>
      <c r="S906">
        <v>16849</v>
      </c>
      <c r="T906">
        <v>10760</v>
      </c>
      <c r="U906" t="s">
        <v>10</v>
      </c>
      <c r="V906" s="1">
        <v>43422</v>
      </c>
      <c r="W906" t="s">
        <v>12</v>
      </c>
      <c r="X906" t="s">
        <v>1295</v>
      </c>
      <c r="Y906" t="s">
        <v>8</v>
      </c>
      <c r="Z906">
        <v>20</v>
      </c>
      <c r="AA90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07" spans="1:27" x14ac:dyDescent="0.3">
      <c r="A907" t="s">
        <v>711</v>
      </c>
      <c r="B907">
        <v>105</v>
      </c>
      <c r="C907">
        <v>25</v>
      </c>
      <c r="D907">
        <f>IFERROR(tinder[[#This Row],[Tinder Opened]]/tinder[[#This Row],[Days on Tinder]],0)</f>
        <v>4.2</v>
      </c>
      <c r="E907">
        <f>tinder[[#This Row],[Engagement]]/MAX(tinder[Engagement])</f>
        <v>2.1105527638190957E-2</v>
      </c>
      <c r="F90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07">
        <v>7</v>
      </c>
      <c r="H907">
        <f>IFERROR(tinder[[#This Row],[Conversations]]/tinder[[#This Row],[Tinder Opened]],0)</f>
        <v>6.6666666666666666E-2</v>
      </c>
      <c r="I907">
        <f>tinder[[#This Row],[Conversations]]/MAX(tinder[Conversations])</f>
        <v>5.5370985603543741E-4</v>
      </c>
      <c r="J907">
        <f>(tinder[[#This Row],[Norm Engagement]]*2)+(tinder[[#This Row],[Norm Swipes]]*1)+(tinder[[#This Row],[Norm Conversations]]*2)</f>
        <v>4.6382743334007062E-2</v>
      </c>
      <c r="K90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07">
        <v>3</v>
      </c>
      <c r="M907">
        <v>0</v>
      </c>
      <c r="N907">
        <v>1</v>
      </c>
      <c r="O907">
        <v>13</v>
      </c>
      <c r="P907">
        <v>10</v>
      </c>
      <c r="Q907">
        <f>tinder[[#This Row],[All Swipes]]/MAX(tinder[All Swipes])</f>
        <v>3.0642683455542781E-3</v>
      </c>
      <c r="R907">
        <f>tinder[[#This Row],[Swipe Right (LIKE)]]+tinder[[#This Row],[Swipe Left (PASS)]]</f>
        <v>2601</v>
      </c>
      <c r="S907">
        <v>1306</v>
      </c>
      <c r="T907">
        <v>1295</v>
      </c>
      <c r="U907" t="s">
        <v>75</v>
      </c>
      <c r="V907" s="1">
        <v>44248</v>
      </c>
      <c r="W907" t="s">
        <v>12</v>
      </c>
      <c r="X907" t="s">
        <v>1295</v>
      </c>
      <c r="Y907" t="s">
        <v>712</v>
      </c>
      <c r="Z907">
        <v>23</v>
      </c>
      <c r="AA90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08" spans="1:27" x14ac:dyDescent="0.3">
      <c r="A908" t="s">
        <v>483</v>
      </c>
      <c r="B908">
        <v>105</v>
      </c>
      <c r="C908">
        <v>25</v>
      </c>
      <c r="D908">
        <f>IFERROR(tinder[[#This Row],[Tinder Opened]]/tinder[[#This Row],[Days on Tinder]],0)</f>
        <v>4.2</v>
      </c>
      <c r="E908">
        <f>tinder[[#This Row],[Engagement]]/MAX(tinder[Engagement])</f>
        <v>2.1105527638190957E-2</v>
      </c>
      <c r="F90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08">
        <v>1</v>
      </c>
      <c r="H908">
        <f>IFERROR(tinder[[#This Row],[Conversations]]/tinder[[#This Row],[Tinder Opened]],0)</f>
        <v>9.5238095238095247E-3</v>
      </c>
      <c r="I908">
        <f>tinder[[#This Row],[Conversations]]/MAX(tinder[Conversations])</f>
        <v>7.9101408005062489E-5</v>
      </c>
      <c r="J908">
        <f>(tinder[[#This Row],[Norm Engagement]]*2)+(tinder[[#This Row],[Norm Swipes]]*1)+(tinder[[#This Row],[Norm Conversations]]*2)</f>
        <v>4.5433526437946313E-2</v>
      </c>
      <c r="K90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08">
        <v>1</v>
      </c>
      <c r="M908">
        <v>0</v>
      </c>
      <c r="N908">
        <v>1</v>
      </c>
      <c r="O908">
        <v>1</v>
      </c>
      <c r="P908">
        <v>0</v>
      </c>
      <c r="Q908">
        <f>tinder[[#This Row],[All Swipes]]/MAX(tinder[All Swipes])</f>
        <v>3.0642683455542781E-3</v>
      </c>
      <c r="R908">
        <f>tinder[[#This Row],[Swipe Right (LIKE)]]+tinder[[#This Row],[Swipe Left (PASS)]]</f>
        <v>2601</v>
      </c>
      <c r="S908">
        <v>1306</v>
      </c>
      <c r="T908">
        <v>1295</v>
      </c>
      <c r="U908" t="s">
        <v>75</v>
      </c>
      <c r="V908" s="1">
        <v>44248</v>
      </c>
      <c r="W908" t="s">
        <v>12</v>
      </c>
      <c r="X908" t="s">
        <v>1295</v>
      </c>
      <c r="Y908" t="s">
        <v>8</v>
      </c>
      <c r="Z908">
        <v>23</v>
      </c>
      <c r="AA90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09" spans="1:27" x14ac:dyDescent="0.3">
      <c r="A909" t="s">
        <v>696</v>
      </c>
      <c r="B909">
        <v>1635</v>
      </c>
      <c r="C909">
        <v>393</v>
      </c>
      <c r="D909">
        <f>IFERROR(tinder[[#This Row],[Tinder Opened]]/tinder[[#This Row],[Days on Tinder]],0)</f>
        <v>4.1603053435114505</v>
      </c>
      <c r="E909">
        <f>tinder[[#This Row],[Engagement]]/MAX(tinder[Engagement])</f>
        <v>2.0906057002570103E-2</v>
      </c>
      <c r="F90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09">
        <v>41</v>
      </c>
      <c r="H909">
        <f>IFERROR(tinder[[#This Row],[Conversations]]/tinder[[#This Row],[Tinder Opened]],0)</f>
        <v>2.5076452599388378E-2</v>
      </c>
      <c r="I909">
        <f>tinder[[#This Row],[Conversations]]/MAX(tinder[Conversations])</f>
        <v>3.2431577282075619E-3</v>
      </c>
      <c r="J909">
        <f>(tinder[[#This Row],[Norm Engagement]]*2)+(tinder[[#This Row],[Norm Swipes]]*1)+(tinder[[#This Row],[Norm Conversations]]*2)</f>
        <v>6.4754292687507709E-2</v>
      </c>
      <c r="K90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09">
        <v>19</v>
      </c>
      <c r="M909">
        <v>0</v>
      </c>
      <c r="N909">
        <v>40</v>
      </c>
      <c r="O909">
        <v>316</v>
      </c>
      <c r="P909">
        <v>224</v>
      </c>
      <c r="Q909">
        <f>tinder[[#This Row],[All Swipes]]/MAX(tinder[All Swipes])</f>
        <v>1.6455863225952386E-2</v>
      </c>
      <c r="R909">
        <f>tinder[[#This Row],[Swipe Right (LIKE)]]+tinder[[#This Row],[Swipe Left (PASS)]]</f>
        <v>13968</v>
      </c>
      <c r="S909">
        <v>9135</v>
      </c>
      <c r="T909">
        <v>4833</v>
      </c>
      <c r="U909" t="s">
        <v>311</v>
      </c>
      <c r="V909" s="1">
        <v>41809</v>
      </c>
      <c r="W909" t="s">
        <v>7</v>
      </c>
      <c r="X909" t="s">
        <v>1295</v>
      </c>
      <c r="Y909" t="s">
        <v>58</v>
      </c>
      <c r="Z909">
        <v>23</v>
      </c>
      <c r="AA90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10" spans="1:27" x14ac:dyDescent="0.3">
      <c r="A910" t="s">
        <v>607</v>
      </c>
      <c r="B910">
        <v>4088</v>
      </c>
      <c r="C910">
        <v>984</v>
      </c>
      <c r="D910">
        <f>IFERROR(tinder[[#This Row],[Tinder Opened]]/tinder[[#This Row],[Days on Tinder]],0)</f>
        <v>4.154471544715447</v>
      </c>
      <c r="E910">
        <f>tinder[[#This Row],[Engagement]]/MAX(tinder[Engagement])</f>
        <v>2.0876741430730889E-2</v>
      </c>
      <c r="F91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10">
        <v>114</v>
      </c>
      <c r="H910">
        <f>IFERROR(tinder[[#This Row],[Conversations]]/tinder[[#This Row],[Tinder Opened]],0)</f>
        <v>2.7886497064579255E-2</v>
      </c>
      <c r="I910">
        <f>tinder[[#This Row],[Conversations]]/MAX(tinder[Conversations])</f>
        <v>9.017560512577124E-3</v>
      </c>
      <c r="J910">
        <f>(tinder[[#This Row],[Norm Engagement]]*2)+(tinder[[#This Row],[Norm Swipes]]*1)+(tinder[[#This Row],[Norm Conversations]]*2)</f>
        <v>0.13867613663811931</v>
      </c>
      <c r="K91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10">
        <v>43</v>
      </c>
      <c r="M910">
        <v>0</v>
      </c>
      <c r="N910">
        <v>342</v>
      </c>
      <c r="O910">
        <v>1033</v>
      </c>
      <c r="P910">
        <v>970</v>
      </c>
      <c r="Q910">
        <f>tinder[[#This Row],[All Swipes]]/MAX(tinder[All Swipes])</f>
        <v>7.8887532751503273E-2</v>
      </c>
      <c r="R910">
        <f>tinder[[#This Row],[Swipe Right (LIKE)]]+tinder[[#This Row],[Swipe Left (PASS)]]</f>
        <v>66961</v>
      </c>
      <c r="S910">
        <v>5428</v>
      </c>
      <c r="T910">
        <v>61533</v>
      </c>
      <c r="U910" t="s">
        <v>8</v>
      </c>
      <c r="V910" s="1">
        <v>41840</v>
      </c>
      <c r="W910" t="s">
        <v>7</v>
      </c>
      <c r="X910" t="s">
        <v>1295</v>
      </c>
      <c r="Y910" t="s">
        <v>8</v>
      </c>
      <c r="Z910">
        <v>20</v>
      </c>
      <c r="AA91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11" spans="1:27" x14ac:dyDescent="0.3">
      <c r="A911" t="s">
        <v>1143</v>
      </c>
      <c r="B911">
        <v>4988</v>
      </c>
      <c r="C911">
        <v>1206</v>
      </c>
      <c r="D911">
        <f>IFERROR(tinder[[#This Row],[Tinder Opened]]/tinder[[#This Row],[Days on Tinder]],0)</f>
        <v>4.1359867330016584</v>
      </c>
      <c r="E911">
        <f>tinder[[#This Row],[Engagement]]/MAX(tinder[Engagement])</f>
        <v>2.0783852929656576E-2</v>
      </c>
      <c r="F91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11">
        <v>166</v>
      </c>
      <c r="H911">
        <f>IFERROR(tinder[[#This Row],[Conversations]]/tinder[[#This Row],[Tinder Opened]],0)</f>
        <v>3.3279871692060946E-2</v>
      </c>
      <c r="I911">
        <f>tinder[[#This Row],[Conversations]]/MAX(tinder[Conversations])</f>
        <v>1.3130833728840373E-2</v>
      </c>
      <c r="J911">
        <f>(tinder[[#This Row],[Norm Engagement]]*2)+(tinder[[#This Row],[Norm Swipes]]*1)+(tinder[[#This Row],[Norm Conversations]]*2)</f>
        <v>0.17532852507662142</v>
      </c>
      <c r="K91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11">
        <v>31</v>
      </c>
      <c r="M911">
        <v>72</v>
      </c>
      <c r="N911">
        <v>998</v>
      </c>
      <c r="O911">
        <v>801</v>
      </c>
      <c r="P911">
        <v>1078</v>
      </c>
      <c r="Q911">
        <f>tinder[[#This Row],[All Swipes]]/MAX(tinder[All Swipes])</f>
        <v>0.10749915175962753</v>
      </c>
      <c r="R911">
        <f>tinder[[#This Row],[Swipe Right (LIKE)]]+tinder[[#This Row],[Swipe Left (PASS)]]</f>
        <v>91247</v>
      </c>
      <c r="S911">
        <v>69244</v>
      </c>
      <c r="T911">
        <v>22003</v>
      </c>
      <c r="U911" t="s">
        <v>1061</v>
      </c>
      <c r="V911" s="1">
        <v>42155</v>
      </c>
      <c r="W911" t="s">
        <v>7</v>
      </c>
      <c r="X911" t="s">
        <v>1295</v>
      </c>
      <c r="Y911" t="s">
        <v>1144</v>
      </c>
      <c r="Z911">
        <v>28</v>
      </c>
      <c r="AA91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12" spans="1:27" x14ac:dyDescent="0.3">
      <c r="A912" t="s">
        <v>1023</v>
      </c>
      <c r="B912">
        <v>1204</v>
      </c>
      <c r="C912">
        <v>293</v>
      </c>
      <c r="D912">
        <f>IFERROR(tinder[[#This Row],[Tinder Opened]]/tinder[[#This Row],[Days on Tinder]],0)</f>
        <v>4.1092150170648463</v>
      </c>
      <c r="E912">
        <f>tinder[[#This Row],[Engagement]]/MAX(tinder[Engagement])</f>
        <v>2.0649321693793198E-2</v>
      </c>
      <c r="F91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12">
        <v>14</v>
      </c>
      <c r="H912">
        <f>IFERROR(tinder[[#This Row],[Conversations]]/tinder[[#This Row],[Tinder Opened]],0)</f>
        <v>1.1627906976744186E-2</v>
      </c>
      <c r="I912">
        <f>tinder[[#This Row],[Conversations]]/MAX(tinder[Conversations])</f>
        <v>1.1074197120708748E-3</v>
      </c>
      <c r="J912">
        <f>(tinder[[#This Row],[Norm Engagement]]*2)+(tinder[[#This Row],[Norm Swipes]]*1)+(tinder[[#This Row],[Norm Conversations]]*2)</f>
        <v>6.5431071547096001E-2</v>
      </c>
      <c r="K91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12">
        <v>7</v>
      </c>
      <c r="M912">
        <v>0</v>
      </c>
      <c r="N912">
        <v>48</v>
      </c>
      <c r="O912">
        <v>32</v>
      </c>
      <c r="P912">
        <v>27</v>
      </c>
      <c r="Q912">
        <f>tinder[[#This Row],[All Swipes]]/MAX(tinder[All Swipes])</f>
        <v>2.1917588735367855E-2</v>
      </c>
      <c r="R912">
        <f>tinder[[#This Row],[Swipe Right (LIKE)]]+tinder[[#This Row],[Swipe Left (PASS)]]</f>
        <v>18604</v>
      </c>
      <c r="S912">
        <v>5589</v>
      </c>
      <c r="T912">
        <v>13015</v>
      </c>
      <c r="U912" t="s">
        <v>8</v>
      </c>
      <c r="V912" s="1">
        <v>42296</v>
      </c>
      <c r="W912" t="s">
        <v>7</v>
      </c>
      <c r="X912" t="s">
        <v>1295</v>
      </c>
      <c r="Y912" t="s">
        <v>8</v>
      </c>
      <c r="Z912">
        <v>17</v>
      </c>
      <c r="AA91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13" spans="1:27" x14ac:dyDescent="0.3">
      <c r="A913" t="s">
        <v>290</v>
      </c>
      <c r="B913">
        <v>3608</v>
      </c>
      <c r="C913">
        <v>886</v>
      </c>
      <c r="D913">
        <f>IFERROR(tinder[[#This Row],[Tinder Opened]]/tinder[[#This Row],[Days on Tinder]],0)</f>
        <v>4.0722347629796838</v>
      </c>
      <c r="E913">
        <f>tinder[[#This Row],[Engagement]]/MAX(tinder[Engagement])</f>
        <v>2.0463491271254693E-2</v>
      </c>
      <c r="F91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13">
        <v>201</v>
      </c>
      <c r="H913">
        <f>IFERROR(tinder[[#This Row],[Conversations]]/tinder[[#This Row],[Tinder Opened]],0)</f>
        <v>5.5709534368070954E-2</v>
      </c>
      <c r="I913">
        <f>tinder[[#This Row],[Conversations]]/MAX(tinder[Conversations])</f>
        <v>1.5899383009017561E-2</v>
      </c>
      <c r="J913">
        <f>(tinder[[#This Row],[Norm Engagement]]*2)+(tinder[[#This Row],[Norm Swipes]]*1)+(tinder[[#This Row],[Norm Conversations]]*2)</f>
        <v>9.8703109967492542E-2</v>
      </c>
      <c r="K91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13">
        <v>70</v>
      </c>
      <c r="M913">
        <v>28</v>
      </c>
      <c r="N913">
        <v>1265</v>
      </c>
      <c r="O913">
        <v>504</v>
      </c>
      <c r="P913">
        <v>427</v>
      </c>
      <c r="Q913">
        <f>tinder[[#This Row],[All Swipes]]/MAX(tinder[All Swipes])</f>
        <v>2.5977361406948032E-2</v>
      </c>
      <c r="R913">
        <f>tinder[[#This Row],[Swipe Right (LIKE)]]+tinder[[#This Row],[Swipe Left (PASS)]]</f>
        <v>22050</v>
      </c>
      <c r="S913">
        <v>9776</v>
      </c>
      <c r="T913">
        <v>12274</v>
      </c>
      <c r="U913" t="s">
        <v>8</v>
      </c>
      <c r="V913" s="1">
        <v>41805</v>
      </c>
      <c r="W913" t="s">
        <v>7</v>
      </c>
      <c r="X913" t="s">
        <v>1295</v>
      </c>
      <c r="Y913" t="s">
        <v>291</v>
      </c>
      <c r="Z913">
        <v>18</v>
      </c>
      <c r="AA91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14" spans="1:27" x14ac:dyDescent="0.3">
      <c r="A914" t="s">
        <v>800</v>
      </c>
      <c r="B914">
        <v>1309</v>
      </c>
      <c r="C914">
        <v>322</v>
      </c>
      <c r="D914">
        <f>IFERROR(tinder[[#This Row],[Tinder Opened]]/tinder[[#This Row],[Days on Tinder]],0)</f>
        <v>4.0652173913043477</v>
      </c>
      <c r="E914">
        <f>tinder[[#This Row],[Engagement]]/MAX(tinder[Engagement])</f>
        <v>2.0428228097006774E-2</v>
      </c>
      <c r="F91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14">
        <v>5</v>
      </c>
      <c r="H914">
        <f>IFERROR(tinder[[#This Row],[Conversations]]/tinder[[#This Row],[Tinder Opened]],0)</f>
        <v>3.8197097020626434E-3</v>
      </c>
      <c r="I914">
        <f>tinder[[#This Row],[Conversations]]/MAX(tinder[Conversations])</f>
        <v>3.9550704002531246E-4</v>
      </c>
      <c r="J914">
        <f>(tinder[[#This Row],[Norm Engagement]]*2)+(tinder[[#This Row],[Norm Swipes]]*1)+(tinder[[#This Row],[Norm Conversations]]*2)</f>
        <v>0.10037633495145008</v>
      </c>
      <c r="K91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14">
        <v>1</v>
      </c>
      <c r="M914">
        <v>1</v>
      </c>
      <c r="N914">
        <v>23</v>
      </c>
      <c r="O914">
        <v>18</v>
      </c>
      <c r="P914">
        <v>27</v>
      </c>
      <c r="Q914">
        <f>tinder[[#This Row],[All Swipes]]/MAX(tinder[All Swipes])</f>
        <v>5.872886467738591E-2</v>
      </c>
      <c r="R914">
        <f>tinder[[#This Row],[Swipe Right (LIKE)]]+tinder[[#This Row],[Swipe Left (PASS)]]</f>
        <v>49850</v>
      </c>
      <c r="S914">
        <v>1991</v>
      </c>
      <c r="T914">
        <v>47859</v>
      </c>
      <c r="U914" t="s">
        <v>10</v>
      </c>
      <c r="V914" s="1">
        <v>43304</v>
      </c>
      <c r="W914" t="s">
        <v>12</v>
      </c>
      <c r="X914" t="s">
        <v>1295</v>
      </c>
      <c r="Y914" t="s">
        <v>108</v>
      </c>
      <c r="Z914">
        <v>23</v>
      </c>
      <c r="AA91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15" spans="1:27" x14ac:dyDescent="0.3">
      <c r="A915" t="s">
        <v>909</v>
      </c>
      <c r="B915">
        <v>8702</v>
      </c>
      <c r="C915">
        <v>2143</v>
      </c>
      <c r="D915">
        <f>IFERROR(tinder[[#This Row],[Tinder Opened]]/tinder[[#This Row],[Days on Tinder]],0)</f>
        <v>4.0606626224918339</v>
      </c>
      <c r="E915">
        <f>tinder[[#This Row],[Engagement]]/MAX(tinder[Engagement])</f>
        <v>2.0405339811516755E-2</v>
      </c>
      <c r="F91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15">
        <v>98</v>
      </c>
      <c r="H915">
        <f>IFERROR(tinder[[#This Row],[Conversations]]/tinder[[#This Row],[Tinder Opened]],0)</f>
        <v>1.1261778901401976E-2</v>
      </c>
      <c r="I915">
        <f>tinder[[#This Row],[Conversations]]/MAX(tinder[Conversations])</f>
        <v>7.7519379844961239E-3</v>
      </c>
      <c r="J915">
        <f>(tinder[[#This Row],[Norm Engagement]]*2)+(tinder[[#This Row],[Norm Swipes]]*1)+(tinder[[#This Row],[Norm Conversations]]*2)</f>
        <v>0.31288724036705362</v>
      </c>
      <c r="K91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15">
        <v>36</v>
      </c>
      <c r="M915">
        <v>33</v>
      </c>
      <c r="N915">
        <v>694</v>
      </c>
      <c r="O915">
        <v>163</v>
      </c>
      <c r="P915">
        <v>242</v>
      </c>
      <c r="Q915">
        <f>tinder[[#This Row],[All Swipes]]/MAX(tinder[All Swipes])</f>
        <v>0.25657268477502782</v>
      </c>
      <c r="R915">
        <f>tinder[[#This Row],[Swipe Right (LIKE)]]+tinder[[#This Row],[Swipe Left (PASS)]]</f>
        <v>217783</v>
      </c>
      <c r="S915">
        <v>191175</v>
      </c>
      <c r="T915">
        <v>26608</v>
      </c>
      <c r="U915" t="s">
        <v>497</v>
      </c>
      <c r="V915" s="1">
        <v>41513</v>
      </c>
      <c r="W915" t="s">
        <v>7</v>
      </c>
      <c r="X915" t="s">
        <v>1295</v>
      </c>
      <c r="Y915" t="s">
        <v>8</v>
      </c>
      <c r="Z915">
        <v>20</v>
      </c>
      <c r="AA91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16" spans="1:27" x14ac:dyDescent="0.3">
      <c r="A916" t="s">
        <v>382</v>
      </c>
      <c r="B916">
        <v>1379</v>
      </c>
      <c r="C916">
        <v>340</v>
      </c>
      <c r="D916">
        <f>IFERROR(tinder[[#This Row],[Tinder Opened]]/tinder[[#This Row],[Days on Tinder]],0)</f>
        <v>4.0558823529411763</v>
      </c>
      <c r="E916">
        <f>tinder[[#This Row],[Engagement]]/MAX(tinder[Engagement])</f>
        <v>2.0381318356488324E-2</v>
      </c>
      <c r="F91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16">
        <v>622</v>
      </c>
      <c r="H916">
        <f>IFERROR(tinder[[#This Row],[Conversations]]/tinder[[#This Row],[Tinder Opened]],0)</f>
        <v>0.45105148658448152</v>
      </c>
      <c r="I916">
        <f>tinder[[#This Row],[Conversations]]/MAX(tinder[Conversations])</f>
        <v>4.9201075779148867E-2</v>
      </c>
      <c r="J916">
        <f>(tinder[[#This Row],[Norm Engagement]]*2)+(tinder[[#This Row],[Norm Swipes]]*1)+(tinder[[#This Row],[Norm Conversations]]*2)</f>
        <v>0.15644886397201518</v>
      </c>
      <c r="K91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16">
        <v>223</v>
      </c>
      <c r="M916">
        <v>5</v>
      </c>
      <c r="N916">
        <v>1078</v>
      </c>
      <c r="O916">
        <v>2525</v>
      </c>
      <c r="P916">
        <v>2284</v>
      </c>
      <c r="Q916">
        <f>tinder[[#This Row],[All Swipes]]/MAX(tinder[All Swipes])</f>
        <v>1.7284075700740798E-2</v>
      </c>
      <c r="R916">
        <f>tinder[[#This Row],[Swipe Right (LIKE)]]+tinder[[#This Row],[Swipe Left (PASS)]]</f>
        <v>14671</v>
      </c>
      <c r="S916">
        <v>8138</v>
      </c>
      <c r="T916">
        <v>6533</v>
      </c>
      <c r="U916" t="s">
        <v>8</v>
      </c>
      <c r="V916" s="1">
        <v>43511</v>
      </c>
      <c r="W916" t="s">
        <v>12</v>
      </c>
      <c r="X916" t="s">
        <v>1295</v>
      </c>
      <c r="Y916" t="s">
        <v>8</v>
      </c>
      <c r="Z916">
        <v>22</v>
      </c>
      <c r="AA91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17" spans="1:27" x14ac:dyDescent="0.3">
      <c r="A917" t="s">
        <v>1140</v>
      </c>
      <c r="B917">
        <v>2512</v>
      </c>
      <c r="C917">
        <v>622</v>
      </c>
      <c r="D917">
        <f>IFERROR(tinder[[#This Row],[Tinder Opened]]/tinder[[#This Row],[Days on Tinder]],0)</f>
        <v>4.038585209003215</v>
      </c>
      <c r="E917">
        <f>tinder[[#This Row],[Engagement]]/MAX(tinder[Engagement])</f>
        <v>2.0294398035192035E-2</v>
      </c>
      <c r="F91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17">
        <v>32</v>
      </c>
      <c r="H917">
        <f>IFERROR(tinder[[#This Row],[Conversations]]/tinder[[#This Row],[Tinder Opened]],0)</f>
        <v>1.2738853503184714E-2</v>
      </c>
      <c r="I917">
        <f>tinder[[#This Row],[Conversations]]/MAX(tinder[Conversations])</f>
        <v>2.5312450561619996E-3</v>
      </c>
      <c r="J917">
        <f>(tinder[[#This Row],[Norm Engagement]]*2)+(tinder[[#This Row],[Norm Swipes]]*1)+(tinder[[#This Row],[Norm Conversations]]*2)</f>
        <v>7.7367229331753329E-2</v>
      </c>
      <c r="K91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17">
        <v>18</v>
      </c>
      <c r="M917">
        <v>1</v>
      </c>
      <c r="N917">
        <v>53</v>
      </c>
      <c r="O917">
        <v>82</v>
      </c>
      <c r="P917">
        <v>90</v>
      </c>
      <c r="Q917">
        <f>tinder[[#This Row],[All Swipes]]/MAX(tinder[All Swipes])</f>
        <v>3.1715943149045259E-2</v>
      </c>
      <c r="R917">
        <f>tinder[[#This Row],[Swipe Right (LIKE)]]+tinder[[#This Row],[Swipe Left (PASS)]]</f>
        <v>26921</v>
      </c>
      <c r="S917">
        <v>8212</v>
      </c>
      <c r="T917">
        <v>18709</v>
      </c>
      <c r="U917" t="s">
        <v>311</v>
      </c>
      <c r="V917" s="1">
        <v>43073</v>
      </c>
      <c r="W917" t="s">
        <v>12</v>
      </c>
      <c r="X917" t="s">
        <v>1295</v>
      </c>
      <c r="Y917" t="s">
        <v>331</v>
      </c>
      <c r="Z917">
        <v>32</v>
      </c>
      <c r="AA917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918" spans="1:27" x14ac:dyDescent="0.3">
      <c r="A918" t="s">
        <v>1120</v>
      </c>
      <c r="B918">
        <v>4</v>
      </c>
      <c r="C918">
        <v>1</v>
      </c>
      <c r="D918">
        <f>IFERROR(tinder[[#This Row],[Tinder Opened]]/tinder[[#This Row],[Days on Tinder]],0)</f>
        <v>4</v>
      </c>
      <c r="E918">
        <f>tinder[[#This Row],[Engagement]]/MAX(tinder[Engagement])</f>
        <v>2.0100502512562814E-2</v>
      </c>
      <c r="F91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18">
        <v>38</v>
      </c>
      <c r="H918">
        <f>IFERROR(tinder[[#This Row],[Conversations]]/tinder[[#This Row],[Tinder Opened]],0)</f>
        <v>9.5</v>
      </c>
      <c r="I918">
        <f>tinder[[#This Row],[Conversations]]/MAX(tinder[Conversations])</f>
        <v>3.0058535041923747E-3</v>
      </c>
      <c r="J918">
        <f>(tinder[[#This Row],[Norm Engagement]]*2)+(tinder[[#This Row],[Norm Swipes]]*1)+(tinder[[#This Row],[Norm Conversations]]*2)</f>
        <v>4.6212712033510378E-2</v>
      </c>
      <c r="K91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18">
        <v>17</v>
      </c>
      <c r="M918">
        <v>3</v>
      </c>
      <c r="N918">
        <v>0</v>
      </c>
      <c r="O918">
        <v>507</v>
      </c>
      <c r="P918">
        <v>526</v>
      </c>
      <c r="Q918">
        <f>tinder[[#This Row],[All Swipes]]/MAX(tinder[All Swipes])</f>
        <v>0</v>
      </c>
      <c r="R918">
        <f>tinder[[#This Row],[Swipe Right (LIKE)]]+tinder[[#This Row],[Swipe Left (PASS)]]</f>
        <v>0</v>
      </c>
      <c r="S918">
        <v>0</v>
      </c>
      <c r="T918">
        <v>0</v>
      </c>
      <c r="U918" t="s">
        <v>8</v>
      </c>
      <c r="V918" s="1">
        <v>44296</v>
      </c>
      <c r="W918" t="s">
        <v>12</v>
      </c>
      <c r="X918" t="s">
        <v>1295</v>
      </c>
      <c r="Y918" t="s">
        <v>1121</v>
      </c>
      <c r="Z918">
        <v>21</v>
      </c>
      <c r="AA91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19" spans="1:27" x14ac:dyDescent="0.3">
      <c r="A919" t="s">
        <v>1076</v>
      </c>
      <c r="B919">
        <v>128</v>
      </c>
      <c r="C919">
        <v>32</v>
      </c>
      <c r="D919">
        <f>IFERROR(tinder[[#This Row],[Tinder Opened]]/tinder[[#This Row],[Days on Tinder]],0)</f>
        <v>4</v>
      </c>
      <c r="E919">
        <f>tinder[[#This Row],[Engagement]]/MAX(tinder[Engagement])</f>
        <v>2.0100502512562814E-2</v>
      </c>
      <c r="F91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19">
        <v>11</v>
      </c>
      <c r="H919">
        <f>IFERROR(tinder[[#This Row],[Conversations]]/tinder[[#This Row],[Tinder Opened]],0)</f>
        <v>8.59375E-2</v>
      </c>
      <c r="I919">
        <f>tinder[[#This Row],[Conversations]]/MAX(tinder[Conversations])</f>
        <v>8.7011548805568742E-4</v>
      </c>
      <c r="J919">
        <f>(tinder[[#This Row],[Norm Engagement]]*2)+(tinder[[#This Row],[Norm Swipes]]*1)+(tinder[[#This Row],[Norm Conversations]]*2)</f>
        <v>4.2976796122629626E-2</v>
      </c>
      <c r="K91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19">
        <v>6</v>
      </c>
      <c r="M919">
        <v>0</v>
      </c>
      <c r="N919">
        <v>8</v>
      </c>
      <c r="O919">
        <v>21</v>
      </c>
      <c r="P919">
        <v>18</v>
      </c>
      <c r="Q919">
        <f>tinder[[#This Row],[All Swipes]]/MAX(tinder[All Swipes])</f>
        <v>1.0355601213926221E-3</v>
      </c>
      <c r="R919">
        <f>tinder[[#This Row],[Swipe Right (LIKE)]]+tinder[[#This Row],[Swipe Left (PASS)]]</f>
        <v>879</v>
      </c>
      <c r="S919">
        <v>191</v>
      </c>
      <c r="T919">
        <v>688</v>
      </c>
      <c r="U919" t="s">
        <v>10</v>
      </c>
      <c r="V919" s="1">
        <v>44075</v>
      </c>
      <c r="W919" t="s">
        <v>12</v>
      </c>
      <c r="X919" t="s">
        <v>1295</v>
      </c>
      <c r="Y919" t="s">
        <v>8</v>
      </c>
      <c r="Z919">
        <v>34</v>
      </c>
      <c r="AA919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920" spans="1:27" x14ac:dyDescent="0.3">
      <c r="A920" t="s">
        <v>1175</v>
      </c>
      <c r="B920">
        <v>4</v>
      </c>
      <c r="C920">
        <v>1</v>
      </c>
      <c r="D920">
        <f>IFERROR(tinder[[#This Row],[Tinder Opened]]/tinder[[#This Row],[Days on Tinder]],0)</f>
        <v>4</v>
      </c>
      <c r="E920">
        <f>tinder[[#This Row],[Engagement]]/MAX(tinder[Engagement])</f>
        <v>2.0100502512562814E-2</v>
      </c>
      <c r="F92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20">
        <v>0</v>
      </c>
      <c r="H920">
        <f>IFERROR(tinder[[#This Row],[Conversations]]/tinder[[#This Row],[Tinder Opened]],0)</f>
        <v>0</v>
      </c>
      <c r="I920">
        <f>tinder[[#This Row],[Conversations]]/MAX(tinder[Conversations])</f>
        <v>0</v>
      </c>
      <c r="J920">
        <f>(tinder[[#This Row],[Norm Engagement]]*2)+(tinder[[#This Row],[Norm Swipes]]*1)+(tinder[[#This Row],[Norm Conversations]]*2)</f>
        <v>4.0201005025125629E-2</v>
      </c>
      <c r="K92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20">
        <v>0</v>
      </c>
      <c r="M920">
        <v>0</v>
      </c>
      <c r="N920">
        <v>0</v>
      </c>
      <c r="O920">
        <v>0</v>
      </c>
      <c r="P920">
        <v>0</v>
      </c>
      <c r="Q920">
        <f>tinder[[#This Row],[All Swipes]]/MAX(tinder[All Swipes])</f>
        <v>0</v>
      </c>
      <c r="R920">
        <f>tinder[[#This Row],[Swipe Right (LIKE)]]+tinder[[#This Row],[Swipe Left (PASS)]]</f>
        <v>0</v>
      </c>
      <c r="S920">
        <v>0</v>
      </c>
      <c r="T920">
        <v>0</v>
      </c>
      <c r="U920" t="s">
        <v>10</v>
      </c>
      <c r="V920" s="1">
        <v>44291</v>
      </c>
      <c r="W920" t="s">
        <v>12</v>
      </c>
      <c r="X920" t="s">
        <v>1295</v>
      </c>
      <c r="Y920" t="s">
        <v>8</v>
      </c>
      <c r="Z920">
        <v>19</v>
      </c>
      <c r="AA920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21" spans="1:27" x14ac:dyDescent="0.3">
      <c r="A921" t="s">
        <v>574</v>
      </c>
      <c r="B921">
        <v>2744</v>
      </c>
      <c r="C921">
        <v>691</v>
      </c>
      <c r="D921">
        <f>IFERROR(tinder[[#This Row],[Tinder Opened]]/tinder[[#This Row],[Days on Tinder]],0)</f>
        <v>3.9710564399421129</v>
      </c>
      <c r="E921">
        <f>tinder[[#This Row],[Engagement]]/MAX(tinder[Engagement])</f>
        <v>1.9955057487146297E-2</v>
      </c>
      <c r="F92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21">
        <v>48</v>
      </c>
      <c r="H921">
        <f>IFERROR(tinder[[#This Row],[Conversations]]/tinder[[#This Row],[Tinder Opened]],0)</f>
        <v>1.7492711370262391E-2</v>
      </c>
      <c r="I921">
        <f>tinder[[#This Row],[Conversations]]/MAX(tinder[Conversations])</f>
        <v>3.7968675842429997E-3</v>
      </c>
      <c r="J921">
        <f>(tinder[[#This Row],[Norm Engagement]]*2)+(tinder[[#This Row],[Norm Swipes]]*1)+(tinder[[#This Row],[Norm Conversations]]*2)</f>
        <v>0.10269248937672329</v>
      </c>
      <c r="K92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21">
        <v>26</v>
      </c>
      <c r="M921">
        <v>5</v>
      </c>
      <c r="N921">
        <v>250</v>
      </c>
      <c r="O921">
        <v>99</v>
      </c>
      <c r="P921">
        <v>96</v>
      </c>
      <c r="Q921">
        <f>tinder[[#This Row],[All Swipes]]/MAX(tinder[All Swipes])</f>
        <v>5.5188639233944695E-2</v>
      </c>
      <c r="R921">
        <f>tinder[[#This Row],[Swipe Right (LIKE)]]+tinder[[#This Row],[Swipe Left (PASS)]]</f>
        <v>46845</v>
      </c>
      <c r="S921">
        <v>31891</v>
      </c>
      <c r="T921">
        <v>14954</v>
      </c>
      <c r="U921" t="s">
        <v>149</v>
      </c>
      <c r="V921" s="1">
        <v>41941</v>
      </c>
      <c r="W921" t="s">
        <v>12</v>
      </c>
      <c r="X921" t="s">
        <v>1295</v>
      </c>
      <c r="Y921" t="s">
        <v>108</v>
      </c>
      <c r="Z921">
        <v>20</v>
      </c>
      <c r="AA92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22" spans="1:27" x14ac:dyDescent="0.3">
      <c r="A922" t="s">
        <v>410</v>
      </c>
      <c r="B922">
        <v>245</v>
      </c>
      <c r="C922">
        <v>62</v>
      </c>
      <c r="D922">
        <f>IFERROR(tinder[[#This Row],[Tinder Opened]]/tinder[[#This Row],[Days on Tinder]],0)</f>
        <v>3.9516129032258065</v>
      </c>
      <c r="E922">
        <f>tinder[[#This Row],[Engagement]]/MAX(tinder[Engagement])</f>
        <v>1.985735127249149E-2</v>
      </c>
      <c r="F92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22">
        <v>5</v>
      </c>
      <c r="H922">
        <f>IFERROR(tinder[[#This Row],[Conversations]]/tinder[[#This Row],[Tinder Opened]],0)</f>
        <v>2.0408163265306121E-2</v>
      </c>
      <c r="I922">
        <f>tinder[[#This Row],[Conversations]]/MAX(tinder[Conversations])</f>
        <v>3.9550704002531246E-4</v>
      </c>
      <c r="J922">
        <f>(tinder[[#This Row],[Norm Engagement]]*2)+(tinder[[#This Row],[Norm Swipes]]*1)+(tinder[[#This Row],[Norm Conversations]]*2)</f>
        <v>4.4684478571085519E-2</v>
      </c>
      <c r="K92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22">
        <v>2</v>
      </c>
      <c r="M922">
        <v>1</v>
      </c>
      <c r="N922">
        <v>24</v>
      </c>
      <c r="O922">
        <v>37</v>
      </c>
      <c r="P922">
        <v>66</v>
      </c>
      <c r="Q922">
        <f>tinder[[#This Row],[All Swipes]]/MAX(tinder[All Swipes])</f>
        <v>4.1787619460519126E-3</v>
      </c>
      <c r="R922">
        <f>tinder[[#This Row],[Swipe Right (LIKE)]]+tinder[[#This Row],[Swipe Left (PASS)]]</f>
        <v>3547</v>
      </c>
      <c r="S922">
        <v>354</v>
      </c>
      <c r="T922">
        <v>3193</v>
      </c>
      <c r="U922" t="s">
        <v>238</v>
      </c>
      <c r="V922" s="1">
        <v>44112</v>
      </c>
      <c r="W922" t="s">
        <v>12</v>
      </c>
      <c r="X922" t="s">
        <v>1295</v>
      </c>
      <c r="Y922" t="s">
        <v>8</v>
      </c>
      <c r="Z922">
        <v>24</v>
      </c>
      <c r="AA92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23" spans="1:27" x14ac:dyDescent="0.3">
      <c r="A923" t="s">
        <v>1164</v>
      </c>
      <c r="B923">
        <v>1687</v>
      </c>
      <c r="C923">
        <v>434</v>
      </c>
      <c r="D923">
        <f>IFERROR(tinder[[#This Row],[Tinder Opened]]/tinder[[#This Row],[Days on Tinder]],0)</f>
        <v>3.8870967741935485</v>
      </c>
      <c r="E923">
        <f>tinder[[#This Row],[Engagement]]/MAX(tinder[Engagement])</f>
        <v>1.9533149619063057E-2</v>
      </c>
      <c r="F92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23">
        <v>77</v>
      </c>
      <c r="H923">
        <f>IFERROR(tinder[[#This Row],[Conversations]]/tinder[[#This Row],[Tinder Opened]],0)</f>
        <v>4.5643153526970952E-2</v>
      </c>
      <c r="I923">
        <f>tinder[[#This Row],[Conversations]]/MAX(tinder[Conversations])</f>
        <v>6.090808416389812E-3</v>
      </c>
      <c r="J923">
        <f>(tinder[[#This Row],[Norm Engagement]]*2)+(tinder[[#This Row],[Norm Swipes]]*1)+(tinder[[#This Row],[Norm Conversations]]*2)</f>
        <v>7.5931710909834318E-2</v>
      </c>
      <c r="K92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23">
        <v>23</v>
      </c>
      <c r="M923">
        <v>2</v>
      </c>
      <c r="N923">
        <v>177</v>
      </c>
      <c r="O923">
        <v>1058</v>
      </c>
      <c r="P923">
        <v>995</v>
      </c>
      <c r="Q923">
        <f>tinder[[#This Row],[All Swipes]]/MAX(tinder[All Swipes])</f>
        <v>2.4683794838928578E-2</v>
      </c>
      <c r="R923">
        <f>tinder[[#This Row],[Swipe Right (LIKE)]]+tinder[[#This Row],[Swipe Left (PASS)]]</f>
        <v>20952</v>
      </c>
      <c r="S923">
        <v>8311</v>
      </c>
      <c r="T923">
        <v>12641</v>
      </c>
      <c r="U923" t="s">
        <v>8</v>
      </c>
      <c r="V923" s="1">
        <v>42432</v>
      </c>
      <c r="W923" t="s">
        <v>7</v>
      </c>
      <c r="X923" t="s">
        <v>1295</v>
      </c>
      <c r="Y923" t="s">
        <v>8</v>
      </c>
      <c r="Z923">
        <v>20</v>
      </c>
      <c r="AA923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24" spans="1:27" x14ac:dyDescent="0.3">
      <c r="A924" t="s">
        <v>36</v>
      </c>
      <c r="B924">
        <v>330</v>
      </c>
      <c r="C924">
        <v>85</v>
      </c>
      <c r="D924">
        <f>IFERROR(tinder[[#This Row],[Tinder Opened]]/tinder[[#This Row],[Days on Tinder]],0)</f>
        <v>3.8823529411764706</v>
      </c>
      <c r="E924">
        <f>tinder[[#This Row],[Engagement]]/MAX(tinder[Engagement])</f>
        <v>1.9509311262193321E-2</v>
      </c>
      <c r="F92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24">
        <v>10</v>
      </c>
      <c r="H924">
        <f>IFERROR(tinder[[#This Row],[Conversations]]/tinder[[#This Row],[Tinder Opened]],0)</f>
        <v>3.0303030303030304E-2</v>
      </c>
      <c r="I924">
        <f>tinder[[#This Row],[Conversations]]/MAX(tinder[Conversations])</f>
        <v>7.9101408005062491E-4</v>
      </c>
      <c r="J924">
        <f>(tinder[[#This Row],[Norm Engagement]]*2)+(tinder[[#This Row],[Norm Swipes]]*1)+(tinder[[#This Row],[Norm Conversations]]*2)</f>
        <v>4.8627125209002038E-2</v>
      </c>
      <c r="K92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24">
        <v>7</v>
      </c>
      <c r="M924">
        <v>1</v>
      </c>
      <c r="N924">
        <v>21</v>
      </c>
      <c r="O924">
        <v>24</v>
      </c>
      <c r="P924">
        <v>13</v>
      </c>
      <c r="Q924">
        <f>tinder[[#This Row],[All Swipes]]/MAX(tinder[All Swipes])</f>
        <v>8.0264745245141461E-3</v>
      </c>
      <c r="R924">
        <f>tinder[[#This Row],[Swipe Right (LIKE)]]+tinder[[#This Row],[Swipe Left (PASS)]]</f>
        <v>6813</v>
      </c>
      <c r="S924">
        <v>4431</v>
      </c>
      <c r="T924">
        <v>2382</v>
      </c>
      <c r="U924" t="s">
        <v>8</v>
      </c>
      <c r="V924" s="1">
        <v>43554</v>
      </c>
      <c r="W924" t="s">
        <v>12</v>
      </c>
      <c r="X924" t="s">
        <v>1295</v>
      </c>
      <c r="Y924" t="s">
        <v>8</v>
      </c>
      <c r="Z924">
        <v>20</v>
      </c>
      <c r="AA92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25" spans="1:27" x14ac:dyDescent="0.3">
      <c r="A925" t="s">
        <v>772</v>
      </c>
      <c r="B925">
        <v>5095</v>
      </c>
      <c r="C925">
        <v>1324</v>
      </c>
      <c r="D925">
        <f>IFERROR(tinder[[#This Row],[Tinder Opened]]/tinder[[#This Row],[Days on Tinder]],0)</f>
        <v>3.8481873111782479</v>
      </c>
      <c r="E925">
        <f>tinder[[#This Row],[Engagement]]/MAX(tinder[Engagement])</f>
        <v>1.9337624679287679E-2</v>
      </c>
      <c r="F92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25">
        <v>141</v>
      </c>
      <c r="H925">
        <f>IFERROR(tinder[[#This Row],[Conversations]]/tinder[[#This Row],[Tinder Opened]],0)</f>
        <v>2.7674190382728166E-2</v>
      </c>
      <c r="I925">
        <f>tinder[[#This Row],[Conversations]]/MAX(tinder[Conversations])</f>
        <v>1.1153298528713811E-2</v>
      </c>
      <c r="J925">
        <f>(tinder[[#This Row],[Norm Engagement]]*2)+(tinder[[#This Row],[Norm Swipes]]*1)+(tinder[[#This Row],[Norm Conversations]]*2)</f>
        <v>0.14442160249977143</v>
      </c>
      <c r="K92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25">
        <v>53</v>
      </c>
      <c r="M925">
        <v>7</v>
      </c>
      <c r="N925">
        <v>200</v>
      </c>
      <c r="O925">
        <v>671</v>
      </c>
      <c r="P925">
        <v>581</v>
      </c>
      <c r="Q925">
        <f>tinder[[#This Row],[All Swipes]]/MAX(tinder[All Swipes])</f>
        <v>8.3439756083768454E-2</v>
      </c>
      <c r="R925">
        <f>tinder[[#This Row],[Swipe Right (LIKE)]]+tinder[[#This Row],[Swipe Left (PASS)]]</f>
        <v>70825</v>
      </c>
      <c r="S925">
        <v>20109</v>
      </c>
      <c r="T925">
        <v>50716</v>
      </c>
      <c r="U925" t="s">
        <v>773</v>
      </c>
      <c r="V925" s="1">
        <v>42164</v>
      </c>
      <c r="W925" t="s">
        <v>7</v>
      </c>
      <c r="X925" t="s">
        <v>1295</v>
      </c>
      <c r="Y925" t="s">
        <v>8</v>
      </c>
      <c r="Z925">
        <v>38</v>
      </c>
      <c r="AA925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926" spans="1:27" x14ac:dyDescent="0.3">
      <c r="A926" t="s">
        <v>944</v>
      </c>
      <c r="B926">
        <v>2060</v>
      </c>
      <c r="C926">
        <v>540</v>
      </c>
      <c r="D926">
        <f>IFERROR(tinder[[#This Row],[Tinder Opened]]/tinder[[#This Row],[Days on Tinder]],0)</f>
        <v>3.8148148148148149</v>
      </c>
      <c r="E926">
        <f>tinder[[#This Row],[Engagement]]/MAX(tinder[Engagement])</f>
        <v>1.9169923692536759E-2</v>
      </c>
      <c r="F92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26">
        <v>65</v>
      </c>
      <c r="H926">
        <f>IFERROR(tinder[[#This Row],[Conversations]]/tinder[[#This Row],[Tinder Opened]],0)</f>
        <v>3.1553398058252427E-2</v>
      </c>
      <c r="I926">
        <f>tinder[[#This Row],[Conversations]]/MAX(tinder[Conversations])</f>
        <v>5.141591520329062E-3</v>
      </c>
      <c r="J926">
        <f>(tinder[[#This Row],[Norm Engagement]]*2)+(tinder[[#This Row],[Norm Swipes]]*1)+(tinder[[#This Row],[Norm Conversations]]*2)</f>
        <v>9.0208014686160271E-2</v>
      </c>
      <c r="K92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26">
        <v>29</v>
      </c>
      <c r="M926">
        <v>4</v>
      </c>
      <c r="N926">
        <v>121</v>
      </c>
      <c r="O926">
        <v>252</v>
      </c>
      <c r="P926">
        <v>192</v>
      </c>
      <c r="Q926">
        <f>tinder[[#This Row],[All Swipes]]/MAX(tinder[All Swipes])</f>
        <v>4.1584984260428642E-2</v>
      </c>
      <c r="R926">
        <f>tinder[[#This Row],[Swipe Right (LIKE)]]+tinder[[#This Row],[Swipe Left (PASS)]]</f>
        <v>35298</v>
      </c>
      <c r="S926">
        <v>5566</v>
      </c>
      <c r="T926">
        <v>29732</v>
      </c>
      <c r="U926" t="s">
        <v>10</v>
      </c>
      <c r="V926" s="1">
        <v>43141</v>
      </c>
      <c r="W926" t="s">
        <v>7</v>
      </c>
      <c r="X926" t="s">
        <v>1295</v>
      </c>
      <c r="Y926" t="s">
        <v>945</v>
      </c>
      <c r="Z926">
        <v>22</v>
      </c>
      <c r="AA92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27" spans="1:27" x14ac:dyDescent="0.3">
      <c r="A927" t="s">
        <v>911</v>
      </c>
      <c r="B927">
        <v>217</v>
      </c>
      <c r="C927">
        <v>57</v>
      </c>
      <c r="D927">
        <f>IFERROR(tinder[[#This Row],[Tinder Opened]]/tinder[[#This Row],[Days on Tinder]],0)</f>
        <v>3.807017543859649</v>
      </c>
      <c r="E927">
        <f>tinder[[#This Row],[Engagement]]/MAX(tinder[Engagement])</f>
        <v>1.9130741426430398E-2</v>
      </c>
      <c r="F92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27">
        <v>23</v>
      </c>
      <c r="H927">
        <f>IFERROR(tinder[[#This Row],[Conversations]]/tinder[[#This Row],[Tinder Opened]],0)</f>
        <v>0.10599078341013825</v>
      </c>
      <c r="I927">
        <f>tinder[[#This Row],[Conversations]]/MAX(tinder[Conversations])</f>
        <v>1.8193323841164373E-3</v>
      </c>
      <c r="J927">
        <f>(tinder[[#This Row],[Norm Engagement]]*2)+(tinder[[#This Row],[Norm Swipes]]*1)+(tinder[[#This Row],[Norm Conversations]]*2)</f>
        <v>4.8812128545110182E-2</v>
      </c>
      <c r="K92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27">
        <v>6</v>
      </c>
      <c r="M927">
        <v>3</v>
      </c>
      <c r="N927">
        <v>6</v>
      </c>
      <c r="O927">
        <v>95</v>
      </c>
      <c r="P927">
        <v>91</v>
      </c>
      <c r="Q927">
        <f>tinder[[#This Row],[All Swipes]]/MAX(tinder[All Swipes])</f>
        <v>6.9119809240165125E-3</v>
      </c>
      <c r="R927">
        <f>tinder[[#This Row],[Swipe Right (LIKE)]]+tinder[[#This Row],[Swipe Left (PASS)]]</f>
        <v>5867</v>
      </c>
      <c r="S927">
        <v>914</v>
      </c>
      <c r="T927">
        <v>4953</v>
      </c>
      <c r="U927" t="s">
        <v>10</v>
      </c>
      <c r="V927" s="1">
        <v>43936</v>
      </c>
      <c r="W927" t="s">
        <v>12</v>
      </c>
      <c r="X927" t="s">
        <v>1295</v>
      </c>
      <c r="Y927" t="s">
        <v>912</v>
      </c>
      <c r="Z927">
        <v>29</v>
      </c>
      <c r="AA92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28" spans="1:27" x14ac:dyDescent="0.3">
      <c r="A928" t="s">
        <v>1251</v>
      </c>
      <c r="B928">
        <v>1637</v>
      </c>
      <c r="C928">
        <v>430</v>
      </c>
      <c r="D928">
        <f>IFERROR(tinder[[#This Row],[Tinder Opened]]/tinder[[#This Row],[Days on Tinder]],0)</f>
        <v>3.8069767441860467</v>
      </c>
      <c r="E928">
        <f>tinder[[#This Row],[Engagement]]/MAX(tinder[Engagement])</f>
        <v>1.9130536402944959E-2</v>
      </c>
      <c r="F92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28">
        <v>44</v>
      </c>
      <c r="H928">
        <f>IFERROR(tinder[[#This Row],[Conversations]]/tinder[[#This Row],[Tinder Opened]],0)</f>
        <v>2.687843616371411E-2</v>
      </c>
      <c r="I928">
        <f>tinder[[#This Row],[Conversations]]/MAX(tinder[Conversations])</f>
        <v>3.4804619522227497E-3</v>
      </c>
      <c r="J928">
        <f>(tinder[[#This Row],[Norm Engagement]]*2)+(tinder[[#This Row],[Norm Swipes]]*1)+(tinder[[#This Row],[Norm Conversations]]*2)</f>
        <v>7.3742901123070331E-2</v>
      </c>
      <c r="K92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28">
        <v>22</v>
      </c>
      <c r="M928">
        <v>9</v>
      </c>
      <c r="N928">
        <v>128</v>
      </c>
      <c r="O928">
        <v>99</v>
      </c>
      <c r="P928">
        <v>70</v>
      </c>
      <c r="Q928">
        <f>tinder[[#This Row],[All Swipes]]/MAX(tinder[All Swipes])</f>
        <v>2.8520904412734915E-2</v>
      </c>
      <c r="R928">
        <f>tinder[[#This Row],[Swipe Right (LIKE)]]+tinder[[#This Row],[Swipe Left (PASS)]]</f>
        <v>24209</v>
      </c>
      <c r="S928">
        <v>18207</v>
      </c>
      <c r="T928">
        <v>6002</v>
      </c>
      <c r="U928" t="s">
        <v>10</v>
      </c>
      <c r="V928" s="1">
        <v>41868</v>
      </c>
      <c r="W928" t="s">
        <v>7</v>
      </c>
      <c r="X928" t="s">
        <v>1295</v>
      </c>
      <c r="Y928" t="s">
        <v>19</v>
      </c>
      <c r="Z928">
        <v>18</v>
      </c>
      <c r="AA928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29" spans="1:27" x14ac:dyDescent="0.3">
      <c r="A929" t="s">
        <v>64</v>
      </c>
      <c r="B929">
        <v>2471</v>
      </c>
      <c r="C929">
        <v>652</v>
      </c>
      <c r="D929">
        <f>IFERROR(tinder[[#This Row],[Tinder Opened]]/tinder[[#This Row],[Days on Tinder]],0)</f>
        <v>3.7898773006134969</v>
      </c>
      <c r="E929">
        <f>tinder[[#This Row],[Engagement]]/MAX(tinder[Engagement])</f>
        <v>1.9044609550821594E-2</v>
      </c>
      <c r="F92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29">
        <v>8</v>
      </c>
      <c r="H929">
        <f>IFERROR(tinder[[#This Row],[Conversations]]/tinder[[#This Row],[Tinder Opened]],0)</f>
        <v>3.2375556454876568E-3</v>
      </c>
      <c r="I929">
        <f>tinder[[#This Row],[Conversations]]/MAX(tinder[Conversations])</f>
        <v>6.3281126404049991E-4</v>
      </c>
      <c r="J929">
        <f>(tinder[[#This Row],[Norm Engagement]]*2)+(tinder[[#This Row],[Norm Swipes]]*1)+(tinder[[#This Row],[Norm Conversations]]*2)</f>
        <v>8.8665881949416561E-2</v>
      </c>
      <c r="K92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29">
        <v>2</v>
      </c>
      <c r="M929">
        <v>1</v>
      </c>
      <c r="N929">
        <v>249</v>
      </c>
      <c r="O929">
        <v>62</v>
      </c>
      <c r="P929">
        <v>80</v>
      </c>
      <c r="Q929">
        <f>tinder[[#This Row],[All Swipes]]/MAX(tinder[All Swipes])</f>
        <v>4.931104031969237E-2</v>
      </c>
      <c r="R929">
        <f>tinder[[#This Row],[Swipe Right (LIKE)]]+tinder[[#This Row],[Swipe Left (PASS)]]</f>
        <v>41856</v>
      </c>
      <c r="S929">
        <v>6525</v>
      </c>
      <c r="T929">
        <v>35331</v>
      </c>
      <c r="U929" t="s">
        <v>65</v>
      </c>
      <c r="V929" s="1">
        <v>42530</v>
      </c>
      <c r="W929" t="s">
        <v>7</v>
      </c>
      <c r="X929" t="s">
        <v>1295</v>
      </c>
      <c r="Y929" t="s">
        <v>66</v>
      </c>
      <c r="Z929">
        <v>20</v>
      </c>
      <c r="AA92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30" spans="1:27" x14ac:dyDescent="0.3">
      <c r="A930" t="s">
        <v>867</v>
      </c>
      <c r="B930">
        <v>1476</v>
      </c>
      <c r="C930">
        <v>392</v>
      </c>
      <c r="D930">
        <f>IFERROR(tinder[[#This Row],[Tinder Opened]]/tinder[[#This Row],[Days on Tinder]],0)</f>
        <v>3.7653061224489797</v>
      </c>
      <c r="E930">
        <f>tinder[[#This Row],[Engagement]]/MAX(tinder[Engagement])</f>
        <v>1.8921136293713465E-2</v>
      </c>
      <c r="F93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30">
        <v>25</v>
      </c>
      <c r="H930">
        <f>IFERROR(tinder[[#This Row],[Conversations]]/tinder[[#This Row],[Tinder Opened]],0)</f>
        <v>1.6937669376693765E-2</v>
      </c>
      <c r="I930">
        <f>tinder[[#This Row],[Conversations]]/MAX(tinder[Conversations])</f>
        <v>1.9775352001265623E-3</v>
      </c>
      <c r="J930">
        <f>(tinder[[#This Row],[Norm Engagement]]*2)+(tinder[[#This Row],[Norm Swipes]]*1)+(tinder[[#This Row],[Norm Conversations]]*2)</f>
        <v>4.64838710455866E-2</v>
      </c>
      <c r="K93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30">
        <v>17</v>
      </c>
      <c r="M930">
        <v>0</v>
      </c>
      <c r="N930">
        <v>27</v>
      </c>
      <c r="O930">
        <v>54</v>
      </c>
      <c r="P930">
        <v>23</v>
      </c>
      <c r="Q930">
        <f>tinder[[#This Row],[All Swipes]]/MAX(tinder[All Swipes])</f>
        <v>4.686528057906543E-3</v>
      </c>
      <c r="R930">
        <f>tinder[[#This Row],[Swipe Right (LIKE)]]+tinder[[#This Row],[Swipe Left (PASS)]]</f>
        <v>3978</v>
      </c>
      <c r="S930">
        <v>1614</v>
      </c>
      <c r="T930">
        <v>2364</v>
      </c>
      <c r="U930" t="s">
        <v>14</v>
      </c>
      <c r="V930" s="1">
        <v>43482</v>
      </c>
      <c r="W930" t="s">
        <v>12</v>
      </c>
      <c r="X930" t="s">
        <v>1295</v>
      </c>
      <c r="Y930" t="s">
        <v>8</v>
      </c>
      <c r="Z930">
        <v>22</v>
      </c>
      <c r="AA93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31" spans="1:27" x14ac:dyDescent="0.3">
      <c r="A931" t="s">
        <v>517</v>
      </c>
      <c r="B931">
        <v>105</v>
      </c>
      <c r="C931">
        <v>28</v>
      </c>
      <c r="D931">
        <f>IFERROR(tinder[[#This Row],[Tinder Opened]]/tinder[[#This Row],[Days on Tinder]],0)</f>
        <v>3.75</v>
      </c>
      <c r="E931">
        <f>tinder[[#This Row],[Engagement]]/MAX(tinder[Engagement])</f>
        <v>1.8844221105527637E-2</v>
      </c>
      <c r="F93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31">
        <v>0</v>
      </c>
      <c r="H931">
        <f>IFERROR(tinder[[#This Row],[Conversations]]/tinder[[#This Row],[Tinder Opened]],0)</f>
        <v>0</v>
      </c>
      <c r="I931">
        <f>tinder[[#This Row],[Conversations]]/MAX(tinder[Conversations])</f>
        <v>0</v>
      </c>
      <c r="J931">
        <f>(tinder[[#This Row],[Norm Engagement]]*2)+(tinder[[#This Row],[Norm Swipes]]*1)+(tinder[[#This Row],[Norm Conversations]]*2)</f>
        <v>3.9467390769989126E-2</v>
      </c>
      <c r="K93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31">
        <v>0</v>
      </c>
      <c r="M931">
        <v>0</v>
      </c>
      <c r="N931">
        <v>1</v>
      </c>
      <c r="O931">
        <v>0</v>
      </c>
      <c r="P931">
        <v>0</v>
      </c>
      <c r="Q931">
        <f>tinder[[#This Row],[All Swipes]]/MAX(tinder[All Swipes])</f>
        <v>1.778948558933856E-3</v>
      </c>
      <c r="R931">
        <f>tinder[[#This Row],[Swipe Right (LIKE)]]+tinder[[#This Row],[Swipe Left (PASS)]]</f>
        <v>1510</v>
      </c>
      <c r="S931">
        <v>272</v>
      </c>
      <c r="T931">
        <v>1238</v>
      </c>
      <c r="U931" t="s">
        <v>8</v>
      </c>
      <c r="V931" s="1">
        <v>42495</v>
      </c>
      <c r="W931" t="s">
        <v>7</v>
      </c>
      <c r="X931" t="s">
        <v>1295</v>
      </c>
      <c r="Y931" t="s">
        <v>96</v>
      </c>
      <c r="Z931">
        <v>28</v>
      </c>
      <c r="AA93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32" spans="1:27" x14ac:dyDescent="0.3">
      <c r="A932" t="s">
        <v>1186</v>
      </c>
      <c r="B932">
        <v>2005</v>
      </c>
      <c r="C932">
        <v>537</v>
      </c>
      <c r="D932">
        <f>IFERROR(tinder[[#This Row],[Tinder Opened]]/tinder[[#This Row],[Days on Tinder]],0)</f>
        <v>3.7337057728119181</v>
      </c>
      <c r="E932">
        <f>tinder[[#This Row],[Engagement]]/MAX(tinder[Engagement])</f>
        <v>1.8762340566894062E-2</v>
      </c>
      <c r="F93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32">
        <v>33</v>
      </c>
      <c r="H932">
        <f>IFERROR(tinder[[#This Row],[Conversations]]/tinder[[#This Row],[Tinder Opened]],0)</f>
        <v>1.6458852867830425E-2</v>
      </c>
      <c r="I932">
        <f>tinder[[#This Row],[Conversations]]/MAX(tinder[Conversations])</f>
        <v>2.6103464641670624E-3</v>
      </c>
      <c r="J932">
        <f>(tinder[[#This Row],[Norm Engagement]]*2)+(tinder[[#This Row],[Norm Swipes]]*1)+(tinder[[#This Row],[Norm Conversations]]*2)</f>
        <v>0.10085808635783769</v>
      </c>
      <c r="K93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32">
        <v>6</v>
      </c>
      <c r="M932">
        <v>22</v>
      </c>
      <c r="N932">
        <v>235</v>
      </c>
      <c r="O932">
        <v>51</v>
      </c>
      <c r="P932">
        <v>96</v>
      </c>
      <c r="Q932">
        <f>tinder[[#This Row],[All Swipes]]/MAX(tinder[All Swipes])</f>
        <v>5.8112712295715442E-2</v>
      </c>
      <c r="R932">
        <f>tinder[[#This Row],[Swipe Right (LIKE)]]+tinder[[#This Row],[Swipe Left (PASS)]]</f>
        <v>49327</v>
      </c>
      <c r="S932">
        <v>43602</v>
      </c>
      <c r="T932">
        <v>5725</v>
      </c>
      <c r="U932" t="s">
        <v>8</v>
      </c>
      <c r="V932" s="1">
        <v>42970</v>
      </c>
      <c r="W932" t="s">
        <v>12</v>
      </c>
      <c r="X932" t="s">
        <v>1295</v>
      </c>
      <c r="Y932" t="s">
        <v>8</v>
      </c>
      <c r="Z932">
        <v>19</v>
      </c>
      <c r="AA93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33" spans="1:27" x14ac:dyDescent="0.3">
      <c r="A933" t="s">
        <v>822</v>
      </c>
      <c r="B933">
        <v>26</v>
      </c>
      <c r="C933">
        <v>7</v>
      </c>
      <c r="D933">
        <f>IFERROR(tinder[[#This Row],[Tinder Opened]]/tinder[[#This Row],[Days on Tinder]],0)</f>
        <v>3.7142857142857144</v>
      </c>
      <c r="E933">
        <f>tinder[[#This Row],[Engagement]]/MAX(tinder[Engagement])</f>
        <v>1.8664752333094042E-2</v>
      </c>
      <c r="F93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33">
        <v>37</v>
      </c>
      <c r="H933">
        <f>IFERROR(tinder[[#This Row],[Conversations]]/tinder[[#This Row],[Tinder Opened]],0)</f>
        <v>1.4230769230769231</v>
      </c>
      <c r="I933">
        <f>tinder[[#This Row],[Conversations]]/MAX(tinder[Conversations])</f>
        <v>2.9267520961873119E-3</v>
      </c>
      <c r="J933">
        <f>(tinder[[#This Row],[Norm Engagement]]*2)+(tinder[[#This Row],[Norm Swipes]]*1)+(tinder[[#This Row],[Norm Conversations]]*2)</f>
        <v>4.3750858663467423E-2</v>
      </c>
      <c r="K93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33">
        <v>11</v>
      </c>
      <c r="M933">
        <v>19</v>
      </c>
      <c r="N933">
        <v>33</v>
      </c>
      <c r="O933">
        <v>47</v>
      </c>
      <c r="P933">
        <v>121</v>
      </c>
      <c r="Q933">
        <f>tinder[[#This Row],[All Swipes]]/MAX(tinder[All Swipes])</f>
        <v>5.6784980490471432E-4</v>
      </c>
      <c r="R933">
        <f>tinder[[#This Row],[Swipe Right (LIKE)]]+tinder[[#This Row],[Swipe Left (PASS)]]</f>
        <v>482</v>
      </c>
      <c r="S933">
        <v>114</v>
      </c>
      <c r="T933">
        <v>368</v>
      </c>
      <c r="U933" t="s">
        <v>10</v>
      </c>
      <c r="V933" s="1">
        <v>43840</v>
      </c>
      <c r="W933" t="s">
        <v>12</v>
      </c>
      <c r="X933" t="s">
        <v>1296</v>
      </c>
      <c r="Y933" t="s">
        <v>8</v>
      </c>
      <c r="Z933">
        <v>25</v>
      </c>
      <c r="AA93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34" spans="1:27" x14ac:dyDescent="0.3">
      <c r="A934" t="s">
        <v>636</v>
      </c>
      <c r="B934">
        <v>1788</v>
      </c>
      <c r="C934">
        <v>485</v>
      </c>
      <c r="D934">
        <f>IFERROR(tinder[[#This Row],[Tinder Opened]]/tinder[[#This Row],[Days on Tinder]],0)</f>
        <v>3.6865979381443297</v>
      </c>
      <c r="E934">
        <f>tinder[[#This Row],[Engagement]]/MAX(tinder[Engagement])</f>
        <v>1.8525617779619748E-2</v>
      </c>
      <c r="F93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34">
        <v>4</v>
      </c>
      <c r="H934">
        <f>IFERROR(tinder[[#This Row],[Conversations]]/tinder[[#This Row],[Tinder Opened]],0)</f>
        <v>2.2371364653243847E-3</v>
      </c>
      <c r="I934">
        <f>tinder[[#This Row],[Conversations]]/MAX(tinder[Conversations])</f>
        <v>3.1640563202024995E-4</v>
      </c>
      <c r="J934">
        <f>(tinder[[#This Row],[Norm Engagement]]*2)+(tinder[[#This Row],[Norm Swipes]]*1)+(tinder[[#This Row],[Norm Conversations]]*2)</f>
        <v>9.368440496921504E-2</v>
      </c>
      <c r="K93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34">
        <v>0</v>
      </c>
      <c r="M934">
        <v>1</v>
      </c>
      <c r="N934">
        <v>46</v>
      </c>
      <c r="O934">
        <v>7</v>
      </c>
      <c r="P934">
        <v>12</v>
      </c>
      <c r="Q934">
        <f>tinder[[#This Row],[All Swipes]]/MAX(tinder[All Swipes])</f>
        <v>5.6000358145935042E-2</v>
      </c>
      <c r="R934">
        <f>tinder[[#This Row],[Swipe Right (LIKE)]]+tinder[[#This Row],[Swipe Left (PASS)]]</f>
        <v>47534</v>
      </c>
      <c r="S934">
        <v>20758</v>
      </c>
      <c r="T934">
        <v>26776</v>
      </c>
      <c r="U934" t="s">
        <v>88</v>
      </c>
      <c r="V934" s="1">
        <v>43733</v>
      </c>
      <c r="W934" t="s">
        <v>12</v>
      </c>
      <c r="X934" t="s">
        <v>1295</v>
      </c>
      <c r="Y934" t="s">
        <v>8</v>
      </c>
      <c r="Z934">
        <v>25</v>
      </c>
      <c r="AA93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35" spans="1:27" x14ac:dyDescent="0.3">
      <c r="A935" t="s">
        <v>626</v>
      </c>
      <c r="B935">
        <v>2565</v>
      </c>
      <c r="C935">
        <v>697</v>
      </c>
      <c r="D935">
        <f>IFERROR(tinder[[#This Row],[Tinder Opened]]/tinder[[#This Row],[Days on Tinder]],0)</f>
        <v>3.6800573888091823</v>
      </c>
      <c r="E935">
        <f>tinder[[#This Row],[Engagement]]/MAX(tinder[Engagement])</f>
        <v>1.8492750697533578E-2</v>
      </c>
      <c r="F93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35">
        <v>533</v>
      </c>
      <c r="H935">
        <f>IFERROR(tinder[[#This Row],[Conversations]]/tinder[[#This Row],[Tinder Opened]],0)</f>
        <v>0.2077972709551657</v>
      </c>
      <c r="I935">
        <f>tinder[[#This Row],[Conversations]]/MAX(tinder[Conversations])</f>
        <v>4.216105046669831E-2</v>
      </c>
      <c r="J935">
        <f>(tinder[[#This Row],[Norm Engagement]]*2)+(tinder[[#This Row],[Norm Swipes]]*1)+(tinder[[#This Row],[Norm Conversations]]*2)</f>
        <v>0.15836039115431061</v>
      </c>
      <c r="K93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35">
        <v>161</v>
      </c>
      <c r="M935">
        <v>19</v>
      </c>
      <c r="N935">
        <v>1151</v>
      </c>
      <c r="O935">
        <v>5870</v>
      </c>
      <c r="P935">
        <v>4579</v>
      </c>
      <c r="Q935">
        <f>tinder[[#This Row],[All Swipes]]/MAX(tinder[All Swipes])</f>
        <v>3.7052788825846825E-2</v>
      </c>
      <c r="R935">
        <f>tinder[[#This Row],[Swipe Right (LIKE)]]+tinder[[#This Row],[Swipe Left (PASS)]]</f>
        <v>31451</v>
      </c>
      <c r="S935">
        <v>25006</v>
      </c>
      <c r="T935">
        <v>6445</v>
      </c>
      <c r="U935" t="s">
        <v>10</v>
      </c>
      <c r="V935" s="1">
        <v>42268</v>
      </c>
      <c r="W935" t="s">
        <v>12</v>
      </c>
      <c r="X935" t="s">
        <v>1295</v>
      </c>
      <c r="Y935" t="s">
        <v>627</v>
      </c>
      <c r="Z935">
        <v>37</v>
      </c>
      <c r="AA935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936" spans="1:27" x14ac:dyDescent="0.3">
      <c r="A936" t="s">
        <v>929</v>
      </c>
      <c r="B936">
        <v>1921</v>
      </c>
      <c r="C936">
        <v>539</v>
      </c>
      <c r="D936">
        <f>IFERROR(tinder[[#This Row],[Tinder Opened]]/tinder[[#This Row],[Days on Tinder]],0)</f>
        <v>3.5640074211502784</v>
      </c>
      <c r="E936">
        <f>tinder[[#This Row],[Engagement]]/MAX(tinder[Engagement])</f>
        <v>1.7909585030905922E-2</v>
      </c>
      <c r="F93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36">
        <v>25</v>
      </c>
      <c r="H936">
        <f>IFERROR(tinder[[#This Row],[Conversations]]/tinder[[#This Row],[Tinder Opened]],0)</f>
        <v>1.3014055179593961E-2</v>
      </c>
      <c r="I936">
        <f>tinder[[#This Row],[Conversations]]/MAX(tinder[Conversations])</f>
        <v>1.9775352001265623E-3</v>
      </c>
      <c r="J936">
        <f>(tinder[[#This Row],[Norm Engagement]]*2)+(tinder[[#This Row],[Norm Swipes]]*1)+(tinder[[#This Row],[Norm Conversations]]*2)</f>
        <v>6.1971041653371452E-2</v>
      </c>
      <c r="K93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36">
        <v>6</v>
      </c>
      <c r="M936">
        <v>14</v>
      </c>
      <c r="N936">
        <v>169</v>
      </c>
      <c r="O936">
        <v>69</v>
      </c>
      <c r="P936">
        <v>89</v>
      </c>
      <c r="Q936">
        <f>tinder[[#This Row],[All Swipes]]/MAX(tinder[All Swipes])</f>
        <v>2.219680119130648E-2</v>
      </c>
      <c r="R936">
        <f>tinder[[#This Row],[Swipe Right (LIKE)]]+tinder[[#This Row],[Swipe Left (PASS)]]</f>
        <v>18841</v>
      </c>
      <c r="S936">
        <v>8832</v>
      </c>
      <c r="T936">
        <v>10009</v>
      </c>
      <c r="U936" t="s">
        <v>930</v>
      </c>
      <c r="V936" s="1">
        <v>43213</v>
      </c>
      <c r="W936" t="s">
        <v>12</v>
      </c>
      <c r="X936" t="s">
        <v>1295</v>
      </c>
      <c r="Y936" t="s">
        <v>19</v>
      </c>
      <c r="Z936">
        <v>19</v>
      </c>
      <c r="AA93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37" spans="1:27" x14ac:dyDescent="0.3">
      <c r="A937" t="s">
        <v>1283</v>
      </c>
      <c r="B937">
        <v>434</v>
      </c>
      <c r="C937">
        <v>122</v>
      </c>
      <c r="D937">
        <f>IFERROR(tinder[[#This Row],[Tinder Opened]]/tinder[[#This Row],[Days on Tinder]],0)</f>
        <v>3.557377049180328</v>
      </c>
      <c r="E937">
        <f>tinder[[#This Row],[Engagement]]/MAX(tinder[Engagement])</f>
        <v>1.7876266578795617E-2</v>
      </c>
      <c r="F93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37">
        <v>4</v>
      </c>
      <c r="H937">
        <f>IFERROR(tinder[[#This Row],[Conversations]]/tinder[[#This Row],[Tinder Opened]],0)</f>
        <v>9.2165898617511521E-3</v>
      </c>
      <c r="I937">
        <f>tinder[[#This Row],[Conversations]]/MAX(tinder[Conversations])</f>
        <v>3.1640563202024995E-4</v>
      </c>
      <c r="J937">
        <f>(tinder[[#This Row],[Norm Engagement]]*2)+(tinder[[#This Row],[Norm Swipes]]*1)+(tinder[[#This Row],[Norm Conversations]]*2)</f>
        <v>5.1467529488831223E-2</v>
      </c>
      <c r="K93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37">
        <v>1</v>
      </c>
      <c r="M937">
        <v>0</v>
      </c>
      <c r="N937">
        <v>6</v>
      </c>
      <c r="O937">
        <v>26</v>
      </c>
      <c r="P937">
        <v>16</v>
      </c>
      <c r="Q937">
        <f>tinder[[#This Row],[All Swipes]]/MAX(tinder[All Swipes])</f>
        <v>1.5082185067199487E-2</v>
      </c>
      <c r="R937">
        <f>tinder[[#This Row],[Swipe Right (LIKE)]]+tinder[[#This Row],[Swipe Left (PASS)]]</f>
        <v>12802</v>
      </c>
      <c r="S937">
        <v>3078</v>
      </c>
      <c r="T937">
        <v>9724</v>
      </c>
      <c r="U937" t="s">
        <v>8</v>
      </c>
      <c r="V937" s="1">
        <v>42382</v>
      </c>
      <c r="W937" t="s">
        <v>7</v>
      </c>
      <c r="X937" t="s">
        <v>1295</v>
      </c>
      <c r="Y937" t="s">
        <v>8</v>
      </c>
      <c r="Z937">
        <v>25</v>
      </c>
      <c r="AA93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38" spans="1:27" x14ac:dyDescent="0.3">
      <c r="A938" t="s">
        <v>1182</v>
      </c>
      <c r="B938">
        <v>1108</v>
      </c>
      <c r="C938">
        <v>312</v>
      </c>
      <c r="D938">
        <f>IFERROR(tinder[[#This Row],[Tinder Opened]]/tinder[[#This Row],[Days on Tinder]],0)</f>
        <v>3.5512820512820511</v>
      </c>
      <c r="E938">
        <f>tinder[[#This Row],[Engagement]]/MAX(tinder[Engagement])</f>
        <v>1.7845638448653525E-2</v>
      </c>
      <c r="F93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38">
        <v>50</v>
      </c>
      <c r="H938">
        <f>IFERROR(tinder[[#This Row],[Conversations]]/tinder[[#This Row],[Tinder Opened]],0)</f>
        <v>4.5126353790613721E-2</v>
      </c>
      <c r="I938">
        <f>tinder[[#This Row],[Conversations]]/MAX(tinder[Conversations])</f>
        <v>3.9550704002531247E-3</v>
      </c>
      <c r="J938">
        <f>(tinder[[#This Row],[Norm Engagement]]*2)+(tinder[[#This Row],[Norm Swipes]]*1)+(tinder[[#This Row],[Norm Conversations]]*2)</f>
        <v>5.9522418244457094E-2</v>
      </c>
      <c r="K93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38">
        <v>19</v>
      </c>
      <c r="M938">
        <v>8</v>
      </c>
      <c r="N938">
        <v>184</v>
      </c>
      <c r="O938">
        <v>363</v>
      </c>
      <c r="P938">
        <v>395</v>
      </c>
      <c r="Q938">
        <f>tinder[[#This Row],[All Swipes]]/MAX(tinder[All Swipes])</f>
        <v>1.5921000546643797E-2</v>
      </c>
      <c r="R938">
        <f>tinder[[#This Row],[Swipe Right (LIKE)]]+tinder[[#This Row],[Swipe Left (PASS)]]</f>
        <v>13514</v>
      </c>
      <c r="S938">
        <v>4234</v>
      </c>
      <c r="T938">
        <v>9280</v>
      </c>
      <c r="U938" t="s">
        <v>61</v>
      </c>
      <c r="V938" s="1">
        <v>43652</v>
      </c>
      <c r="W938" t="s">
        <v>12</v>
      </c>
      <c r="X938" t="s">
        <v>1295</v>
      </c>
      <c r="Y938" t="s">
        <v>8</v>
      </c>
      <c r="Z938">
        <v>31</v>
      </c>
      <c r="AA93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939" spans="1:27" x14ac:dyDescent="0.3">
      <c r="A939" t="s">
        <v>596</v>
      </c>
      <c r="B939">
        <v>1114</v>
      </c>
      <c r="C939">
        <v>317</v>
      </c>
      <c r="D939">
        <f>IFERROR(tinder[[#This Row],[Tinder Opened]]/tinder[[#This Row],[Days on Tinder]],0)</f>
        <v>3.5141955835962144</v>
      </c>
      <c r="E939">
        <f>tinder[[#This Row],[Engagement]]/MAX(tinder[Engagement])</f>
        <v>1.7659274289428213E-2</v>
      </c>
      <c r="F93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39">
        <v>64</v>
      </c>
      <c r="H939">
        <f>IFERROR(tinder[[#This Row],[Conversations]]/tinder[[#This Row],[Tinder Opened]],0)</f>
        <v>5.7450628366247758E-2</v>
      </c>
      <c r="I939">
        <f>tinder[[#This Row],[Conversations]]/MAX(tinder[Conversations])</f>
        <v>5.0624901123239993E-3</v>
      </c>
      <c r="J939">
        <f>(tinder[[#This Row],[Norm Engagement]]*2)+(tinder[[#This Row],[Norm Swipes]]*1)+(tinder[[#This Row],[Norm Conversations]]*2)</f>
        <v>0.12257096278212877</v>
      </c>
      <c r="K93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39">
        <v>23</v>
      </c>
      <c r="M939">
        <v>13</v>
      </c>
      <c r="N939">
        <v>265</v>
      </c>
      <c r="O939">
        <v>253</v>
      </c>
      <c r="P939">
        <v>314</v>
      </c>
      <c r="Q939">
        <f>tinder[[#This Row],[All Swipes]]/MAX(tinder[All Swipes])</f>
        <v>7.7127433978624343E-2</v>
      </c>
      <c r="R939">
        <f>tinder[[#This Row],[Swipe Right (LIKE)]]+tinder[[#This Row],[Swipe Left (PASS)]]</f>
        <v>65467</v>
      </c>
      <c r="S939">
        <v>1270</v>
      </c>
      <c r="T939">
        <v>64197</v>
      </c>
      <c r="U939" t="s">
        <v>8</v>
      </c>
      <c r="V939" s="1">
        <v>43381</v>
      </c>
      <c r="W939" t="s">
        <v>12</v>
      </c>
      <c r="X939" t="s">
        <v>1296</v>
      </c>
      <c r="Y939" t="s">
        <v>8</v>
      </c>
      <c r="Z939">
        <v>18</v>
      </c>
      <c r="AA93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40" spans="1:27" x14ac:dyDescent="0.3">
      <c r="A940" t="s">
        <v>727</v>
      </c>
      <c r="B940">
        <v>196</v>
      </c>
      <c r="C940">
        <v>56</v>
      </c>
      <c r="D940">
        <f>IFERROR(tinder[[#This Row],[Tinder Opened]]/tinder[[#This Row],[Days on Tinder]],0)</f>
        <v>3.5</v>
      </c>
      <c r="E940">
        <f>tinder[[#This Row],[Engagement]]/MAX(tinder[Engagement])</f>
        <v>1.7587939698492462E-2</v>
      </c>
      <c r="F94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40">
        <v>4</v>
      </c>
      <c r="H940">
        <f>IFERROR(tinder[[#This Row],[Conversations]]/tinder[[#This Row],[Tinder Opened]],0)</f>
        <v>2.0408163265306121E-2</v>
      </c>
      <c r="I940">
        <f>tinder[[#This Row],[Conversations]]/MAX(tinder[Conversations])</f>
        <v>3.1640563202024995E-4</v>
      </c>
      <c r="J940">
        <f>(tinder[[#This Row],[Norm Engagement]]*2)+(tinder[[#This Row],[Norm Swipes]]*1)+(tinder[[#This Row],[Norm Conversations]]*2)</f>
        <v>4.113728955642796E-2</v>
      </c>
      <c r="K94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40">
        <v>3</v>
      </c>
      <c r="M940">
        <v>0</v>
      </c>
      <c r="N940">
        <v>2</v>
      </c>
      <c r="O940">
        <v>9</v>
      </c>
      <c r="P940">
        <v>16</v>
      </c>
      <c r="Q940">
        <f>tinder[[#This Row],[All Swipes]]/MAX(tinder[All Swipes])</f>
        <v>5.3285988954025372E-3</v>
      </c>
      <c r="R940">
        <f>tinder[[#This Row],[Swipe Right (LIKE)]]+tinder[[#This Row],[Swipe Left (PASS)]]</f>
        <v>4523</v>
      </c>
      <c r="S940">
        <v>988</v>
      </c>
      <c r="T940">
        <v>3535</v>
      </c>
      <c r="U940" t="s">
        <v>75</v>
      </c>
      <c r="V940" s="1">
        <v>43470</v>
      </c>
      <c r="W940" t="s">
        <v>12</v>
      </c>
      <c r="X940" t="s">
        <v>1295</v>
      </c>
      <c r="Y940" t="s">
        <v>728</v>
      </c>
      <c r="Z940">
        <v>35</v>
      </c>
      <c r="AA94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941" spans="1:27" x14ac:dyDescent="0.3">
      <c r="A941" t="s">
        <v>1201</v>
      </c>
      <c r="B941">
        <v>711</v>
      </c>
      <c r="C941">
        <v>205</v>
      </c>
      <c r="D941">
        <f>IFERROR(tinder[[#This Row],[Tinder Opened]]/tinder[[#This Row],[Days on Tinder]],0)</f>
        <v>3.4682926829268292</v>
      </c>
      <c r="E941">
        <f>tinder[[#This Row],[Engagement]]/MAX(tinder[Engagement])</f>
        <v>1.7428606446868489E-2</v>
      </c>
      <c r="F94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41">
        <v>25</v>
      </c>
      <c r="H941">
        <f>IFERROR(tinder[[#This Row],[Conversations]]/tinder[[#This Row],[Tinder Opened]],0)</f>
        <v>3.5161744022503515E-2</v>
      </c>
      <c r="I941">
        <f>tinder[[#This Row],[Conversations]]/MAX(tinder[Conversations])</f>
        <v>1.9775352001265623E-3</v>
      </c>
      <c r="J941">
        <f>(tinder[[#This Row],[Norm Engagement]]*2)+(tinder[[#This Row],[Norm Swipes]]*1)+(tinder[[#This Row],[Norm Conversations]]*2)</f>
        <v>6.4916880756808903E-2</v>
      </c>
      <c r="K94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41">
        <v>7</v>
      </c>
      <c r="M941">
        <v>5</v>
      </c>
      <c r="N941">
        <v>49</v>
      </c>
      <c r="O941">
        <v>81</v>
      </c>
      <c r="P941">
        <v>53</v>
      </c>
      <c r="Q941">
        <f>tinder[[#This Row],[All Swipes]]/MAX(tinder[All Swipes])</f>
        <v>2.6104597462818797E-2</v>
      </c>
      <c r="R941">
        <f>tinder[[#This Row],[Swipe Right (LIKE)]]+tinder[[#This Row],[Swipe Left (PASS)]]</f>
        <v>22158</v>
      </c>
      <c r="S941">
        <v>2377</v>
      </c>
      <c r="T941">
        <v>19781</v>
      </c>
      <c r="U941" t="s">
        <v>10</v>
      </c>
      <c r="V941" s="1">
        <v>43847</v>
      </c>
      <c r="W941" t="s">
        <v>12</v>
      </c>
      <c r="X941" t="s">
        <v>1295</v>
      </c>
      <c r="Y941" t="s">
        <v>1202</v>
      </c>
      <c r="Z941">
        <v>47</v>
      </c>
      <c r="AA941" t="str">
        <f>_xlfn.IFS(tinder[[#This Row],[Age]]&lt;=20,"Teen",tinder[[#This Row],[Age]]&lt;=30,"Young Adult",tinder[[#This Row],[Age]]&lt;=40,"Adult",tinder[[#This Row],[Age]]&lt;=50,"Middle-Aged",TRUE,"Senior")</f>
        <v>Middle-Aged</v>
      </c>
    </row>
    <row r="942" spans="1:27" x14ac:dyDescent="0.3">
      <c r="A942" t="s">
        <v>41</v>
      </c>
      <c r="B942">
        <v>1379</v>
      </c>
      <c r="C942">
        <v>401</v>
      </c>
      <c r="D942">
        <f>IFERROR(tinder[[#This Row],[Tinder Opened]]/tinder[[#This Row],[Days on Tinder]],0)</f>
        <v>3.4389027431421448</v>
      </c>
      <c r="E942">
        <f>tinder[[#This Row],[Engagement]]/MAX(tinder[Engagement])</f>
        <v>1.728091830724696E-2</v>
      </c>
      <c r="F94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42">
        <v>87</v>
      </c>
      <c r="H942">
        <f>IFERROR(tinder[[#This Row],[Conversations]]/tinder[[#This Row],[Tinder Opened]],0)</f>
        <v>6.3089195068890505E-2</v>
      </c>
      <c r="I942">
        <f>tinder[[#This Row],[Conversations]]/MAX(tinder[Conversations])</f>
        <v>6.8818224964404366E-3</v>
      </c>
      <c r="J942">
        <f>(tinder[[#This Row],[Norm Engagement]]*2)+(tinder[[#This Row],[Norm Swipes]]*1)+(tinder[[#This Row],[Norm Conversations]]*2)</f>
        <v>9.8165494048233604E-2</v>
      </c>
      <c r="K94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42">
        <v>7</v>
      </c>
      <c r="M942">
        <v>33</v>
      </c>
      <c r="N942">
        <v>508</v>
      </c>
      <c r="O942">
        <v>542</v>
      </c>
      <c r="P942">
        <v>426</v>
      </c>
      <c r="Q942">
        <f>tinder[[#This Row],[All Swipes]]/MAX(tinder[All Swipes])</f>
        <v>4.9840012440858797E-2</v>
      </c>
      <c r="R942">
        <f>tinder[[#This Row],[Swipe Right (LIKE)]]+tinder[[#This Row],[Swipe Left (PASS)]]</f>
        <v>42305</v>
      </c>
      <c r="S942">
        <v>23990</v>
      </c>
      <c r="T942">
        <v>18315</v>
      </c>
      <c r="U942" t="s">
        <v>8</v>
      </c>
      <c r="V942" s="1">
        <v>41812</v>
      </c>
      <c r="W942" t="s">
        <v>7</v>
      </c>
      <c r="X942" t="s">
        <v>1295</v>
      </c>
      <c r="Y942" t="s">
        <v>8</v>
      </c>
      <c r="Z942">
        <v>18</v>
      </c>
      <c r="AA942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43" spans="1:27" x14ac:dyDescent="0.3">
      <c r="A943" t="s">
        <v>775</v>
      </c>
      <c r="B943">
        <v>874</v>
      </c>
      <c r="C943">
        <v>256</v>
      </c>
      <c r="D943">
        <f>IFERROR(tinder[[#This Row],[Tinder Opened]]/tinder[[#This Row],[Days on Tinder]],0)</f>
        <v>3.4140625</v>
      </c>
      <c r="E943">
        <f>tinder[[#This Row],[Engagement]]/MAX(tinder[Engagement])</f>
        <v>1.7156092964824121E-2</v>
      </c>
      <c r="F94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43">
        <v>129</v>
      </c>
      <c r="H943">
        <f>IFERROR(tinder[[#This Row],[Conversations]]/tinder[[#This Row],[Tinder Opened]],0)</f>
        <v>0.14759725400457666</v>
      </c>
      <c r="I943">
        <f>tinder[[#This Row],[Conversations]]/MAX(tinder[Conversations])</f>
        <v>1.020408163265306E-2</v>
      </c>
      <c r="J943">
        <f>(tinder[[#This Row],[Norm Engagement]]*2)+(tinder[[#This Row],[Norm Swipes]]*1)+(tinder[[#This Row],[Norm Conversations]]*2)</f>
        <v>0.1490929811905812</v>
      </c>
      <c r="K94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43">
        <v>81</v>
      </c>
      <c r="M943">
        <v>2</v>
      </c>
      <c r="N943">
        <v>286</v>
      </c>
      <c r="O943">
        <v>311</v>
      </c>
      <c r="P943">
        <v>155</v>
      </c>
      <c r="Q943">
        <f>tinder[[#This Row],[All Swipes]]/MAX(tinder[All Swipes])</f>
        <v>9.4372631995626843E-2</v>
      </c>
      <c r="R943">
        <f>tinder[[#This Row],[Swipe Right (LIKE)]]+tinder[[#This Row],[Swipe Left (PASS)]]</f>
        <v>80105</v>
      </c>
      <c r="S943">
        <v>78121</v>
      </c>
      <c r="T943">
        <v>1984</v>
      </c>
      <c r="U943" t="s">
        <v>85</v>
      </c>
      <c r="V943" s="1">
        <v>42289</v>
      </c>
      <c r="W943" t="s">
        <v>7</v>
      </c>
      <c r="X943" t="s">
        <v>1295</v>
      </c>
      <c r="Y943" t="s">
        <v>776</v>
      </c>
      <c r="Z943">
        <v>22</v>
      </c>
      <c r="AA94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44" spans="1:27" x14ac:dyDescent="0.3">
      <c r="A944" t="s">
        <v>261</v>
      </c>
      <c r="B944">
        <v>283</v>
      </c>
      <c r="C944">
        <v>83</v>
      </c>
      <c r="D944">
        <f>IFERROR(tinder[[#This Row],[Tinder Opened]]/tinder[[#This Row],[Days on Tinder]],0)</f>
        <v>3.4096385542168677</v>
      </c>
      <c r="E944">
        <f>tinder[[#This Row],[Engagement]]/MAX(tinder[Engagement])</f>
        <v>1.7133862081491796E-2</v>
      </c>
      <c r="F94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44">
        <v>3</v>
      </c>
      <c r="H944">
        <f>IFERROR(tinder[[#This Row],[Conversations]]/tinder[[#This Row],[Tinder Opened]],0)</f>
        <v>1.0600706713780919E-2</v>
      </c>
      <c r="I944">
        <f>tinder[[#This Row],[Conversations]]/MAX(tinder[Conversations])</f>
        <v>2.3730422401518748E-4</v>
      </c>
      <c r="J944">
        <f>(tinder[[#This Row],[Norm Engagement]]*2)+(tinder[[#This Row],[Norm Swipes]]*1)+(tinder[[#This Row],[Norm Conversations]]*2)</f>
        <v>3.5107547215828205E-2</v>
      </c>
      <c r="K94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44">
        <v>2</v>
      </c>
      <c r="M944">
        <v>0</v>
      </c>
      <c r="N944">
        <v>3</v>
      </c>
      <c r="O944">
        <v>4</v>
      </c>
      <c r="P944">
        <v>0</v>
      </c>
      <c r="Q944">
        <f>tinder[[#This Row],[All Swipes]]/MAX(tinder[All Swipes])</f>
        <v>3.6521460481423536E-4</v>
      </c>
      <c r="R944">
        <f>tinder[[#This Row],[Swipe Right (LIKE)]]+tinder[[#This Row],[Swipe Left (PASS)]]</f>
        <v>310</v>
      </c>
      <c r="S944">
        <v>109</v>
      </c>
      <c r="T944">
        <v>201</v>
      </c>
      <c r="U944" t="s">
        <v>262</v>
      </c>
      <c r="V944" s="1">
        <v>44023</v>
      </c>
      <c r="W944" t="s">
        <v>12</v>
      </c>
      <c r="X944" t="s">
        <v>1295</v>
      </c>
      <c r="Y944" t="s">
        <v>263</v>
      </c>
      <c r="Z944">
        <v>27</v>
      </c>
      <c r="AA94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45" spans="1:27" x14ac:dyDescent="0.3">
      <c r="A945" t="s">
        <v>1122</v>
      </c>
      <c r="B945">
        <v>2939</v>
      </c>
      <c r="C945">
        <v>862</v>
      </c>
      <c r="D945">
        <f>IFERROR(tinder[[#This Row],[Tinder Opened]]/tinder[[#This Row],[Days on Tinder]],0)</f>
        <v>3.4095127610208817</v>
      </c>
      <c r="E945">
        <f>tinder[[#This Row],[Engagement]]/MAX(tinder[Engagement])</f>
        <v>1.7133229954878804E-2</v>
      </c>
      <c r="F94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45">
        <v>126</v>
      </c>
      <c r="H945">
        <f>IFERROR(tinder[[#This Row],[Conversations]]/tinder[[#This Row],[Tinder Opened]],0)</f>
        <v>4.2871725076556649E-2</v>
      </c>
      <c r="I945">
        <f>tinder[[#This Row],[Conversations]]/MAX(tinder[Conversations])</f>
        <v>9.9667774086378731E-3</v>
      </c>
      <c r="J945">
        <f>(tinder[[#This Row],[Norm Engagement]]*2)+(tinder[[#This Row],[Norm Swipes]]*1)+(tinder[[#This Row],[Norm Conversations]]*2)</f>
        <v>0.12319612224621301</v>
      </c>
      <c r="K94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45">
        <v>62</v>
      </c>
      <c r="M945">
        <v>3</v>
      </c>
      <c r="N945">
        <v>240</v>
      </c>
      <c r="O945">
        <v>301</v>
      </c>
      <c r="P945">
        <v>223</v>
      </c>
      <c r="Q945">
        <f>tinder[[#This Row],[All Swipes]]/MAX(tinder[All Swipes])</f>
        <v>6.8996107519179659E-2</v>
      </c>
      <c r="R945">
        <f>tinder[[#This Row],[Swipe Right (LIKE)]]+tinder[[#This Row],[Swipe Left (PASS)]]</f>
        <v>58565</v>
      </c>
      <c r="S945">
        <v>35824</v>
      </c>
      <c r="T945">
        <v>22741</v>
      </c>
      <c r="U945" t="s">
        <v>8</v>
      </c>
      <c r="V945" s="1">
        <v>42174</v>
      </c>
      <c r="W945" t="s">
        <v>7</v>
      </c>
      <c r="X945" t="s">
        <v>1295</v>
      </c>
      <c r="Y945" t="s">
        <v>8</v>
      </c>
      <c r="Z945">
        <v>17</v>
      </c>
      <c r="AA94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46" spans="1:27" x14ac:dyDescent="0.3">
      <c r="A946" t="s">
        <v>1100</v>
      </c>
      <c r="B946">
        <v>109</v>
      </c>
      <c r="C946">
        <v>32</v>
      </c>
      <c r="D946">
        <f>IFERROR(tinder[[#This Row],[Tinder Opened]]/tinder[[#This Row],[Days on Tinder]],0)</f>
        <v>3.40625</v>
      </c>
      <c r="E946">
        <f>tinder[[#This Row],[Engagement]]/MAX(tinder[Engagement])</f>
        <v>1.7116834170854273E-2</v>
      </c>
      <c r="F94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46">
        <v>83</v>
      </c>
      <c r="H946">
        <f>IFERROR(tinder[[#This Row],[Conversations]]/tinder[[#This Row],[Tinder Opened]],0)</f>
        <v>0.76146788990825687</v>
      </c>
      <c r="I946">
        <f>tinder[[#This Row],[Conversations]]/MAX(tinder[Conversations])</f>
        <v>6.5654168644201866E-3</v>
      </c>
      <c r="J946">
        <f>(tinder[[#This Row],[Norm Engagement]]*2)+(tinder[[#This Row],[Norm Swipes]]*1)+(tinder[[#This Row],[Norm Conversations]]*2)</f>
        <v>4.8659246750196804E-2</v>
      </c>
      <c r="K94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46">
        <v>10</v>
      </c>
      <c r="M946">
        <v>51</v>
      </c>
      <c r="N946">
        <v>15</v>
      </c>
      <c r="O946">
        <v>246</v>
      </c>
      <c r="P946">
        <v>320</v>
      </c>
      <c r="Q946">
        <f>tinder[[#This Row],[All Swipes]]/MAX(tinder[All Swipes])</f>
        <v>1.2947446796478859E-3</v>
      </c>
      <c r="R946">
        <f>tinder[[#This Row],[Swipe Right (LIKE)]]+tinder[[#This Row],[Swipe Left (PASS)]]</f>
        <v>1099</v>
      </c>
      <c r="S946">
        <v>26</v>
      </c>
      <c r="T946">
        <v>1073</v>
      </c>
      <c r="U946" t="s">
        <v>8</v>
      </c>
      <c r="V946" s="1">
        <v>43906</v>
      </c>
      <c r="W946" t="s">
        <v>12</v>
      </c>
      <c r="X946" t="s">
        <v>1296</v>
      </c>
      <c r="Y946" t="s">
        <v>8</v>
      </c>
      <c r="Z946">
        <v>23</v>
      </c>
      <c r="AA94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47" spans="1:27" x14ac:dyDescent="0.3">
      <c r="A947" t="s">
        <v>215</v>
      </c>
      <c r="B947">
        <v>2819</v>
      </c>
      <c r="C947">
        <v>841</v>
      </c>
      <c r="D947">
        <f>IFERROR(tinder[[#This Row],[Tinder Opened]]/tinder[[#This Row],[Days on Tinder]],0)</f>
        <v>3.3519619500594531</v>
      </c>
      <c r="E947">
        <f>tinder[[#This Row],[Engagement]]/MAX(tinder[Engagement])</f>
        <v>1.6844029899796248E-2</v>
      </c>
      <c r="F94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47">
        <v>117</v>
      </c>
      <c r="H947">
        <f>IFERROR(tinder[[#This Row],[Conversations]]/tinder[[#This Row],[Tinder Opened]],0)</f>
        <v>4.1504079460801702E-2</v>
      </c>
      <c r="I947">
        <f>tinder[[#This Row],[Conversations]]/MAX(tinder[Conversations])</f>
        <v>9.2548647365923113E-3</v>
      </c>
      <c r="J947">
        <f>(tinder[[#This Row],[Norm Engagement]]*2)+(tinder[[#This Row],[Norm Swipes]]*1)+(tinder[[#This Row],[Norm Conversations]]*2)</f>
        <v>0.14306553917381573</v>
      </c>
      <c r="K94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47">
        <v>39</v>
      </c>
      <c r="M947">
        <v>17</v>
      </c>
      <c r="N947">
        <v>764</v>
      </c>
      <c r="O947">
        <v>625</v>
      </c>
      <c r="P947">
        <v>713</v>
      </c>
      <c r="Q947">
        <f>tinder[[#This Row],[All Swipes]]/MAX(tinder[All Swipes])</f>
        <v>9.0867749901038616E-2</v>
      </c>
      <c r="R947">
        <f>tinder[[#This Row],[Swipe Right (LIKE)]]+tinder[[#This Row],[Swipe Left (PASS)]]</f>
        <v>77130</v>
      </c>
      <c r="S947">
        <v>52515</v>
      </c>
      <c r="T947">
        <v>24615</v>
      </c>
      <c r="U947" t="s">
        <v>8</v>
      </c>
      <c r="V947" s="1">
        <v>43074</v>
      </c>
      <c r="W947" t="s">
        <v>12</v>
      </c>
      <c r="X947" t="s">
        <v>1295</v>
      </c>
      <c r="Y947" t="s">
        <v>8</v>
      </c>
      <c r="Z947">
        <v>26</v>
      </c>
      <c r="AA94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48" spans="1:27" x14ac:dyDescent="0.3">
      <c r="A948" t="s">
        <v>660</v>
      </c>
      <c r="B948">
        <v>468</v>
      </c>
      <c r="C948">
        <v>140</v>
      </c>
      <c r="D948">
        <f>IFERROR(tinder[[#This Row],[Tinder Opened]]/tinder[[#This Row],[Days on Tinder]],0)</f>
        <v>3.342857142857143</v>
      </c>
      <c r="E948">
        <f>tinder[[#This Row],[Engagement]]/MAX(tinder[Engagement])</f>
        <v>1.6798277099784639E-2</v>
      </c>
      <c r="F94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48">
        <v>93</v>
      </c>
      <c r="H948">
        <f>IFERROR(tinder[[#This Row],[Conversations]]/tinder[[#This Row],[Tinder Opened]],0)</f>
        <v>0.19871794871794871</v>
      </c>
      <c r="I948">
        <f>tinder[[#This Row],[Conversations]]/MAX(tinder[Conversations])</f>
        <v>7.3564309444708112E-3</v>
      </c>
      <c r="J948">
        <f>(tinder[[#This Row],[Norm Engagement]]*2)+(tinder[[#This Row],[Norm Swipes]]*1)+(tinder[[#This Row],[Norm Conversations]]*2)</f>
        <v>7.1300264517381237E-2</v>
      </c>
      <c r="K94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48">
        <v>7</v>
      </c>
      <c r="M948">
        <v>49</v>
      </c>
      <c r="N948">
        <v>226</v>
      </c>
      <c r="O948">
        <v>362</v>
      </c>
      <c r="P948">
        <v>629</v>
      </c>
      <c r="Q948">
        <f>tinder[[#This Row],[All Swipes]]/MAX(tinder[All Swipes])</f>
        <v>2.2990848428870333E-2</v>
      </c>
      <c r="R948">
        <f>tinder[[#This Row],[Swipe Right (LIKE)]]+tinder[[#This Row],[Swipe Left (PASS)]]</f>
        <v>19515</v>
      </c>
      <c r="S948">
        <v>390</v>
      </c>
      <c r="T948">
        <v>19125</v>
      </c>
      <c r="U948" t="s">
        <v>75</v>
      </c>
      <c r="V948" s="1">
        <v>42682</v>
      </c>
      <c r="W948" t="s">
        <v>7</v>
      </c>
      <c r="X948" t="s">
        <v>1296</v>
      </c>
      <c r="Y948" t="s">
        <v>661</v>
      </c>
      <c r="Z948">
        <v>25</v>
      </c>
      <c r="AA94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49" spans="1:27" x14ac:dyDescent="0.3">
      <c r="A949" t="s">
        <v>409</v>
      </c>
      <c r="B949">
        <v>1903</v>
      </c>
      <c r="C949">
        <v>578</v>
      </c>
      <c r="D949">
        <f>IFERROR(tinder[[#This Row],[Tinder Opened]]/tinder[[#This Row],[Days on Tinder]],0)</f>
        <v>3.2923875432525951</v>
      </c>
      <c r="E949">
        <f>tinder[[#This Row],[Engagement]]/MAX(tinder[Engagement])</f>
        <v>1.6544661021369825E-2</v>
      </c>
      <c r="F94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49">
        <v>109</v>
      </c>
      <c r="H949">
        <f>IFERROR(tinder[[#This Row],[Conversations]]/tinder[[#This Row],[Tinder Opened]],0)</f>
        <v>5.727798213347346E-2</v>
      </c>
      <c r="I949">
        <f>tinder[[#This Row],[Conversations]]/MAX(tinder[Conversations])</f>
        <v>8.6220534725518112E-3</v>
      </c>
      <c r="J949">
        <f>(tinder[[#This Row],[Norm Engagement]]*2)+(tinder[[#This Row],[Norm Swipes]]*1)+(tinder[[#This Row],[Norm Conversations]]*2)</f>
        <v>0.10968198038178495</v>
      </c>
      <c r="K94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49">
        <v>28</v>
      </c>
      <c r="M949">
        <v>36</v>
      </c>
      <c r="N949">
        <v>611</v>
      </c>
      <c r="O949">
        <v>205</v>
      </c>
      <c r="P949">
        <v>279</v>
      </c>
      <c r="Q949">
        <f>tinder[[#This Row],[All Swipes]]/MAX(tinder[All Swipes])</f>
        <v>5.9348551393941677E-2</v>
      </c>
      <c r="R949">
        <f>tinder[[#This Row],[Swipe Right (LIKE)]]+tinder[[#This Row],[Swipe Left (PASS)]]</f>
        <v>50376</v>
      </c>
      <c r="S949">
        <v>1840</v>
      </c>
      <c r="T949">
        <v>48536</v>
      </c>
      <c r="U949" t="s">
        <v>14</v>
      </c>
      <c r="V949" s="1">
        <v>41973</v>
      </c>
      <c r="W949" t="s">
        <v>7</v>
      </c>
      <c r="X949" t="s">
        <v>1296</v>
      </c>
      <c r="Y949" t="s">
        <v>173</v>
      </c>
      <c r="Z949">
        <v>19</v>
      </c>
      <c r="AA949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50" spans="1:27" x14ac:dyDescent="0.3">
      <c r="A950" t="s">
        <v>567</v>
      </c>
      <c r="B950">
        <v>235</v>
      </c>
      <c r="C950">
        <v>72</v>
      </c>
      <c r="D950">
        <f>IFERROR(tinder[[#This Row],[Tinder Opened]]/tinder[[#This Row],[Days on Tinder]],0)</f>
        <v>3.2638888888888888</v>
      </c>
      <c r="E950">
        <f>tinder[[#This Row],[Engagement]]/MAX(tinder[Engagement])</f>
        <v>1.640145170295924E-2</v>
      </c>
      <c r="F95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50">
        <v>8</v>
      </c>
      <c r="H950">
        <f>IFERROR(tinder[[#This Row],[Conversations]]/tinder[[#This Row],[Tinder Opened]],0)</f>
        <v>3.4042553191489362E-2</v>
      </c>
      <c r="I950">
        <f>tinder[[#This Row],[Conversations]]/MAX(tinder[Conversations])</f>
        <v>6.3281126404049991E-4</v>
      </c>
      <c r="J950">
        <f>(tinder[[#This Row],[Norm Engagement]]*2)+(tinder[[#This Row],[Norm Swipes]]*1)+(tinder[[#This Row],[Norm Conversations]]*2)</f>
        <v>3.6388227730384089E-2</v>
      </c>
      <c r="K95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50">
        <v>7</v>
      </c>
      <c r="M950">
        <v>1</v>
      </c>
      <c r="N950">
        <v>3</v>
      </c>
      <c r="O950">
        <v>9</v>
      </c>
      <c r="P950">
        <v>8</v>
      </c>
      <c r="Q950">
        <f>tinder[[#This Row],[All Swipes]]/MAX(tinder[All Swipes])</f>
        <v>2.319701796384611E-3</v>
      </c>
      <c r="R950">
        <f>tinder[[#This Row],[Swipe Right (LIKE)]]+tinder[[#This Row],[Swipe Left (PASS)]]</f>
        <v>1969</v>
      </c>
      <c r="S950">
        <v>1631</v>
      </c>
      <c r="T950">
        <v>338</v>
      </c>
      <c r="U950" t="s">
        <v>10</v>
      </c>
      <c r="V950" s="1">
        <v>44114</v>
      </c>
      <c r="W950" t="s">
        <v>12</v>
      </c>
      <c r="X950" t="s">
        <v>1295</v>
      </c>
      <c r="Y950" t="s">
        <v>8</v>
      </c>
      <c r="Z950">
        <v>24</v>
      </c>
      <c r="AA95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51" spans="1:27" x14ac:dyDescent="0.3">
      <c r="A951" t="s">
        <v>978</v>
      </c>
      <c r="B951">
        <v>830</v>
      </c>
      <c r="C951">
        <v>264</v>
      </c>
      <c r="D951">
        <f>IFERROR(tinder[[#This Row],[Tinder Opened]]/tinder[[#This Row],[Days on Tinder]],0)</f>
        <v>3.143939393939394</v>
      </c>
      <c r="E951">
        <f>tinder[[#This Row],[Engagement]]/MAX(tinder[Engagement])</f>
        <v>1.5798690421806001E-2</v>
      </c>
      <c r="F95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51">
        <v>27</v>
      </c>
      <c r="H951">
        <f>IFERROR(tinder[[#This Row],[Conversations]]/tinder[[#This Row],[Tinder Opened]],0)</f>
        <v>3.2530120481927709E-2</v>
      </c>
      <c r="I951">
        <f>tinder[[#This Row],[Conversations]]/MAX(tinder[Conversations])</f>
        <v>2.1357380161366873E-3</v>
      </c>
      <c r="J951">
        <f>(tinder[[#This Row],[Norm Engagement]]*2)+(tinder[[#This Row],[Norm Swipes]]*1)+(tinder[[#This Row],[Norm Conversations]]*2)</f>
        <v>4.4452578200648338E-2</v>
      </c>
      <c r="K95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51">
        <v>13</v>
      </c>
      <c r="M951">
        <v>0</v>
      </c>
      <c r="N951">
        <v>7</v>
      </c>
      <c r="O951">
        <v>123</v>
      </c>
      <c r="P951">
        <v>83</v>
      </c>
      <c r="Q951">
        <f>tinder[[#This Row],[All Swipes]]/MAX(tinder[All Swipes])</f>
        <v>8.5837213247629638E-3</v>
      </c>
      <c r="R951">
        <f>tinder[[#This Row],[Swipe Right (LIKE)]]+tinder[[#This Row],[Swipe Left (PASS)]]</f>
        <v>7286</v>
      </c>
      <c r="S951">
        <v>2760</v>
      </c>
      <c r="T951">
        <v>4526</v>
      </c>
      <c r="U951" t="s">
        <v>8</v>
      </c>
      <c r="V951" s="1">
        <v>43869</v>
      </c>
      <c r="W951" t="s">
        <v>12</v>
      </c>
      <c r="X951" t="s">
        <v>1295</v>
      </c>
      <c r="Y951" t="s">
        <v>8</v>
      </c>
      <c r="Z951">
        <v>22</v>
      </c>
      <c r="AA951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52" spans="1:27" x14ac:dyDescent="0.3">
      <c r="A952" t="s">
        <v>851</v>
      </c>
      <c r="B952">
        <v>37</v>
      </c>
      <c r="C952">
        <v>12</v>
      </c>
      <c r="D952">
        <f>IFERROR(tinder[[#This Row],[Tinder Opened]]/tinder[[#This Row],[Days on Tinder]],0)</f>
        <v>3.0833333333333335</v>
      </c>
      <c r="E952">
        <f>tinder[[#This Row],[Engagement]]/MAX(tinder[Engagement])</f>
        <v>1.5494137353433836E-2</v>
      </c>
      <c r="F95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52">
        <v>1</v>
      </c>
      <c r="H952">
        <f>IFERROR(tinder[[#This Row],[Conversations]]/tinder[[#This Row],[Tinder Opened]],0)</f>
        <v>2.7027027027027029E-2</v>
      </c>
      <c r="I952">
        <f>tinder[[#This Row],[Conversations]]/MAX(tinder[Conversations])</f>
        <v>7.9101408005062489E-5</v>
      </c>
      <c r="J952">
        <f>(tinder[[#This Row],[Norm Engagement]]*2)+(tinder[[#This Row],[Norm Swipes]]*1)+(tinder[[#This Row],[Norm Conversations]]*2)</f>
        <v>3.2176147086128253E-2</v>
      </c>
      <c r="K95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52">
        <v>0</v>
      </c>
      <c r="M952">
        <v>0</v>
      </c>
      <c r="N952">
        <v>1</v>
      </c>
      <c r="O952">
        <v>12</v>
      </c>
      <c r="P952">
        <v>8</v>
      </c>
      <c r="Q952">
        <f>tinder[[#This Row],[All Swipes]]/MAX(tinder[All Swipes])</f>
        <v>1.0296695632504571E-3</v>
      </c>
      <c r="R952">
        <f>tinder[[#This Row],[Swipe Right (LIKE)]]+tinder[[#This Row],[Swipe Left (PASS)]]</f>
        <v>874</v>
      </c>
      <c r="S952">
        <v>135</v>
      </c>
      <c r="T952">
        <v>739</v>
      </c>
      <c r="U952" t="s">
        <v>10</v>
      </c>
      <c r="V952" s="1">
        <v>44288</v>
      </c>
      <c r="W952" t="s">
        <v>12</v>
      </c>
      <c r="X952" t="s">
        <v>1295</v>
      </c>
      <c r="Y952" t="s">
        <v>852</v>
      </c>
      <c r="Z952">
        <v>23</v>
      </c>
      <c r="AA95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53" spans="1:27" x14ac:dyDescent="0.3">
      <c r="A953" t="s">
        <v>906</v>
      </c>
      <c r="B953">
        <v>2223</v>
      </c>
      <c r="C953">
        <v>725</v>
      </c>
      <c r="D953">
        <f>IFERROR(tinder[[#This Row],[Tinder Opened]]/tinder[[#This Row],[Days on Tinder]],0)</f>
        <v>3.0662068965517242</v>
      </c>
      <c r="E953">
        <f>tinder[[#This Row],[Engagement]]/MAX(tinder[Engagement])</f>
        <v>1.5408074857043839E-2</v>
      </c>
      <c r="F95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53">
        <v>18</v>
      </c>
      <c r="H953">
        <f>IFERROR(tinder[[#This Row],[Conversations]]/tinder[[#This Row],[Tinder Opened]],0)</f>
        <v>8.0971659919028341E-3</v>
      </c>
      <c r="I953">
        <f>tinder[[#This Row],[Conversations]]/MAX(tinder[Conversations])</f>
        <v>1.4238253440911248E-3</v>
      </c>
      <c r="J953">
        <f>(tinder[[#This Row],[Norm Engagement]]*2)+(tinder[[#This Row],[Norm Swipes]]*1)+(tinder[[#This Row],[Norm Conversations]]*2)</f>
        <v>0.22033205359259619</v>
      </c>
      <c r="K95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53">
        <v>9</v>
      </c>
      <c r="M953">
        <v>2</v>
      </c>
      <c r="N953">
        <v>100</v>
      </c>
      <c r="O953">
        <v>117</v>
      </c>
      <c r="P953">
        <v>88</v>
      </c>
      <c r="Q953">
        <f>tinder[[#This Row],[All Swipes]]/MAX(tinder[All Swipes])</f>
        <v>0.18666825319032629</v>
      </c>
      <c r="R953">
        <f>tinder[[#This Row],[Swipe Right (LIKE)]]+tinder[[#This Row],[Swipe Left (PASS)]]</f>
        <v>158447</v>
      </c>
      <c r="S953">
        <v>15649</v>
      </c>
      <c r="T953">
        <v>142798</v>
      </c>
      <c r="U953" t="s">
        <v>14</v>
      </c>
      <c r="V953" s="1">
        <v>42076</v>
      </c>
      <c r="W953" t="s">
        <v>7</v>
      </c>
      <c r="X953" t="s">
        <v>1295</v>
      </c>
      <c r="Y953" t="s">
        <v>907</v>
      </c>
      <c r="Z953">
        <v>27</v>
      </c>
      <c r="AA95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54" spans="1:27" x14ac:dyDescent="0.3">
      <c r="A954" t="s">
        <v>614</v>
      </c>
      <c r="B954">
        <v>177</v>
      </c>
      <c r="C954">
        <v>58</v>
      </c>
      <c r="D954">
        <f>IFERROR(tinder[[#This Row],[Tinder Opened]]/tinder[[#This Row],[Days on Tinder]],0)</f>
        <v>3.0517241379310347</v>
      </c>
      <c r="E954">
        <f>tinder[[#This Row],[Engagement]]/MAX(tinder[Engagement])</f>
        <v>1.5335297175532838E-2</v>
      </c>
      <c r="F95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54">
        <v>0</v>
      </c>
      <c r="H954">
        <f>IFERROR(tinder[[#This Row],[Conversations]]/tinder[[#This Row],[Tinder Opened]],0)</f>
        <v>0</v>
      </c>
      <c r="I954">
        <f>tinder[[#This Row],[Conversations]]/MAX(tinder[Conversations])</f>
        <v>0</v>
      </c>
      <c r="J954">
        <f>(tinder[[#This Row],[Norm Engagement]]*2)+(tinder[[#This Row],[Norm Swipes]]*1)+(tinder[[#This Row],[Norm Conversations]]*2)</f>
        <v>3.2380034323921981E-2</v>
      </c>
      <c r="K95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54">
        <v>0</v>
      </c>
      <c r="M954">
        <v>0</v>
      </c>
      <c r="N954">
        <v>9</v>
      </c>
      <c r="O954">
        <v>0</v>
      </c>
      <c r="P954">
        <v>0</v>
      </c>
      <c r="Q954">
        <f>tinder[[#This Row],[All Swipes]]/MAX(tinder[All Swipes])</f>
        <v>1.709439972856308E-3</v>
      </c>
      <c r="R954">
        <f>tinder[[#This Row],[Swipe Right (LIKE)]]+tinder[[#This Row],[Swipe Left (PASS)]]</f>
        <v>1451</v>
      </c>
      <c r="S954">
        <v>570</v>
      </c>
      <c r="T954">
        <v>881</v>
      </c>
      <c r="U954" t="s">
        <v>8</v>
      </c>
      <c r="V954" s="1">
        <v>43890</v>
      </c>
      <c r="W954" t="s">
        <v>12</v>
      </c>
      <c r="X954" t="s">
        <v>1295</v>
      </c>
      <c r="Y954" t="s">
        <v>19</v>
      </c>
      <c r="Z954">
        <v>20</v>
      </c>
      <c r="AA954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55" spans="1:27" x14ac:dyDescent="0.3">
      <c r="A955" t="s">
        <v>227</v>
      </c>
      <c r="B955">
        <v>2223</v>
      </c>
      <c r="C955">
        <v>729</v>
      </c>
      <c r="D955">
        <f>IFERROR(tinder[[#This Row],[Tinder Opened]]/tinder[[#This Row],[Days on Tinder]],0)</f>
        <v>3.0493827160493829</v>
      </c>
      <c r="E955">
        <f>tinder[[#This Row],[Engagement]]/MAX(tinder[Engagement])</f>
        <v>1.532353123642906E-2</v>
      </c>
      <c r="F95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55">
        <v>174</v>
      </c>
      <c r="H955">
        <f>IFERROR(tinder[[#This Row],[Conversations]]/tinder[[#This Row],[Tinder Opened]],0)</f>
        <v>7.8272604588394065E-2</v>
      </c>
      <c r="I955">
        <f>tinder[[#This Row],[Conversations]]/MAX(tinder[Conversations])</f>
        <v>1.3763644992880873E-2</v>
      </c>
      <c r="J955">
        <f>(tinder[[#This Row],[Norm Engagement]]*2)+(tinder[[#This Row],[Norm Swipes]]*1)+(tinder[[#This Row],[Norm Conversations]]*2)</f>
        <v>0.16780470815408272</v>
      </c>
      <c r="K95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55">
        <v>98</v>
      </c>
      <c r="M955">
        <v>36</v>
      </c>
      <c r="N955">
        <v>517</v>
      </c>
      <c r="O955">
        <v>240</v>
      </c>
      <c r="P955">
        <v>286</v>
      </c>
      <c r="Q955">
        <f>tinder[[#This Row],[All Swipes]]/MAX(tinder[All Swipes])</f>
        <v>0.10963035569546285</v>
      </c>
      <c r="R955">
        <f>tinder[[#This Row],[Swipe Right (LIKE)]]+tinder[[#This Row],[Swipe Left (PASS)]]</f>
        <v>93056</v>
      </c>
      <c r="S955">
        <v>74592</v>
      </c>
      <c r="T955">
        <v>18464</v>
      </c>
      <c r="U955" t="s">
        <v>10</v>
      </c>
      <c r="V955" s="1">
        <v>41687</v>
      </c>
      <c r="W955" t="s">
        <v>7</v>
      </c>
      <c r="X955" t="s">
        <v>1295</v>
      </c>
      <c r="Y955" t="s">
        <v>8</v>
      </c>
      <c r="Z955">
        <v>27</v>
      </c>
      <c r="AA95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56" spans="1:27" x14ac:dyDescent="0.3">
      <c r="A956" t="s">
        <v>745</v>
      </c>
      <c r="B956">
        <v>823</v>
      </c>
      <c r="C956">
        <v>270</v>
      </c>
      <c r="D956">
        <f>IFERROR(tinder[[#This Row],[Tinder Opened]]/tinder[[#This Row],[Days on Tinder]],0)</f>
        <v>3.0481481481481483</v>
      </c>
      <c r="E956">
        <f>tinder[[#This Row],[Engagement]]/MAX(tinder[Engagement])</f>
        <v>1.5317327377628885E-2</v>
      </c>
      <c r="F95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56">
        <v>3</v>
      </c>
      <c r="H956">
        <f>IFERROR(tinder[[#This Row],[Conversations]]/tinder[[#This Row],[Tinder Opened]],0)</f>
        <v>3.6452004860267314E-3</v>
      </c>
      <c r="I956">
        <f>tinder[[#This Row],[Conversations]]/MAX(tinder[Conversations])</f>
        <v>2.3730422401518748E-4</v>
      </c>
      <c r="J956">
        <f>(tinder[[#This Row],[Norm Engagement]]*2)+(tinder[[#This Row],[Norm Swipes]]*1)+(tinder[[#This Row],[Norm Conversations]]*2)</f>
        <v>5.3487493585373316E-2</v>
      </c>
      <c r="K95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56">
        <v>0</v>
      </c>
      <c r="M956">
        <v>0</v>
      </c>
      <c r="N956">
        <v>27</v>
      </c>
      <c r="O956">
        <v>88</v>
      </c>
      <c r="P956">
        <v>80</v>
      </c>
      <c r="Q956">
        <f>tinder[[#This Row],[All Swipes]]/MAX(tinder[All Swipes])</f>
        <v>2.2378230382085165E-2</v>
      </c>
      <c r="R956">
        <f>tinder[[#This Row],[Swipe Right (LIKE)]]+tinder[[#This Row],[Swipe Left (PASS)]]</f>
        <v>18995</v>
      </c>
      <c r="S956">
        <v>4292</v>
      </c>
      <c r="T956">
        <v>14703</v>
      </c>
      <c r="U956" t="s">
        <v>45</v>
      </c>
      <c r="V956" s="1">
        <v>43696</v>
      </c>
      <c r="W956" t="s">
        <v>12</v>
      </c>
      <c r="X956" t="s">
        <v>1295</v>
      </c>
      <c r="Y956" t="s">
        <v>77</v>
      </c>
      <c r="Z956">
        <v>19</v>
      </c>
      <c r="AA95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57" spans="1:27" x14ac:dyDescent="0.3">
      <c r="A957" t="s">
        <v>729</v>
      </c>
      <c r="B957">
        <v>1067</v>
      </c>
      <c r="C957">
        <v>351</v>
      </c>
      <c r="D957">
        <f>IFERROR(tinder[[#This Row],[Tinder Opened]]/tinder[[#This Row],[Days on Tinder]],0)</f>
        <v>3.0398860398860399</v>
      </c>
      <c r="E957">
        <f>tinder[[#This Row],[Engagement]]/MAX(tinder[Engagement])</f>
        <v>1.5275809245658491E-2</v>
      </c>
      <c r="F95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57">
        <v>46</v>
      </c>
      <c r="H957">
        <f>IFERROR(tinder[[#This Row],[Conversations]]/tinder[[#This Row],[Tinder Opened]],0)</f>
        <v>4.3111527647610122E-2</v>
      </c>
      <c r="I957">
        <f>tinder[[#This Row],[Conversations]]/MAX(tinder[Conversations])</f>
        <v>3.6386647682328747E-3</v>
      </c>
      <c r="J957">
        <f>(tinder[[#This Row],[Norm Engagement]]*2)+(tinder[[#This Row],[Norm Swipes]]*1)+(tinder[[#This Row],[Norm Conversations]]*2)</f>
        <v>4.9971744582041844E-2</v>
      </c>
      <c r="K95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57">
        <v>31</v>
      </c>
      <c r="M957">
        <v>0</v>
      </c>
      <c r="N957">
        <v>54</v>
      </c>
      <c r="O957">
        <v>97</v>
      </c>
      <c r="P957">
        <v>53</v>
      </c>
      <c r="Q957">
        <f>tinder[[#This Row],[All Swipes]]/MAX(tinder[All Swipes])</f>
        <v>1.214279655425911E-2</v>
      </c>
      <c r="R957">
        <f>tinder[[#This Row],[Swipe Right (LIKE)]]+tinder[[#This Row],[Swipe Left (PASS)]]</f>
        <v>10307</v>
      </c>
      <c r="S957">
        <v>5864</v>
      </c>
      <c r="T957">
        <v>4443</v>
      </c>
      <c r="U957" t="s">
        <v>10</v>
      </c>
      <c r="V957" s="1">
        <v>43262</v>
      </c>
      <c r="W957" t="s">
        <v>12</v>
      </c>
      <c r="X957" t="s">
        <v>1295</v>
      </c>
      <c r="Y957" t="s">
        <v>730</v>
      </c>
      <c r="Z957">
        <v>22</v>
      </c>
      <c r="AA95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58" spans="1:27" x14ac:dyDescent="0.3">
      <c r="A958" t="s">
        <v>594</v>
      </c>
      <c r="B958">
        <v>1793</v>
      </c>
      <c r="C958">
        <v>590</v>
      </c>
      <c r="D958">
        <f>IFERROR(tinder[[#This Row],[Tinder Opened]]/tinder[[#This Row],[Days on Tinder]],0)</f>
        <v>3.0389830508474578</v>
      </c>
      <c r="E958">
        <f>tinder[[#This Row],[Engagement]]/MAX(tinder[Engagement])</f>
        <v>1.5271271612298782E-2</v>
      </c>
      <c r="F95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58">
        <v>72</v>
      </c>
      <c r="H958">
        <f>IFERROR(tinder[[#This Row],[Conversations]]/tinder[[#This Row],[Tinder Opened]],0)</f>
        <v>4.0156162855549356E-2</v>
      </c>
      <c r="I958">
        <f>tinder[[#This Row],[Conversations]]/MAX(tinder[Conversations])</f>
        <v>5.6953013763644993E-3</v>
      </c>
      <c r="J958">
        <f>(tinder[[#This Row],[Norm Engagement]]*2)+(tinder[[#This Row],[Norm Swipes]]*1)+(tinder[[#This Row],[Norm Conversations]]*2)</f>
        <v>6.315329262866208E-2</v>
      </c>
      <c r="K95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58">
        <v>37</v>
      </c>
      <c r="M958">
        <v>1</v>
      </c>
      <c r="N958">
        <v>188</v>
      </c>
      <c r="O958">
        <v>213</v>
      </c>
      <c r="P958">
        <v>208</v>
      </c>
      <c r="Q958">
        <f>tinder[[#This Row],[All Swipes]]/MAX(tinder[All Swipes])</f>
        <v>2.1220146651335509E-2</v>
      </c>
      <c r="R958">
        <f>tinder[[#This Row],[Swipe Right (LIKE)]]+tinder[[#This Row],[Swipe Left (PASS)]]</f>
        <v>18012</v>
      </c>
      <c r="S958">
        <v>1891</v>
      </c>
      <c r="T958">
        <v>16121</v>
      </c>
      <c r="U958" t="s">
        <v>8</v>
      </c>
      <c r="V958" s="1">
        <v>42991</v>
      </c>
      <c r="W958" t="s">
        <v>7</v>
      </c>
      <c r="X958" t="s">
        <v>1295</v>
      </c>
      <c r="Y958" t="s">
        <v>595</v>
      </c>
      <c r="Z958">
        <v>37</v>
      </c>
      <c r="AA95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959" spans="1:27" x14ac:dyDescent="0.3">
      <c r="A959" t="s">
        <v>89</v>
      </c>
      <c r="B959">
        <v>661</v>
      </c>
      <c r="C959">
        <v>219</v>
      </c>
      <c r="D959">
        <f>IFERROR(tinder[[#This Row],[Tinder Opened]]/tinder[[#This Row],[Days on Tinder]],0)</f>
        <v>3.0182648401826486</v>
      </c>
      <c r="E959">
        <f>tinder[[#This Row],[Engagement]]/MAX(tinder[Engagement])</f>
        <v>1.5167160000917832E-2</v>
      </c>
      <c r="F95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59">
        <v>3</v>
      </c>
      <c r="H959">
        <f>IFERROR(tinder[[#This Row],[Conversations]]/tinder[[#This Row],[Tinder Opened]],0)</f>
        <v>4.5385779122541605E-3</v>
      </c>
      <c r="I959">
        <f>tinder[[#This Row],[Conversations]]/MAX(tinder[Conversations])</f>
        <v>2.3730422401518748E-4</v>
      </c>
      <c r="J959">
        <f>(tinder[[#This Row],[Norm Engagement]]*2)+(tinder[[#This Row],[Norm Swipes]]*1)+(tinder[[#This Row],[Norm Conversations]]*2)</f>
        <v>4.2127046864222042E-2</v>
      </c>
      <c r="K95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59">
        <v>0</v>
      </c>
      <c r="M959">
        <v>0</v>
      </c>
      <c r="N959">
        <v>24</v>
      </c>
      <c r="O959">
        <v>29</v>
      </c>
      <c r="P959">
        <v>36</v>
      </c>
      <c r="Q959">
        <f>tinder[[#This Row],[All Swipes]]/MAX(tinder[All Swipes])</f>
        <v>1.1318118414355998E-2</v>
      </c>
      <c r="R959">
        <f>tinder[[#This Row],[Swipe Right (LIKE)]]+tinder[[#This Row],[Swipe Left (PASS)]]</f>
        <v>9607</v>
      </c>
      <c r="S959">
        <v>1553</v>
      </c>
      <c r="T959">
        <v>8054</v>
      </c>
      <c r="U959" t="s">
        <v>10</v>
      </c>
      <c r="V959" s="1">
        <v>43475</v>
      </c>
      <c r="W959" t="s">
        <v>12</v>
      </c>
      <c r="X959" t="s">
        <v>1295</v>
      </c>
      <c r="Y959" t="s">
        <v>90</v>
      </c>
      <c r="Z959">
        <v>24</v>
      </c>
      <c r="AA95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60" spans="1:27" x14ac:dyDescent="0.3">
      <c r="A960" t="s">
        <v>1273</v>
      </c>
      <c r="B960">
        <v>349</v>
      </c>
      <c r="C960">
        <v>117</v>
      </c>
      <c r="D960">
        <f>IFERROR(tinder[[#This Row],[Tinder Opened]]/tinder[[#This Row],[Days on Tinder]],0)</f>
        <v>2.982905982905983</v>
      </c>
      <c r="E960">
        <f>tinder[[#This Row],[Engagement]]/MAX(tinder[Engagement])</f>
        <v>1.498947730103509E-2</v>
      </c>
      <c r="F96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60">
        <v>42</v>
      </c>
      <c r="H960">
        <f>IFERROR(tinder[[#This Row],[Conversations]]/tinder[[#This Row],[Tinder Opened]],0)</f>
        <v>0.12034383954154727</v>
      </c>
      <c r="I960">
        <f>tinder[[#This Row],[Conversations]]/MAX(tinder[Conversations])</f>
        <v>3.3222591362126247E-3</v>
      </c>
      <c r="J960">
        <f>(tinder[[#This Row],[Norm Engagement]]*2)+(tinder[[#This Row],[Norm Swipes]]*1)+(tinder[[#This Row],[Norm Conversations]]*2)</f>
        <v>4.2895739184272814E-2</v>
      </c>
      <c r="K96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60">
        <v>16</v>
      </c>
      <c r="M960">
        <v>0</v>
      </c>
      <c r="N960">
        <v>11</v>
      </c>
      <c r="O960">
        <v>352</v>
      </c>
      <c r="P960">
        <v>323</v>
      </c>
      <c r="Q960">
        <f>tinder[[#This Row],[All Swipes]]/MAX(tinder[All Swipes])</f>
        <v>6.2722663097773837E-3</v>
      </c>
      <c r="R960">
        <f>tinder[[#This Row],[Swipe Right (LIKE)]]+tinder[[#This Row],[Swipe Left (PASS)]]</f>
        <v>5324</v>
      </c>
      <c r="S960">
        <v>109</v>
      </c>
      <c r="T960">
        <v>5215</v>
      </c>
      <c r="U960" t="s">
        <v>61</v>
      </c>
      <c r="V960" s="1">
        <v>43618</v>
      </c>
      <c r="W960" t="s">
        <v>12</v>
      </c>
      <c r="X960" t="s">
        <v>1295</v>
      </c>
      <c r="Y960" t="s">
        <v>8</v>
      </c>
      <c r="Z960">
        <v>30</v>
      </c>
      <c r="AA96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61" spans="1:27" x14ac:dyDescent="0.3">
      <c r="A961" t="s">
        <v>963</v>
      </c>
      <c r="B961">
        <v>1011</v>
      </c>
      <c r="C961">
        <v>340</v>
      </c>
      <c r="D961">
        <f>IFERROR(tinder[[#This Row],[Tinder Opened]]/tinder[[#This Row],[Days on Tinder]],0)</f>
        <v>2.973529411764706</v>
      </c>
      <c r="E961">
        <f>tinder[[#This Row],[Engagement]]/MAX(tinder[Engagement])</f>
        <v>1.4942358853088976E-2</v>
      </c>
      <c r="F96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61">
        <v>55</v>
      </c>
      <c r="H961">
        <f>IFERROR(tinder[[#This Row],[Conversations]]/tinder[[#This Row],[Tinder Opened]],0)</f>
        <v>5.4401582591493573E-2</v>
      </c>
      <c r="I961">
        <f>tinder[[#This Row],[Conversations]]/MAX(tinder[Conversations])</f>
        <v>4.3505774402784365E-3</v>
      </c>
      <c r="J961">
        <f>(tinder[[#This Row],[Norm Engagement]]*2)+(tinder[[#This Row],[Norm Swipes]]*1)+(tinder[[#This Row],[Norm Conversations]]*2)</f>
        <v>5.2590085513918104E-2</v>
      </c>
      <c r="K96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61">
        <v>21</v>
      </c>
      <c r="M961">
        <v>1</v>
      </c>
      <c r="N961">
        <v>83</v>
      </c>
      <c r="O961">
        <v>571</v>
      </c>
      <c r="P961">
        <v>489</v>
      </c>
      <c r="Q961">
        <f>tinder[[#This Row],[All Swipes]]/MAX(tinder[All Swipes])</f>
        <v>1.4004212927183277E-2</v>
      </c>
      <c r="R961">
        <f>tinder[[#This Row],[Swipe Right (LIKE)]]+tinder[[#This Row],[Swipe Left (PASS)]]</f>
        <v>11887</v>
      </c>
      <c r="S961">
        <v>8192</v>
      </c>
      <c r="T961">
        <v>3695</v>
      </c>
      <c r="U961" t="s">
        <v>238</v>
      </c>
      <c r="V961" s="1">
        <v>42802</v>
      </c>
      <c r="W961" t="s">
        <v>7</v>
      </c>
      <c r="X961" t="s">
        <v>1295</v>
      </c>
      <c r="Y961" t="s">
        <v>8</v>
      </c>
      <c r="Z961">
        <v>19</v>
      </c>
      <c r="AA961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62" spans="1:27" x14ac:dyDescent="0.3">
      <c r="A962" t="s">
        <v>1191</v>
      </c>
      <c r="B962">
        <v>1357</v>
      </c>
      <c r="C962">
        <v>460</v>
      </c>
      <c r="D962">
        <f>IFERROR(tinder[[#This Row],[Tinder Opened]]/tinder[[#This Row],[Days on Tinder]],0)</f>
        <v>2.95</v>
      </c>
      <c r="E962">
        <f>tinder[[#This Row],[Engagement]]/MAX(tinder[Engagement])</f>
        <v>1.4824120603015077E-2</v>
      </c>
      <c r="F96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62">
        <v>50</v>
      </c>
      <c r="H962">
        <f>IFERROR(tinder[[#This Row],[Conversations]]/tinder[[#This Row],[Tinder Opened]],0)</f>
        <v>3.6845983787767135E-2</v>
      </c>
      <c r="I962">
        <f>tinder[[#This Row],[Conversations]]/MAX(tinder[Conversations])</f>
        <v>3.9550704002531247E-3</v>
      </c>
      <c r="J962">
        <f>(tinder[[#This Row],[Norm Engagement]]*2)+(tinder[[#This Row],[Norm Swipes]]*1)+(tinder[[#This Row],[Norm Conversations]]*2)</f>
        <v>0.11668153708372629</v>
      </c>
      <c r="K96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62">
        <v>16</v>
      </c>
      <c r="M962">
        <v>6</v>
      </c>
      <c r="N962">
        <v>93</v>
      </c>
      <c r="O962">
        <v>294</v>
      </c>
      <c r="P962">
        <v>200</v>
      </c>
      <c r="Q962">
        <f>tinder[[#This Row],[All Swipes]]/MAX(tinder[All Swipes])</f>
        <v>7.912315507718988E-2</v>
      </c>
      <c r="R962">
        <f>tinder[[#This Row],[Swipe Right (LIKE)]]+tinder[[#This Row],[Swipe Left (PASS)]]</f>
        <v>67161</v>
      </c>
      <c r="S962">
        <v>39686</v>
      </c>
      <c r="T962">
        <v>27475</v>
      </c>
      <c r="U962" t="s">
        <v>61</v>
      </c>
      <c r="V962" s="1">
        <v>43248</v>
      </c>
      <c r="W962" t="s">
        <v>12</v>
      </c>
      <c r="X962" t="s">
        <v>1295</v>
      </c>
      <c r="Y962" t="s">
        <v>8</v>
      </c>
      <c r="Z962">
        <v>31</v>
      </c>
      <c r="AA962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963" spans="1:27" x14ac:dyDescent="0.3">
      <c r="A963" t="s">
        <v>1189</v>
      </c>
      <c r="B963">
        <v>348</v>
      </c>
      <c r="C963">
        <v>118</v>
      </c>
      <c r="D963">
        <f>IFERROR(tinder[[#This Row],[Tinder Opened]]/tinder[[#This Row],[Days on Tinder]],0)</f>
        <v>2.9491525423728815</v>
      </c>
      <c r="E963">
        <f>tinder[[#This Row],[Engagement]]/MAX(tinder[Engagement])</f>
        <v>1.481986202197428E-2</v>
      </c>
      <c r="F96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63">
        <v>12</v>
      </c>
      <c r="H963">
        <f>IFERROR(tinder[[#This Row],[Conversations]]/tinder[[#This Row],[Tinder Opened]],0)</f>
        <v>3.4482758620689655E-2</v>
      </c>
      <c r="I963">
        <f>tinder[[#This Row],[Conversations]]/MAX(tinder[Conversations])</f>
        <v>9.4921689606074992E-4</v>
      </c>
      <c r="J963">
        <f>(tinder[[#This Row],[Norm Engagement]]*2)+(tinder[[#This Row],[Norm Swipes]]*1)+(tinder[[#This Row],[Norm Conversations]]*2)</f>
        <v>3.6098627949734265E-2</v>
      </c>
      <c r="K96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63">
        <v>6</v>
      </c>
      <c r="M963">
        <v>1</v>
      </c>
      <c r="N963">
        <v>73</v>
      </c>
      <c r="O963">
        <v>63</v>
      </c>
      <c r="P963">
        <v>41</v>
      </c>
      <c r="Q963">
        <f>tinder[[#This Row],[All Swipes]]/MAX(tinder[All Swipes])</f>
        <v>4.5604701136642096E-3</v>
      </c>
      <c r="R963">
        <f>tinder[[#This Row],[Swipe Right (LIKE)]]+tinder[[#This Row],[Swipe Left (PASS)]]</f>
        <v>3871</v>
      </c>
      <c r="S963">
        <v>837</v>
      </c>
      <c r="T963">
        <v>3034</v>
      </c>
      <c r="U963" t="s">
        <v>75</v>
      </c>
      <c r="V963" s="1">
        <v>43913</v>
      </c>
      <c r="W963" t="s">
        <v>12</v>
      </c>
      <c r="X963" t="s">
        <v>1295</v>
      </c>
      <c r="Y963" t="s">
        <v>1190</v>
      </c>
      <c r="Z963">
        <v>29</v>
      </c>
      <c r="AA96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64" spans="1:27" x14ac:dyDescent="0.3">
      <c r="A964" t="s">
        <v>1260</v>
      </c>
      <c r="B964">
        <v>2772</v>
      </c>
      <c r="C964">
        <v>940</v>
      </c>
      <c r="D964">
        <f>IFERROR(tinder[[#This Row],[Tinder Opened]]/tinder[[#This Row],[Days on Tinder]],0)</f>
        <v>2.9489361702127659</v>
      </c>
      <c r="E964">
        <f>tinder[[#This Row],[Engagement]]/MAX(tinder[Engagement])</f>
        <v>1.4818774724687265E-2</v>
      </c>
      <c r="F96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64">
        <v>196</v>
      </c>
      <c r="H964">
        <f>IFERROR(tinder[[#This Row],[Conversations]]/tinder[[#This Row],[Tinder Opened]],0)</f>
        <v>7.0707070707070704E-2</v>
      </c>
      <c r="I964">
        <f>tinder[[#This Row],[Conversations]]/MAX(tinder[Conversations])</f>
        <v>1.5503875968992248E-2</v>
      </c>
      <c r="J964">
        <f>(tinder[[#This Row],[Norm Engagement]]*2)+(tinder[[#This Row],[Norm Swipes]]*1)+(tinder[[#This Row],[Norm Conversations]]*2)</f>
        <v>0.10437327069990733</v>
      </c>
      <c r="K96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64">
        <v>80</v>
      </c>
      <c r="M964">
        <v>18</v>
      </c>
      <c r="N964">
        <v>566</v>
      </c>
      <c r="O964">
        <v>585</v>
      </c>
      <c r="P964">
        <v>504</v>
      </c>
      <c r="Q964">
        <f>tinder[[#This Row],[All Swipes]]/MAX(tinder[All Swipes])</f>
        <v>4.3727969312548305E-2</v>
      </c>
      <c r="R964">
        <f>tinder[[#This Row],[Swipe Right (LIKE)]]+tinder[[#This Row],[Swipe Left (PASS)]]</f>
        <v>37117</v>
      </c>
      <c r="S964">
        <v>17915</v>
      </c>
      <c r="T964">
        <v>19202</v>
      </c>
      <c r="U964" t="s">
        <v>311</v>
      </c>
      <c r="V964" s="1">
        <v>41934</v>
      </c>
      <c r="W964" t="s">
        <v>7</v>
      </c>
      <c r="X964" t="s">
        <v>1295</v>
      </c>
      <c r="Y964" t="s">
        <v>8</v>
      </c>
      <c r="Z964">
        <v>23</v>
      </c>
      <c r="AA96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65" spans="1:27" x14ac:dyDescent="0.3">
      <c r="A965" t="s">
        <v>927</v>
      </c>
      <c r="B965">
        <v>264</v>
      </c>
      <c r="C965">
        <v>94</v>
      </c>
      <c r="D965">
        <f>IFERROR(tinder[[#This Row],[Tinder Opened]]/tinder[[#This Row],[Days on Tinder]],0)</f>
        <v>2.8085106382978724</v>
      </c>
      <c r="E965">
        <f>tinder[[#This Row],[Engagement]]/MAX(tinder[Engagement])</f>
        <v>1.4113118785416445E-2</v>
      </c>
      <c r="F96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65">
        <v>2</v>
      </c>
      <c r="H965">
        <f>IFERROR(tinder[[#This Row],[Conversations]]/tinder[[#This Row],[Tinder Opened]],0)</f>
        <v>7.575757575757576E-3</v>
      </c>
      <c r="I965">
        <f>tinder[[#This Row],[Conversations]]/MAX(tinder[Conversations])</f>
        <v>1.5820281601012498E-4</v>
      </c>
      <c r="J965">
        <f>(tinder[[#This Row],[Norm Engagement]]*2)+(tinder[[#This Row],[Norm Swipes]]*1)+(tinder[[#This Row],[Norm Conversations]]*2)</f>
        <v>3.4190510349561019E-2</v>
      </c>
      <c r="K96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65">
        <v>0</v>
      </c>
      <c r="M965">
        <v>0</v>
      </c>
      <c r="N965">
        <v>15</v>
      </c>
      <c r="O965">
        <v>29</v>
      </c>
      <c r="P965">
        <v>25</v>
      </c>
      <c r="Q965">
        <f>tinder[[#This Row],[All Swipes]]/MAX(tinder[All Swipes])</f>
        <v>5.6478671467078845E-3</v>
      </c>
      <c r="R965">
        <f>tinder[[#This Row],[Swipe Right (LIKE)]]+tinder[[#This Row],[Swipe Left (PASS)]]</f>
        <v>4794</v>
      </c>
      <c r="S965">
        <v>1084</v>
      </c>
      <c r="T965">
        <v>3710</v>
      </c>
      <c r="U965" t="s">
        <v>262</v>
      </c>
      <c r="V965" s="1">
        <v>44143</v>
      </c>
      <c r="W965" t="s">
        <v>12</v>
      </c>
      <c r="X965" t="s">
        <v>1295</v>
      </c>
      <c r="Y965" t="s">
        <v>8</v>
      </c>
      <c r="Z965">
        <v>20</v>
      </c>
      <c r="AA965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66" spans="1:27" x14ac:dyDescent="0.3">
      <c r="A966" t="s">
        <v>1013</v>
      </c>
      <c r="B966">
        <v>785</v>
      </c>
      <c r="C966">
        <v>285</v>
      </c>
      <c r="D966">
        <f>IFERROR(tinder[[#This Row],[Tinder Opened]]/tinder[[#This Row],[Days on Tinder]],0)</f>
        <v>2.7543859649122808</v>
      </c>
      <c r="E966">
        <f>tinder[[#This Row],[Engagement]]/MAX(tinder[Engagement])</f>
        <v>1.3841135502071764E-2</v>
      </c>
      <c r="F96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66">
        <v>57</v>
      </c>
      <c r="H966">
        <f>IFERROR(tinder[[#This Row],[Conversations]]/tinder[[#This Row],[Tinder Opened]],0)</f>
        <v>7.2611464968152864E-2</v>
      </c>
      <c r="I966">
        <f>tinder[[#This Row],[Conversations]]/MAX(tinder[Conversations])</f>
        <v>4.508780256288562E-3</v>
      </c>
      <c r="J966">
        <f>(tinder[[#This Row],[Norm Engagement]]*2)+(tinder[[#This Row],[Norm Swipes]]*1)+(tinder[[#This Row],[Norm Conversations]]*2)</f>
        <v>4.9238473578133254E-2</v>
      </c>
      <c r="K96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66">
        <v>33</v>
      </c>
      <c r="M966">
        <v>1</v>
      </c>
      <c r="N966">
        <v>87</v>
      </c>
      <c r="O966">
        <v>169</v>
      </c>
      <c r="P966">
        <v>158</v>
      </c>
      <c r="Q966">
        <f>tinder[[#This Row],[All Swipes]]/MAX(tinder[All Swipes])</f>
        <v>1.2538642061412603E-2</v>
      </c>
      <c r="R966">
        <f>tinder[[#This Row],[Swipe Right (LIKE)]]+tinder[[#This Row],[Swipe Left (PASS)]]</f>
        <v>10643</v>
      </c>
      <c r="S966">
        <v>4103</v>
      </c>
      <c r="T966">
        <v>6540</v>
      </c>
      <c r="U966" t="s">
        <v>8</v>
      </c>
      <c r="V966" s="1">
        <v>43892</v>
      </c>
      <c r="W966" t="s">
        <v>12</v>
      </c>
      <c r="X966" t="s">
        <v>1295</v>
      </c>
      <c r="Y966" t="s">
        <v>8</v>
      </c>
      <c r="Z966">
        <v>26</v>
      </c>
      <c r="AA966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67" spans="1:27" x14ac:dyDescent="0.3">
      <c r="A967" t="s">
        <v>514</v>
      </c>
      <c r="B967">
        <v>1003</v>
      </c>
      <c r="C967">
        <v>370</v>
      </c>
      <c r="D967">
        <f>IFERROR(tinder[[#This Row],[Tinder Opened]]/tinder[[#This Row],[Days on Tinder]],0)</f>
        <v>2.7108108108108109</v>
      </c>
      <c r="E967">
        <f>tinder[[#This Row],[Engagement]]/MAX(tinder[Engagement])</f>
        <v>1.3622164878446285E-2</v>
      </c>
      <c r="F96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67">
        <v>102</v>
      </c>
      <c r="H967">
        <f>IFERROR(tinder[[#This Row],[Conversations]]/tinder[[#This Row],[Tinder Opened]],0)</f>
        <v>0.10169491525423729</v>
      </c>
      <c r="I967">
        <f>tinder[[#This Row],[Conversations]]/MAX(tinder[Conversations])</f>
        <v>8.0683436165163748E-3</v>
      </c>
      <c r="J967">
        <f>(tinder[[#This Row],[Norm Engagement]]*2)+(tinder[[#This Row],[Norm Swipes]]*1)+(tinder[[#This Row],[Norm Conversations]]*2)</f>
        <v>6.6132708758223746E-2</v>
      </c>
      <c r="K96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67">
        <v>38</v>
      </c>
      <c r="M967">
        <v>8</v>
      </c>
      <c r="N967">
        <v>187</v>
      </c>
      <c r="O967">
        <v>186</v>
      </c>
      <c r="P967">
        <v>158</v>
      </c>
      <c r="Q967">
        <f>tinder[[#This Row],[All Swipes]]/MAX(tinder[All Swipes])</f>
        <v>2.2751691768298429E-2</v>
      </c>
      <c r="R967">
        <f>tinder[[#This Row],[Swipe Right (LIKE)]]+tinder[[#This Row],[Swipe Left (PASS)]]</f>
        <v>19312</v>
      </c>
      <c r="S967">
        <v>16377</v>
      </c>
      <c r="T967">
        <v>2935</v>
      </c>
      <c r="U967" t="s">
        <v>8</v>
      </c>
      <c r="V967" s="1">
        <v>41843</v>
      </c>
      <c r="W967" t="s">
        <v>7</v>
      </c>
      <c r="X967" t="s">
        <v>1295</v>
      </c>
      <c r="Y967" t="s">
        <v>19</v>
      </c>
      <c r="Z967">
        <v>25</v>
      </c>
      <c r="AA96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68" spans="1:27" x14ac:dyDescent="0.3">
      <c r="A968" t="s">
        <v>1264</v>
      </c>
      <c r="B968">
        <v>152</v>
      </c>
      <c r="C968">
        <v>57</v>
      </c>
      <c r="D968">
        <f>IFERROR(tinder[[#This Row],[Tinder Opened]]/tinder[[#This Row],[Days on Tinder]],0)</f>
        <v>2.6666666666666665</v>
      </c>
      <c r="E968">
        <f>tinder[[#This Row],[Engagement]]/MAX(tinder[Engagement])</f>
        <v>1.3400335008375208E-2</v>
      </c>
      <c r="F96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68">
        <v>18</v>
      </c>
      <c r="H968">
        <f>IFERROR(tinder[[#This Row],[Conversations]]/tinder[[#This Row],[Tinder Opened]],0)</f>
        <v>0.11842105263157894</v>
      </c>
      <c r="I968">
        <f>tinder[[#This Row],[Conversations]]/MAX(tinder[Conversations])</f>
        <v>1.4238253440911248E-3</v>
      </c>
      <c r="J968">
        <f>(tinder[[#This Row],[Norm Engagement]]*2)+(tinder[[#This Row],[Norm Swipes]]*1)+(tinder[[#This Row],[Norm Conversations]]*2)</f>
        <v>3.3379400232180029E-2</v>
      </c>
      <c r="K96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68">
        <v>8</v>
      </c>
      <c r="M968">
        <v>0</v>
      </c>
      <c r="N968">
        <v>4</v>
      </c>
      <c r="O968">
        <v>121</v>
      </c>
      <c r="P968">
        <v>118</v>
      </c>
      <c r="Q968">
        <f>tinder[[#This Row],[All Swipes]]/MAX(tinder[All Swipes])</f>
        <v>3.7310795272473656E-3</v>
      </c>
      <c r="R968">
        <f>tinder[[#This Row],[Swipe Right (LIKE)]]+tinder[[#This Row],[Swipe Left (PASS)]]</f>
        <v>3167</v>
      </c>
      <c r="S968">
        <v>581</v>
      </c>
      <c r="T968">
        <v>2586</v>
      </c>
      <c r="U968" t="s">
        <v>8</v>
      </c>
      <c r="V968" s="1">
        <v>44160</v>
      </c>
      <c r="W968" t="s">
        <v>12</v>
      </c>
      <c r="X968" t="s">
        <v>1295</v>
      </c>
      <c r="Y968" t="s">
        <v>1170</v>
      </c>
      <c r="Z968">
        <v>22</v>
      </c>
      <c r="AA968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69" spans="1:27" x14ac:dyDescent="0.3">
      <c r="A969" t="s">
        <v>1160</v>
      </c>
      <c r="B969">
        <v>3125</v>
      </c>
      <c r="C969">
        <v>1201</v>
      </c>
      <c r="D969">
        <f>IFERROR(tinder[[#This Row],[Tinder Opened]]/tinder[[#This Row],[Days on Tinder]],0)</f>
        <v>2.6019983347210656</v>
      </c>
      <c r="E969">
        <f>tinder[[#This Row],[Engagement]]/MAX(tinder[Engagement])</f>
        <v>1.3075368516186259E-2</v>
      </c>
      <c r="F96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69">
        <v>361</v>
      </c>
      <c r="H969">
        <f>IFERROR(tinder[[#This Row],[Conversations]]/tinder[[#This Row],[Tinder Opened]],0)</f>
        <v>0.11552</v>
      </c>
      <c r="I969">
        <f>tinder[[#This Row],[Conversations]]/MAX(tinder[Conversations])</f>
        <v>2.8555608289827557E-2</v>
      </c>
      <c r="J969">
        <f>(tinder[[#This Row],[Norm Engagement]]*2)+(tinder[[#This Row],[Norm Swipes]]*1)+(tinder[[#This Row],[Norm Conversations]]*2)</f>
        <v>0.2162495504528035</v>
      </c>
      <c r="K96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3) High Usage</v>
      </c>
      <c r="L969">
        <v>4</v>
      </c>
      <c r="M969">
        <v>348</v>
      </c>
      <c r="N969">
        <v>2557</v>
      </c>
      <c r="O969">
        <v>22</v>
      </c>
      <c r="P969">
        <v>884</v>
      </c>
      <c r="Q969">
        <f>tinder[[#This Row],[All Swipes]]/MAX(tinder[All Swipes])</f>
        <v>0.13298759684077585</v>
      </c>
      <c r="R969">
        <f>tinder[[#This Row],[Swipe Right (LIKE)]]+tinder[[#This Row],[Swipe Left (PASS)]]</f>
        <v>112882</v>
      </c>
      <c r="S969">
        <v>11125</v>
      </c>
      <c r="T969">
        <v>101757</v>
      </c>
      <c r="U969" t="s">
        <v>8</v>
      </c>
      <c r="V969" s="1">
        <v>41981</v>
      </c>
      <c r="W969" t="s">
        <v>7</v>
      </c>
      <c r="X969" t="s">
        <v>1295</v>
      </c>
      <c r="Y969" t="s">
        <v>8</v>
      </c>
      <c r="Z969">
        <v>26</v>
      </c>
      <c r="AA96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70" spans="1:27" x14ac:dyDescent="0.3">
      <c r="A970" t="s">
        <v>697</v>
      </c>
      <c r="B970">
        <v>892</v>
      </c>
      <c r="C970">
        <v>350</v>
      </c>
      <c r="D970">
        <f>IFERROR(tinder[[#This Row],[Tinder Opened]]/tinder[[#This Row],[Days on Tinder]],0)</f>
        <v>2.5485714285714285</v>
      </c>
      <c r="E970">
        <f>tinder[[#This Row],[Engagement]]/MAX(tinder[Engagement])</f>
        <v>1.280689160086145E-2</v>
      </c>
      <c r="F97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70">
        <v>11</v>
      </c>
      <c r="H970">
        <f>IFERROR(tinder[[#This Row],[Conversations]]/tinder[[#This Row],[Tinder Opened]],0)</f>
        <v>1.2331838565022421E-2</v>
      </c>
      <c r="I970">
        <f>tinder[[#This Row],[Conversations]]/MAX(tinder[Conversations])</f>
        <v>8.7011548805568742E-4</v>
      </c>
      <c r="J970">
        <f>(tinder[[#This Row],[Norm Engagement]]*2)+(tinder[[#This Row],[Norm Swipes]]*1)+(tinder[[#This Row],[Norm Conversations]]*2)</f>
        <v>6.8728116456773417E-2</v>
      </c>
      <c r="K97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70">
        <v>7</v>
      </c>
      <c r="M970">
        <v>1</v>
      </c>
      <c r="N970">
        <v>31</v>
      </c>
      <c r="O970">
        <v>19</v>
      </c>
      <c r="P970">
        <v>25</v>
      </c>
      <c r="Q970">
        <f>tinder[[#This Row],[All Swipes]]/MAX(tinder[All Swipes])</f>
        <v>4.1374102278939132E-2</v>
      </c>
      <c r="R970">
        <f>tinder[[#This Row],[Swipe Right (LIKE)]]+tinder[[#This Row],[Swipe Left (PASS)]]</f>
        <v>35119</v>
      </c>
      <c r="S970">
        <v>10394</v>
      </c>
      <c r="T970">
        <v>24725</v>
      </c>
      <c r="U970" t="s">
        <v>10</v>
      </c>
      <c r="V970" s="1">
        <v>43627</v>
      </c>
      <c r="W970" t="s">
        <v>12</v>
      </c>
      <c r="X970" t="s">
        <v>1295</v>
      </c>
      <c r="Y970" t="s">
        <v>698</v>
      </c>
      <c r="Z970">
        <v>39</v>
      </c>
      <c r="AA970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971" spans="1:27" x14ac:dyDescent="0.3">
      <c r="A971" t="s">
        <v>544</v>
      </c>
      <c r="B971">
        <v>516</v>
      </c>
      <c r="C971">
        <v>204</v>
      </c>
      <c r="D971">
        <f>IFERROR(tinder[[#This Row],[Tinder Opened]]/tinder[[#This Row],[Days on Tinder]],0)</f>
        <v>2.5294117647058822</v>
      </c>
      <c r="E971">
        <f>tinder[[#This Row],[Engagement]]/MAX(tinder[Engagement])</f>
        <v>1.2710611882944131E-2</v>
      </c>
      <c r="F97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71">
        <v>16</v>
      </c>
      <c r="H971">
        <f>IFERROR(tinder[[#This Row],[Conversations]]/tinder[[#This Row],[Tinder Opened]],0)</f>
        <v>3.1007751937984496E-2</v>
      </c>
      <c r="I971">
        <f>tinder[[#This Row],[Conversations]]/MAX(tinder[Conversations])</f>
        <v>1.2656225280809998E-3</v>
      </c>
      <c r="J971">
        <f>(tinder[[#This Row],[Norm Engagement]]*2)+(tinder[[#This Row],[Norm Swipes]]*1)+(tinder[[#This Row],[Norm Conversations]]*2)</f>
        <v>4.6944806384018933E-2</v>
      </c>
      <c r="K97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71">
        <v>6</v>
      </c>
      <c r="M971">
        <v>1</v>
      </c>
      <c r="N971">
        <v>59</v>
      </c>
      <c r="O971">
        <v>36</v>
      </c>
      <c r="P971">
        <v>26</v>
      </c>
      <c r="Q971">
        <f>tinder[[#This Row],[All Swipes]]/MAX(tinder[All Swipes])</f>
        <v>1.8992337561968671E-2</v>
      </c>
      <c r="R971">
        <f>tinder[[#This Row],[Swipe Right (LIKE)]]+tinder[[#This Row],[Swipe Left (PASS)]]</f>
        <v>16121</v>
      </c>
      <c r="S971">
        <v>9186</v>
      </c>
      <c r="T971">
        <v>6935</v>
      </c>
      <c r="U971" t="s">
        <v>8</v>
      </c>
      <c r="V971" s="1">
        <v>43479</v>
      </c>
      <c r="W971" t="s">
        <v>12</v>
      </c>
      <c r="X971" t="s">
        <v>1295</v>
      </c>
      <c r="Y971" t="s">
        <v>545</v>
      </c>
      <c r="Z971">
        <v>39</v>
      </c>
      <c r="AA971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972" spans="1:27" x14ac:dyDescent="0.3">
      <c r="A972" t="s">
        <v>589</v>
      </c>
      <c r="B972">
        <v>323</v>
      </c>
      <c r="C972">
        <v>134</v>
      </c>
      <c r="D972">
        <f>IFERROR(tinder[[#This Row],[Tinder Opened]]/tinder[[#This Row],[Days on Tinder]],0)</f>
        <v>2.41044776119403</v>
      </c>
      <c r="E972">
        <f>tinder[[#This Row],[Engagement]]/MAX(tinder[Engagement])</f>
        <v>1.2112802820070503E-2</v>
      </c>
      <c r="F972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72">
        <v>27</v>
      </c>
      <c r="H972">
        <f>IFERROR(tinder[[#This Row],[Conversations]]/tinder[[#This Row],[Tinder Opened]],0)</f>
        <v>8.3591331269349839E-2</v>
      </c>
      <c r="I972">
        <f>tinder[[#This Row],[Conversations]]/MAX(tinder[Conversations])</f>
        <v>2.1357380161366873E-3</v>
      </c>
      <c r="J972">
        <f>(tinder[[#This Row],[Norm Engagement]]*2)+(tinder[[#This Row],[Norm Swipes]]*1)+(tinder[[#This Row],[Norm Conversations]]*2)</f>
        <v>3.408604323770062E-2</v>
      </c>
      <c r="K972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72">
        <v>6</v>
      </c>
      <c r="M972">
        <v>4</v>
      </c>
      <c r="N972">
        <v>98</v>
      </c>
      <c r="O972">
        <v>328</v>
      </c>
      <c r="P972">
        <v>309</v>
      </c>
      <c r="Q972">
        <f>tinder[[#This Row],[All Swipes]]/MAX(tinder[All Swipes])</f>
        <v>5.5889615652862344E-3</v>
      </c>
      <c r="R972">
        <f>tinder[[#This Row],[Swipe Right (LIKE)]]+tinder[[#This Row],[Swipe Left (PASS)]]</f>
        <v>4744</v>
      </c>
      <c r="S972">
        <v>208</v>
      </c>
      <c r="T972">
        <v>4536</v>
      </c>
      <c r="U972" t="s">
        <v>293</v>
      </c>
      <c r="V972" s="1">
        <v>43529</v>
      </c>
      <c r="W972" t="s">
        <v>12</v>
      </c>
      <c r="X972" t="s">
        <v>1295</v>
      </c>
      <c r="Y972" t="s">
        <v>590</v>
      </c>
      <c r="Z972">
        <v>22</v>
      </c>
      <c r="AA972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73" spans="1:27" x14ac:dyDescent="0.3">
      <c r="A973" t="s">
        <v>491</v>
      </c>
      <c r="B973">
        <v>2673</v>
      </c>
      <c r="C973">
        <v>1150</v>
      </c>
      <c r="D973">
        <f>IFERROR(tinder[[#This Row],[Tinder Opened]]/tinder[[#This Row],[Days on Tinder]],0)</f>
        <v>2.3243478260869566</v>
      </c>
      <c r="E973">
        <f>tinder[[#This Row],[Engagement]]/MAX(tinder[Engagement])</f>
        <v>1.1680139829582697E-2</v>
      </c>
      <c r="F973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73">
        <v>46</v>
      </c>
      <c r="H973">
        <f>IFERROR(tinder[[#This Row],[Conversations]]/tinder[[#This Row],[Tinder Opened]],0)</f>
        <v>1.7209128320239433E-2</v>
      </c>
      <c r="I973">
        <f>tinder[[#This Row],[Conversations]]/MAX(tinder[Conversations])</f>
        <v>3.6386647682328747E-3</v>
      </c>
      <c r="J973">
        <f>(tinder[[#This Row],[Norm Engagement]]*2)+(tinder[[#This Row],[Norm Swipes]]*1)+(tinder[[#This Row],[Norm Conversations]]*2)</f>
        <v>0.11023554325907951</v>
      </c>
      <c r="K973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2) Standard Usage</v>
      </c>
      <c r="L973">
        <v>29</v>
      </c>
      <c r="M973">
        <v>8</v>
      </c>
      <c r="N973">
        <v>76</v>
      </c>
      <c r="O973">
        <v>35</v>
      </c>
      <c r="P973">
        <v>44</v>
      </c>
      <c r="Q973">
        <f>tinder[[#This Row],[All Swipes]]/MAX(tinder[All Swipes])</f>
        <v>7.9597934063448381E-2</v>
      </c>
      <c r="R973">
        <f>tinder[[#This Row],[Swipe Right (LIKE)]]+tinder[[#This Row],[Swipe Left (PASS)]]</f>
        <v>67564</v>
      </c>
      <c r="S973">
        <v>7241</v>
      </c>
      <c r="T973">
        <v>60323</v>
      </c>
      <c r="U973" t="s">
        <v>10</v>
      </c>
      <c r="V973" s="1">
        <v>41471</v>
      </c>
      <c r="W973" t="s">
        <v>7</v>
      </c>
      <c r="X973" t="s">
        <v>1295</v>
      </c>
      <c r="Y973" t="s">
        <v>492</v>
      </c>
      <c r="Z973">
        <v>27</v>
      </c>
      <c r="AA973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74" spans="1:27" x14ac:dyDescent="0.3">
      <c r="A974" t="s">
        <v>401</v>
      </c>
      <c r="B974">
        <v>83</v>
      </c>
      <c r="C974">
        <v>36</v>
      </c>
      <c r="D974">
        <f>IFERROR(tinder[[#This Row],[Tinder Opened]]/tinder[[#This Row],[Days on Tinder]],0)</f>
        <v>2.3055555555555554</v>
      </c>
      <c r="E974">
        <f>tinder[[#This Row],[Engagement]]/MAX(tinder[Engagement])</f>
        <v>1.1585706309324399E-2</v>
      </c>
      <c r="F974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74">
        <v>0</v>
      </c>
      <c r="H974">
        <f>IFERROR(tinder[[#This Row],[Conversations]]/tinder[[#This Row],[Tinder Opened]],0)</f>
        <v>0</v>
      </c>
      <c r="I974">
        <f>tinder[[#This Row],[Conversations]]/MAX(tinder[Conversations])</f>
        <v>0</v>
      </c>
      <c r="J974">
        <f>(tinder[[#This Row],[Norm Engagement]]*2)+(tinder[[#This Row],[Norm Swipes]]*1)+(tinder[[#This Row],[Norm Conversations]]*2)</f>
        <v>2.500337620086214E-2</v>
      </c>
      <c r="K974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74">
        <v>0</v>
      </c>
      <c r="M974">
        <v>0</v>
      </c>
      <c r="N974">
        <v>7</v>
      </c>
      <c r="O974">
        <v>0</v>
      </c>
      <c r="P974">
        <v>0</v>
      </c>
      <c r="Q974">
        <f>tinder[[#This Row],[All Swipes]]/MAX(tinder[All Swipes])</f>
        <v>1.8319635822133418E-3</v>
      </c>
      <c r="R974">
        <f>tinder[[#This Row],[Swipe Right (LIKE)]]+tinder[[#This Row],[Swipe Left (PASS)]]</f>
        <v>1555</v>
      </c>
      <c r="S974">
        <v>1047</v>
      </c>
      <c r="T974">
        <v>508</v>
      </c>
      <c r="U974" t="s">
        <v>8</v>
      </c>
      <c r="V974" s="1">
        <v>44193</v>
      </c>
      <c r="W974" t="s">
        <v>12</v>
      </c>
      <c r="X974" t="s">
        <v>1295</v>
      </c>
      <c r="Y974" t="s">
        <v>8</v>
      </c>
      <c r="Z974">
        <v>27</v>
      </c>
      <c r="AA974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75" spans="1:27" x14ac:dyDescent="0.3">
      <c r="A975" t="s">
        <v>192</v>
      </c>
      <c r="B975">
        <v>746</v>
      </c>
      <c r="C975">
        <v>346</v>
      </c>
      <c r="D975">
        <f>IFERROR(tinder[[#This Row],[Tinder Opened]]/tinder[[#This Row],[Days on Tinder]],0)</f>
        <v>2.1560693641618496</v>
      </c>
      <c r="E975">
        <f>tinder[[#This Row],[Engagement]]/MAX(tinder[Engagement])</f>
        <v>1.0834519417898742E-2</v>
      </c>
      <c r="F975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75">
        <v>35</v>
      </c>
      <c r="H975">
        <f>IFERROR(tinder[[#This Row],[Conversations]]/tinder[[#This Row],[Tinder Opened]],0)</f>
        <v>4.6916890080428951E-2</v>
      </c>
      <c r="I975">
        <f>tinder[[#This Row],[Conversations]]/MAX(tinder[Conversations])</f>
        <v>2.7685492801771874E-3</v>
      </c>
      <c r="J975">
        <f>(tinder[[#This Row],[Norm Engagement]]*2)+(tinder[[#This Row],[Norm Swipes]]*1)+(tinder[[#This Row],[Norm Conversations]]*2)</f>
        <v>6.061384884362693E-2</v>
      </c>
      <c r="K975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75">
        <v>22</v>
      </c>
      <c r="M975">
        <v>2</v>
      </c>
      <c r="N975">
        <v>248</v>
      </c>
      <c r="O975">
        <v>256</v>
      </c>
      <c r="P975">
        <v>186</v>
      </c>
      <c r="Q975">
        <f>tinder[[#This Row],[All Swipes]]/MAX(tinder[All Swipes])</f>
        <v>3.3407711447475071E-2</v>
      </c>
      <c r="R975">
        <f>tinder[[#This Row],[Swipe Right (LIKE)]]+tinder[[#This Row],[Swipe Left (PASS)]]</f>
        <v>28357</v>
      </c>
      <c r="S975">
        <v>1444</v>
      </c>
      <c r="T975">
        <v>26913</v>
      </c>
      <c r="U975" t="s">
        <v>10</v>
      </c>
      <c r="V975" s="1">
        <v>42526</v>
      </c>
      <c r="W975" t="s">
        <v>7</v>
      </c>
      <c r="X975" t="s">
        <v>1296</v>
      </c>
      <c r="Y975" t="s">
        <v>193</v>
      </c>
      <c r="Z975">
        <v>25</v>
      </c>
      <c r="AA975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76" spans="1:27" x14ac:dyDescent="0.3">
      <c r="A976" t="s">
        <v>1099</v>
      </c>
      <c r="B976">
        <v>120</v>
      </c>
      <c r="C976">
        <v>59</v>
      </c>
      <c r="D976">
        <f>IFERROR(tinder[[#This Row],[Tinder Opened]]/tinder[[#This Row],[Days on Tinder]],0)</f>
        <v>2.0338983050847457</v>
      </c>
      <c r="E976">
        <f>tinder[[#This Row],[Engagement]]/MAX(tinder[Engagement])</f>
        <v>1.0220594497913295E-2</v>
      </c>
      <c r="F976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76">
        <v>22</v>
      </c>
      <c r="H976">
        <f>IFERROR(tinder[[#This Row],[Conversations]]/tinder[[#This Row],[Tinder Opened]],0)</f>
        <v>0.18333333333333332</v>
      </c>
      <c r="I976">
        <f>tinder[[#This Row],[Conversations]]/MAX(tinder[Conversations])</f>
        <v>1.7402309761113748E-3</v>
      </c>
      <c r="J976">
        <f>(tinder[[#This Row],[Norm Engagement]]*2)+(tinder[[#This Row],[Norm Swipes]]*1)+(tinder[[#This Row],[Norm Conversations]]*2)</f>
        <v>2.4838221794970226E-2</v>
      </c>
      <c r="K976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76">
        <v>13</v>
      </c>
      <c r="M976">
        <v>1</v>
      </c>
      <c r="N976">
        <v>9</v>
      </c>
      <c r="O976">
        <v>60</v>
      </c>
      <c r="P976">
        <v>41</v>
      </c>
      <c r="Q976">
        <f>tinder[[#This Row],[All Swipes]]/MAX(tinder[All Swipes])</f>
        <v>9.1657084692088749E-4</v>
      </c>
      <c r="R976">
        <f>tinder[[#This Row],[Swipe Right (LIKE)]]+tinder[[#This Row],[Swipe Left (PASS)]]</f>
        <v>778</v>
      </c>
      <c r="S976">
        <v>393</v>
      </c>
      <c r="T976">
        <v>385</v>
      </c>
      <c r="U976" t="s">
        <v>75</v>
      </c>
      <c r="V976" s="1">
        <v>43025</v>
      </c>
      <c r="W976" t="s">
        <v>12</v>
      </c>
      <c r="X976" t="s">
        <v>1295</v>
      </c>
      <c r="Y976" t="s">
        <v>8</v>
      </c>
      <c r="Z976">
        <v>18</v>
      </c>
      <c r="AA976" t="str">
        <f>_xlfn.IFS(tinder[[#This Row],[Age]]&lt;=20,"Teen",tinder[[#This Row],[Age]]&lt;=30,"Young Adult",tinder[[#This Row],[Age]]&lt;=40,"Adult",tinder[[#This Row],[Age]]&lt;=50,"Middle-Aged",TRUE,"Senior")</f>
        <v>Teen</v>
      </c>
    </row>
    <row r="977" spans="1:27" x14ac:dyDescent="0.3">
      <c r="A977" t="s">
        <v>1108</v>
      </c>
      <c r="B977">
        <v>2</v>
      </c>
      <c r="C977">
        <v>1</v>
      </c>
      <c r="D977">
        <f>IFERROR(tinder[[#This Row],[Tinder Opened]]/tinder[[#This Row],[Days on Tinder]],0)</f>
        <v>2</v>
      </c>
      <c r="E977">
        <f>tinder[[#This Row],[Engagement]]/MAX(tinder[Engagement])</f>
        <v>1.0050251256281407E-2</v>
      </c>
      <c r="F977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77">
        <v>121</v>
      </c>
      <c r="H977">
        <f>IFERROR(tinder[[#This Row],[Conversations]]/tinder[[#This Row],[Tinder Opened]],0)</f>
        <v>60.5</v>
      </c>
      <c r="I977">
        <f>tinder[[#This Row],[Conversations]]/MAX(tinder[Conversations])</f>
        <v>9.5712703686125621E-3</v>
      </c>
      <c r="J977">
        <f>(tinder[[#This Row],[Norm Engagement]]*2)+(tinder[[#This Row],[Norm Swipes]]*1)+(tinder[[#This Row],[Norm Conversations]]*2)</f>
        <v>3.9252468142815404E-2</v>
      </c>
      <c r="K977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77">
        <v>15</v>
      </c>
      <c r="M977">
        <v>75</v>
      </c>
      <c r="N977">
        <v>0</v>
      </c>
      <c r="O977">
        <v>252</v>
      </c>
      <c r="P977">
        <v>343</v>
      </c>
      <c r="Q977">
        <f>tinder[[#This Row],[All Swipes]]/MAX(tinder[All Swipes])</f>
        <v>9.424893027464138E-6</v>
      </c>
      <c r="R977">
        <f>tinder[[#This Row],[Swipe Right (LIKE)]]+tinder[[#This Row],[Swipe Left (PASS)]]</f>
        <v>8</v>
      </c>
      <c r="S977">
        <v>2</v>
      </c>
      <c r="T977">
        <v>6</v>
      </c>
      <c r="U977" t="s">
        <v>14</v>
      </c>
      <c r="V977" s="1">
        <v>43784</v>
      </c>
      <c r="W977" t="s">
        <v>12</v>
      </c>
      <c r="X977" t="s">
        <v>1295</v>
      </c>
      <c r="Y977" t="s">
        <v>1109</v>
      </c>
      <c r="Z977">
        <v>23</v>
      </c>
      <c r="AA977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78" spans="1:27" x14ac:dyDescent="0.3">
      <c r="A978" t="s">
        <v>1051</v>
      </c>
      <c r="B978">
        <v>2</v>
      </c>
      <c r="C978">
        <v>1</v>
      </c>
      <c r="D978">
        <f>IFERROR(tinder[[#This Row],[Tinder Opened]]/tinder[[#This Row],[Days on Tinder]],0)</f>
        <v>2</v>
      </c>
      <c r="E978">
        <f>tinder[[#This Row],[Engagement]]/MAX(tinder[Engagement])</f>
        <v>1.0050251256281407E-2</v>
      </c>
      <c r="F978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78">
        <v>77</v>
      </c>
      <c r="H978">
        <f>IFERROR(tinder[[#This Row],[Conversations]]/tinder[[#This Row],[Tinder Opened]],0)</f>
        <v>38.5</v>
      </c>
      <c r="I978">
        <f>tinder[[#This Row],[Conversations]]/MAX(tinder[Conversations])</f>
        <v>6.090808416389812E-3</v>
      </c>
      <c r="J978">
        <f>(tinder[[#This Row],[Norm Engagement]]*2)+(tinder[[#This Row],[Norm Swipes]]*1)+(tinder[[#This Row],[Norm Conversations]]*2)</f>
        <v>3.2628484164101745E-2</v>
      </c>
      <c r="K978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78">
        <v>26</v>
      </c>
      <c r="M978">
        <v>10</v>
      </c>
      <c r="N978">
        <v>0</v>
      </c>
      <c r="O978">
        <v>389</v>
      </c>
      <c r="P978">
        <v>388</v>
      </c>
      <c r="Q978">
        <f>tinder[[#This Row],[All Swipes]]/MAX(tinder[All Swipes])</f>
        <v>3.4636481875930709E-4</v>
      </c>
      <c r="R978">
        <f>tinder[[#This Row],[Swipe Right (LIKE)]]+tinder[[#This Row],[Swipe Left (PASS)]]</f>
        <v>294</v>
      </c>
      <c r="S978">
        <v>0</v>
      </c>
      <c r="T978">
        <v>294</v>
      </c>
      <c r="U978" t="s">
        <v>991</v>
      </c>
      <c r="V978" s="1">
        <v>43706</v>
      </c>
      <c r="W978" t="s">
        <v>12</v>
      </c>
      <c r="X978" t="s">
        <v>1295</v>
      </c>
      <c r="Y978" t="s">
        <v>8</v>
      </c>
      <c r="Z978">
        <v>35</v>
      </c>
      <c r="AA978" t="str">
        <f>_xlfn.IFS(tinder[[#This Row],[Age]]&lt;=20,"Teen",tinder[[#This Row],[Age]]&lt;=30,"Young Adult",tinder[[#This Row],[Age]]&lt;=40,"Adult",tinder[[#This Row],[Age]]&lt;=50,"Middle-Aged",TRUE,"Senior")</f>
        <v>Adult</v>
      </c>
    </row>
    <row r="979" spans="1:27" x14ac:dyDescent="0.3">
      <c r="A979" t="s">
        <v>1131</v>
      </c>
      <c r="B979">
        <v>5</v>
      </c>
      <c r="C979">
        <v>3</v>
      </c>
      <c r="D979">
        <f>IFERROR(tinder[[#This Row],[Tinder Opened]]/tinder[[#This Row],[Days on Tinder]],0)</f>
        <v>1.6666666666666667</v>
      </c>
      <c r="E979">
        <f>tinder[[#This Row],[Engagement]]/MAX(tinder[Engagement])</f>
        <v>8.3752093802345069E-3</v>
      </c>
      <c r="F979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79">
        <v>0</v>
      </c>
      <c r="H979">
        <f>IFERROR(tinder[[#This Row],[Conversations]]/tinder[[#This Row],[Tinder Opened]],0)</f>
        <v>0</v>
      </c>
      <c r="I979">
        <f>tinder[[#This Row],[Conversations]]/MAX(tinder[Conversations])</f>
        <v>0</v>
      </c>
      <c r="J979">
        <f>(tinder[[#This Row],[Norm Engagement]]*2)+(tinder[[#This Row],[Norm Swipes]]*1)+(tinder[[#This Row],[Norm Conversations]]*2)</f>
        <v>1.6751596872097447E-2</v>
      </c>
      <c r="K979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79">
        <v>0</v>
      </c>
      <c r="M979">
        <v>0</v>
      </c>
      <c r="N979">
        <v>0</v>
      </c>
      <c r="O979">
        <v>0</v>
      </c>
      <c r="P979">
        <v>0</v>
      </c>
      <c r="Q979">
        <f>tinder[[#This Row],[All Swipes]]/MAX(tinder[All Swipes])</f>
        <v>1.1781116284330173E-6</v>
      </c>
      <c r="R979">
        <f>tinder[[#This Row],[Swipe Right (LIKE)]]+tinder[[#This Row],[Swipe Left (PASS)]]</f>
        <v>1</v>
      </c>
      <c r="S979">
        <v>0</v>
      </c>
      <c r="T979">
        <v>1</v>
      </c>
      <c r="U979" t="s">
        <v>497</v>
      </c>
      <c r="V979" s="1">
        <v>44229</v>
      </c>
      <c r="W979" t="s">
        <v>12</v>
      </c>
      <c r="X979" t="s">
        <v>1295</v>
      </c>
      <c r="Y979" t="s">
        <v>1132</v>
      </c>
      <c r="Z979">
        <v>29</v>
      </c>
      <c r="AA979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80" spans="1:27" x14ac:dyDescent="0.3">
      <c r="A980" t="s">
        <v>266</v>
      </c>
      <c r="B980">
        <v>28</v>
      </c>
      <c r="C980">
        <v>17</v>
      </c>
      <c r="D980">
        <f>IFERROR(tinder[[#This Row],[Tinder Opened]]/tinder[[#This Row],[Days on Tinder]],0)</f>
        <v>1.6470588235294117</v>
      </c>
      <c r="E980">
        <f>tinder[[#This Row],[Engagement]]/MAX(tinder[Engagement])</f>
        <v>8.2766775051729222E-3</v>
      </c>
      <c r="F980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80">
        <v>0</v>
      </c>
      <c r="H980">
        <f>IFERROR(tinder[[#This Row],[Conversations]]/tinder[[#This Row],[Tinder Opened]],0)</f>
        <v>0</v>
      </c>
      <c r="I980">
        <f>tinder[[#This Row],[Conversations]]/MAX(tinder[Conversations])</f>
        <v>0</v>
      </c>
      <c r="J980">
        <f>(tinder[[#This Row],[Norm Engagement]]*2)+(tinder[[#This Row],[Norm Swipes]]*1)+(tinder[[#This Row],[Norm Conversations]]*2)</f>
        <v>1.9680063272207074E-2</v>
      </c>
      <c r="K980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80">
        <v>0</v>
      </c>
      <c r="M980">
        <v>0</v>
      </c>
      <c r="N980">
        <v>0</v>
      </c>
      <c r="O980">
        <v>0</v>
      </c>
      <c r="P980">
        <v>0</v>
      </c>
      <c r="Q980">
        <f>tinder[[#This Row],[All Swipes]]/MAX(tinder[All Swipes])</f>
        <v>3.1267082618612278E-3</v>
      </c>
      <c r="R980">
        <f>tinder[[#This Row],[Swipe Right (LIKE)]]+tinder[[#This Row],[Swipe Left (PASS)]]</f>
        <v>2654</v>
      </c>
      <c r="S980">
        <v>2</v>
      </c>
      <c r="T980">
        <v>2652</v>
      </c>
      <c r="U980" t="s">
        <v>8</v>
      </c>
      <c r="V980" s="1">
        <v>44066</v>
      </c>
      <c r="W980" t="s">
        <v>12</v>
      </c>
      <c r="X980" t="s">
        <v>1295</v>
      </c>
      <c r="Y980" t="s">
        <v>8</v>
      </c>
      <c r="Z980">
        <v>24</v>
      </c>
      <c r="AA980" t="str">
        <f>_xlfn.IFS(tinder[[#This Row],[Age]]&lt;=20,"Teen",tinder[[#This Row],[Age]]&lt;=30,"Young Adult",tinder[[#This Row],[Age]]&lt;=40,"Adult",tinder[[#This Row],[Age]]&lt;=50,"Middle-Aged",TRUE,"Senior")</f>
        <v>Young Adult</v>
      </c>
    </row>
    <row r="981" spans="1:27" x14ac:dyDescent="0.3">
      <c r="A981" t="s">
        <v>917</v>
      </c>
      <c r="B981">
        <v>3</v>
      </c>
      <c r="C981">
        <v>2</v>
      </c>
      <c r="D981">
        <f>IFERROR(tinder[[#This Row],[Tinder Opened]]/tinder[[#This Row],[Days on Tinder]],0)</f>
        <v>1.5</v>
      </c>
      <c r="E981">
        <f>tinder[[#This Row],[Engagement]]/MAX(tinder[Engagement])</f>
        <v>7.537688442211055E-3</v>
      </c>
      <c r="F981" t="str">
        <f>_xlfn.IFS(
tinder[[#This Row],[Engagement]]&lt;=_xlfn.PERCENTILE.INC(tinder[Engagement], 0.25), "Low Engagement",
tinder[[#This Row],[Engagement]]&lt;=_xlfn.PERCENTILE.INC(tinder[Engagement], 0.5), "Medium Engagement",
tinder[[#This Row],[Engagement]]&lt;=_xlfn.PERCENTILE.INC(tinder[Engagement], 0.75), "High Engagement",
TRUE,"Power User")</f>
        <v>Low Engagement</v>
      </c>
      <c r="G981">
        <v>75</v>
      </c>
      <c r="H981">
        <f>IFERROR(tinder[[#This Row],[Conversations]]/tinder[[#This Row],[Tinder Opened]],0)</f>
        <v>25</v>
      </c>
      <c r="I981">
        <f>tinder[[#This Row],[Conversations]]/MAX(tinder[Conversations])</f>
        <v>5.9326056003796866E-3</v>
      </c>
      <c r="J981">
        <f>(tinder[[#This Row],[Norm Engagement]]*2)+(tinder[[#This Row],[Norm Swipes]]*1)+(tinder[[#This Row],[Norm Conversations]]*2)</f>
        <v>2.6940588085181481E-2</v>
      </c>
      <c r="K981" t="str">
        <f>_xlfn.IFS(
tinder[[#This Row],[Overal Usage]]&lt;=_xlfn.PERCENTILE.INC(tinder[Overal Usage], 0.1), "1) Low Usage",
tinder[[#This Row],[Overal Usage]]&lt;=_xlfn.PERCENTILE.INC(tinder[Overal Usage], 0.3), "2) Standard Usage",
tinder[[#This Row],[Overal Usage]]&lt;=_xlfn.PERCENTILE.INC(tinder[Overal Usage], 0.9), "3) High Usage",
TRUE,"4) Power User")</f>
        <v>1) Low Usage</v>
      </c>
      <c r="L981">
        <v>29</v>
      </c>
      <c r="M981">
        <v>1</v>
      </c>
      <c r="N981">
        <v>0</v>
      </c>
      <c r="O981">
        <v>533</v>
      </c>
      <c r="P981">
        <v>491</v>
      </c>
      <c r="Q981">
        <f>tinder[[#This Row],[All Swipes]]/MAX(tinder[All Swipes])</f>
        <v>0</v>
      </c>
      <c r="R981">
        <f>tinder[[#This Row],[Swipe Right (LIKE)]]+tinder[[#This Row],[Swipe Left (PASS)]]</f>
        <v>0</v>
      </c>
      <c r="S981">
        <v>0</v>
      </c>
      <c r="T981">
        <v>0</v>
      </c>
      <c r="U981" t="s">
        <v>27</v>
      </c>
      <c r="V981" s="1">
        <v>44290</v>
      </c>
      <c r="W981" t="s">
        <v>12</v>
      </c>
      <c r="X981" t="s">
        <v>1295</v>
      </c>
      <c r="Y981" t="s">
        <v>8</v>
      </c>
      <c r="Z981">
        <v>26</v>
      </c>
      <c r="AA981" t="str">
        <f>_xlfn.IFS(tinder[[#This Row],[Age]]&lt;=20,"Teen",tinder[[#This Row],[Age]]&lt;=30,"Young Adult",tinder[[#This Row],[Age]]&lt;=40,"Adult",tinder[[#This Row],[Age]]&lt;=50,"Middle-Aged",TRUE,"Senior")</f>
        <v>Young Adult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479B0F-3158-4920-9001-E440462F1D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summary</vt:lpstr>
      <vt:lpstr>tinder_data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EnremGorka</dc:creator>
  <cp:lastModifiedBy>EnremGorka</cp:lastModifiedBy>
  <dcterms:created xsi:type="dcterms:W3CDTF">2026-06-03T08:54:22Z</dcterms:created>
  <dcterms:modified xsi:type="dcterms:W3CDTF">2026-06-05T12:54:43Z</dcterms:modified>
</cp:coreProperties>
</file>